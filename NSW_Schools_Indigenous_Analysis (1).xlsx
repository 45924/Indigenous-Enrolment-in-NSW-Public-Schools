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6C47514E-BBAB-47AF-B3A9-44B3F13E79B2}" xr6:coauthVersionLast="46" xr6:coauthVersionMax="46" xr10:uidLastSave="{00000000-0000-0000-0000-000000000000}"/>
  <bookViews>
    <workbookView xWindow="-110" yWindow="-110" windowWidth="19420" windowHeight="10420" tabRatio="500" activeTab="1" xr2:uid="{00000000-000D-0000-FFFF-FFFF00000000}"/>
  </bookViews>
  <sheets>
    <sheet name="README" sheetId="1" r:id="rId1"/>
    <sheet name="Dashboard" sheetId="10" r:id="rId2"/>
    <sheet name="Data" sheetId="2" r:id="rId3"/>
    <sheet name="PT_Remoteness" sheetId="6" r:id="rId4"/>
    <sheet name="PT_Paradox" sheetId="7" r:id="rId5"/>
    <sheet name="PT_ICSEA" sheetId="8" r:id="rId6"/>
    <sheet name="PT_Level" sheetId="9" r:id="rId7"/>
  </sheets>
  <definedNames>
    <definedName name="Slicer_Enrolment_band">#N/A</definedName>
    <definedName name="Slicer_Level_of_schooling">#N/A</definedName>
    <definedName name="Slicer_Remoteness_order">#N/A</definedName>
    <definedName name="Slicer_Selective_school">#N/A</definedName>
  </definedNames>
  <calcPr calcId="181029" iterateDelta="1E-4"/>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O1564" i="2" l="1"/>
  <c r="N1729" i="2"/>
  <c r="O1729" i="2"/>
  <c r="N1697" i="2"/>
  <c r="O1697" i="2"/>
  <c r="N1665" i="2"/>
  <c r="O1665" i="2"/>
  <c r="O1633" i="2"/>
  <c r="N1633" i="2"/>
  <c r="N1601" i="2"/>
  <c r="O1601" i="2"/>
  <c r="O1569" i="2"/>
  <c r="N1569" i="2"/>
  <c r="N1537" i="2"/>
  <c r="O1537" i="2"/>
  <c r="N1785" i="2"/>
  <c r="O1785" i="2"/>
  <c r="O1769" i="2"/>
  <c r="N1769" i="2"/>
  <c r="O2211" i="2"/>
  <c r="N2211" i="2"/>
  <c r="O2147" i="2"/>
  <c r="N2147" i="2"/>
  <c r="N2131" i="2"/>
  <c r="O2131" i="2"/>
  <c r="O2115" i="2"/>
  <c r="N2115" i="2"/>
  <c r="N2099" i="2"/>
  <c r="O2099" i="2"/>
  <c r="N2083" i="2"/>
  <c r="O2083" i="2"/>
  <c r="N2067" i="2"/>
  <c r="O2067" i="2"/>
  <c r="N2051" i="2"/>
  <c r="O2051" i="2"/>
  <c r="N2035" i="2"/>
  <c r="O2035" i="2"/>
  <c r="O2019" i="2"/>
  <c r="N2019" i="2"/>
  <c r="O2003" i="2"/>
  <c r="N2003" i="2"/>
  <c r="O1987" i="2"/>
  <c r="N1987" i="2"/>
  <c r="N1971" i="2"/>
  <c r="O1971" i="2"/>
  <c r="O1955" i="2"/>
  <c r="N1955" i="2"/>
  <c r="O1939" i="2"/>
  <c r="N1939" i="2"/>
  <c r="N1923" i="2"/>
  <c r="O1923" i="2"/>
  <c r="O1907" i="2"/>
  <c r="N1907" i="2"/>
  <c r="O1891" i="2"/>
  <c r="N1891" i="2"/>
  <c r="N1875" i="2"/>
  <c r="O1875" i="2"/>
  <c r="N1859" i="2"/>
  <c r="O1859" i="2"/>
  <c r="N1843" i="2"/>
  <c r="O1843" i="2"/>
  <c r="N1827" i="2"/>
  <c r="O1827" i="2"/>
  <c r="N1811" i="2"/>
  <c r="O1811" i="2"/>
  <c r="N1795" i="2"/>
  <c r="O1795" i="2"/>
  <c r="O1779" i="2"/>
  <c r="N1779" i="2"/>
  <c r="O1763" i="2"/>
  <c r="N1763" i="2"/>
  <c r="N1747" i="2"/>
  <c r="O1747" i="2"/>
  <c r="O1731" i="2"/>
  <c r="N1731" i="2"/>
  <c r="O1715" i="2"/>
  <c r="N1715" i="2"/>
  <c r="N1699" i="2"/>
  <c r="O1699" i="2"/>
  <c r="N1683" i="2"/>
  <c r="O1683" i="2"/>
  <c r="N1667" i="2"/>
  <c r="O1667" i="2"/>
  <c r="O1651" i="2"/>
  <c r="N1651" i="2"/>
  <c r="O1635" i="2"/>
  <c r="N1635" i="2"/>
  <c r="N1619" i="2"/>
  <c r="O1619" i="2"/>
  <c r="N1603" i="2"/>
  <c r="O1603" i="2"/>
  <c r="O1587" i="2"/>
  <c r="N1587" i="2"/>
  <c r="O1571" i="2"/>
  <c r="N1571" i="2"/>
  <c r="O1555" i="2"/>
  <c r="N1555" i="2"/>
  <c r="N1539" i="2"/>
  <c r="O1539" i="2"/>
  <c r="N2202" i="2"/>
  <c r="O2202" i="2"/>
  <c r="N2186" i="2"/>
  <c r="O2186" i="2"/>
  <c r="N2170" i="2"/>
  <c r="O2170" i="2"/>
  <c r="N2154" i="2"/>
  <c r="O2154" i="2"/>
  <c r="N2138" i="2"/>
  <c r="O2138" i="2"/>
  <c r="O2122" i="2"/>
  <c r="N2122" i="2"/>
  <c r="N2106" i="2"/>
  <c r="O2106" i="2"/>
  <c r="N2090" i="2"/>
  <c r="O2090" i="2"/>
  <c r="O2074" i="2"/>
  <c r="N2074" i="2"/>
  <c r="N2058" i="2"/>
  <c r="O2058" i="2"/>
  <c r="O2042" i="2"/>
  <c r="N2042" i="2"/>
  <c r="N2026" i="2"/>
  <c r="O2026" i="2"/>
  <c r="N2010" i="2"/>
  <c r="O2010" i="2"/>
  <c r="N1994" i="2"/>
  <c r="O1994" i="2"/>
  <c r="N1978" i="2"/>
  <c r="O1978" i="2"/>
  <c r="N1962" i="2"/>
  <c r="O1962" i="2"/>
  <c r="O1946" i="2"/>
  <c r="N1946" i="2"/>
  <c r="N1930" i="2"/>
  <c r="O1930" i="2"/>
  <c r="N1914" i="2"/>
  <c r="O1914" i="2"/>
  <c r="N1898" i="2"/>
  <c r="O1898" i="2"/>
  <c r="N1882" i="2"/>
  <c r="O1882" i="2"/>
  <c r="N1866" i="2"/>
  <c r="O1866" i="2"/>
  <c r="N1850" i="2"/>
  <c r="O1850" i="2"/>
  <c r="N1834" i="2"/>
  <c r="O1834" i="2"/>
  <c r="N1818" i="2"/>
  <c r="O1818" i="2"/>
  <c r="O1802" i="2"/>
  <c r="N1802" i="2"/>
  <c r="N1786" i="2"/>
  <c r="O1786" i="2"/>
  <c r="N1770" i="2"/>
  <c r="O1770" i="2"/>
  <c r="O1754" i="2"/>
  <c r="N1754" i="2"/>
  <c r="O1738" i="2"/>
  <c r="N1738" i="2"/>
  <c r="N1722" i="2"/>
  <c r="O1722" i="2"/>
  <c r="O1706" i="2"/>
  <c r="N1706" i="2"/>
  <c r="O1690" i="2"/>
  <c r="N1690" i="2"/>
  <c r="O1674" i="2"/>
  <c r="N1674" i="2"/>
  <c r="N1658" i="2"/>
  <c r="O1658" i="2"/>
  <c r="N1642" i="2"/>
  <c r="O1642" i="2"/>
  <c r="N1626" i="2"/>
  <c r="O1626" i="2"/>
  <c r="N1610" i="2"/>
  <c r="O1610" i="2"/>
  <c r="O1594" i="2"/>
  <c r="N1594" i="2"/>
  <c r="O1578" i="2"/>
  <c r="N1578" i="2"/>
  <c r="O1562" i="2"/>
  <c r="N1562" i="2"/>
  <c r="N1546" i="2"/>
  <c r="O1546" i="2"/>
  <c r="O2209" i="2"/>
  <c r="N2209" i="2"/>
  <c r="N2193" i="2"/>
  <c r="O2193" i="2"/>
  <c r="N2177" i="2"/>
  <c r="O2177" i="2"/>
  <c r="N2161" i="2"/>
  <c r="O2161" i="2"/>
  <c r="N2145" i="2"/>
  <c r="O2145" i="2"/>
  <c r="N2129" i="2"/>
  <c r="O2129" i="2"/>
  <c r="N2113" i="2"/>
  <c r="O2113" i="2"/>
  <c r="N2097" i="2"/>
  <c r="O2097" i="2"/>
  <c r="O2081" i="2"/>
  <c r="N2081" i="2"/>
  <c r="N2065" i="2"/>
  <c r="O2065" i="2"/>
  <c r="N2049" i="2"/>
  <c r="O2049" i="2"/>
  <c r="N2033" i="2"/>
  <c r="O2033" i="2"/>
  <c r="N2017" i="2"/>
  <c r="O2017" i="2"/>
  <c r="N2001" i="2"/>
  <c r="O2001" i="2"/>
  <c r="N1985" i="2"/>
  <c r="O1985" i="2"/>
  <c r="N1969" i="2"/>
  <c r="O1969" i="2"/>
  <c r="O1953" i="2"/>
  <c r="N1953" i="2"/>
  <c r="N1937" i="2"/>
  <c r="O1937" i="2"/>
  <c r="N1921" i="2"/>
  <c r="O1921" i="2"/>
  <c r="N1905" i="2"/>
  <c r="O1905" i="2"/>
  <c r="O1889" i="2"/>
  <c r="N1889" i="2"/>
  <c r="O1873" i="2"/>
  <c r="N1873" i="2"/>
  <c r="N1857" i="2"/>
  <c r="O1857" i="2"/>
  <c r="O1841" i="2"/>
  <c r="N1841" i="2"/>
  <c r="N1825" i="2"/>
  <c r="O1825" i="2"/>
  <c r="O1809" i="2"/>
  <c r="N1809" i="2"/>
  <c r="O2179" i="2"/>
  <c r="N2179" i="2"/>
  <c r="N2195" i="2"/>
  <c r="O2195" i="2"/>
  <c r="O2163" i="2"/>
  <c r="N2163" i="2"/>
  <c r="N1745" i="2"/>
  <c r="O1745" i="2"/>
  <c r="N2203" i="2"/>
  <c r="O2203" i="2"/>
  <c r="N2187" i="2"/>
  <c r="O2187" i="2"/>
  <c r="N2171" i="2"/>
  <c r="O2171" i="2"/>
  <c r="N2155" i="2"/>
  <c r="O2155" i="2"/>
  <c r="O2139" i="2"/>
  <c r="N2139" i="2"/>
  <c r="N2123" i="2"/>
  <c r="O2123" i="2"/>
  <c r="N2107" i="2"/>
  <c r="O2107" i="2"/>
  <c r="O2091" i="2"/>
  <c r="N2091" i="2"/>
  <c r="N2075" i="2"/>
  <c r="O2075" i="2"/>
  <c r="N2059" i="2"/>
  <c r="O2059" i="2"/>
  <c r="N2043" i="2"/>
  <c r="O2043" i="2"/>
  <c r="N2027" i="2"/>
  <c r="O2027" i="2"/>
  <c r="O2011" i="2"/>
  <c r="N2011" i="2"/>
  <c r="O1995" i="2"/>
  <c r="N1995" i="2"/>
  <c r="N1979" i="2"/>
  <c r="O1979" i="2"/>
  <c r="N1963" i="2"/>
  <c r="O1963" i="2"/>
  <c r="O1947" i="2"/>
  <c r="N1947" i="2"/>
  <c r="N1931" i="2"/>
  <c r="O1931" i="2"/>
  <c r="N1915" i="2"/>
  <c r="O1915" i="2"/>
  <c r="N1899" i="2"/>
  <c r="O1899" i="2"/>
  <c r="N1883" i="2"/>
  <c r="O1883" i="2"/>
  <c r="N1867" i="2"/>
  <c r="O1867" i="2"/>
  <c r="N1851" i="2"/>
  <c r="O1851" i="2"/>
  <c r="O1835" i="2"/>
  <c r="N1835" i="2"/>
  <c r="N1819" i="2"/>
  <c r="O1819" i="2"/>
  <c r="N1803" i="2"/>
  <c r="O1803" i="2"/>
  <c r="N1787" i="2"/>
  <c r="O1787" i="2"/>
  <c r="N1771" i="2"/>
  <c r="O1771" i="2"/>
  <c r="N1755" i="2"/>
  <c r="O1755" i="2"/>
  <c r="O1739" i="2"/>
  <c r="N1739" i="2"/>
  <c r="N1723" i="2"/>
  <c r="O1723" i="2"/>
  <c r="O1707" i="2"/>
  <c r="N1707" i="2"/>
  <c r="N1691" i="2"/>
  <c r="O1691" i="2"/>
  <c r="N1675" i="2"/>
  <c r="O1675" i="2"/>
  <c r="N1659" i="2"/>
  <c r="O1659" i="2"/>
  <c r="N1643" i="2"/>
  <c r="O1643" i="2"/>
  <c r="N1627" i="2"/>
  <c r="O1627" i="2"/>
  <c r="O1611" i="2"/>
  <c r="N1611" i="2"/>
  <c r="O1595" i="2"/>
  <c r="N1595" i="2"/>
  <c r="O1579" i="2"/>
  <c r="N1579" i="2"/>
  <c r="N1563" i="2"/>
  <c r="O1563" i="2"/>
  <c r="O1547" i="2"/>
  <c r="N1547" i="2"/>
  <c r="N2210" i="2"/>
  <c r="O2210" i="2"/>
  <c r="N2194" i="2"/>
  <c r="O2194" i="2"/>
  <c r="N2178" i="2"/>
  <c r="O2178" i="2"/>
  <c r="O2162" i="2"/>
  <c r="N2162" i="2"/>
  <c r="N2146" i="2"/>
  <c r="O2146" i="2"/>
  <c r="N2130" i="2"/>
  <c r="O2130" i="2"/>
  <c r="N2114" i="2"/>
  <c r="O2114" i="2"/>
  <c r="O2098" i="2"/>
  <c r="N2098" i="2"/>
  <c r="O2082" i="2"/>
  <c r="N2082" i="2"/>
  <c r="N2066" i="2"/>
  <c r="O2066" i="2"/>
  <c r="N2050" i="2"/>
  <c r="O2050" i="2"/>
  <c r="N2034" i="2"/>
  <c r="O2034" i="2"/>
  <c r="N2018" i="2"/>
  <c r="O2018" i="2"/>
  <c r="O2002" i="2"/>
  <c r="N2002" i="2"/>
  <c r="O1986" i="2"/>
  <c r="N1986" i="2"/>
  <c r="N1970" i="2"/>
  <c r="O1970" i="2"/>
  <c r="N1954" i="2"/>
  <c r="O1954" i="2"/>
  <c r="O1938" i="2"/>
  <c r="N1938" i="2"/>
  <c r="O1922" i="2"/>
  <c r="N1922" i="2"/>
  <c r="N1906" i="2"/>
  <c r="O1906" i="2"/>
  <c r="O1890" i="2"/>
  <c r="N1890" i="2"/>
  <c r="N1874" i="2"/>
  <c r="O1874" i="2"/>
  <c r="N1858" i="2"/>
  <c r="O1858" i="2"/>
  <c r="O1842" i="2"/>
  <c r="N1842" i="2"/>
  <c r="N1826" i="2"/>
  <c r="O1826" i="2"/>
  <c r="N1810" i="2"/>
  <c r="O1810" i="2"/>
  <c r="N1794" i="2"/>
  <c r="O1794" i="2"/>
  <c r="N1778" i="2"/>
  <c r="O1778" i="2"/>
  <c r="N1762" i="2"/>
  <c r="O1762" i="2"/>
  <c r="O1746" i="2"/>
  <c r="N1746" i="2"/>
  <c r="N1730" i="2"/>
  <c r="O1730" i="2"/>
  <c r="O1714" i="2"/>
  <c r="N1714" i="2"/>
  <c r="O1698" i="2"/>
  <c r="N1698" i="2"/>
  <c r="N1682" i="2"/>
  <c r="O1682" i="2"/>
  <c r="O1666" i="2"/>
  <c r="N1666" i="2"/>
  <c r="N1650" i="2"/>
  <c r="O1650" i="2"/>
  <c r="N1634" i="2"/>
  <c r="O1634" i="2"/>
  <c r="O1618" i="2"/>
  <c r="N1618" i="2"/>
  <c r="N1602" i="2"/>
  <c r="O1602" i="2"/>
  <c r="N1586" i="2"/>
  <c r="O1586" i="2"/>
  <c r="N1570" i="2"/>
  <c r="O1570" i="2"/>
  <c r="O1554" i="2"/>
  <c r="N1554" i="2"/>
  <c r="N1538" i="2"/>
  <c r="O1538" i="2"/>
  <c r="N2201" i="2"/>
  <c r="O2201" i="2"/>
  <c r="N2185" i="2"/>
  <c r="O2185" i="2"/>
  <c r="N2169" i="2"/>
  <c r="O2169" i="2"/>
  <c r="O2153" i="2"/>
  <c r="N2153" i="2"/>
  <c r="N2137" i="2"/>
  <c r="O2137" i="2"/>
  <c r="O2121" i="2"/>
  <c r="N2121" i="2"/>
  <c r="O2105" i="2"/>
  <c r="N2105" i="2"/>
  <c r="N2089" i="2"/>
  <c r="O2089" i="2"/>
  <c r="O2073" i="2"/>
  <c r="N2073" i="2"/>
  <c r="O2057" i="2"/>
  <c r="N2057" i="2"/>
  <c r="N2041" i="2"/>
  <c r="O2041" i="2"/>
  <c r="O2025" i="2"/>
  <c r="N2025" i="2"/>
  <c r="N2009" i="2"/>
  <c r="O2009" i="2"/>
  <c r="O1993" i="2"/>
  <c r="N1993" i="2"/>
  <c r="O1977" i="2"/>
  <c r="N1977" i="2"/>
  <c r="O1961" i="2"/>
  <c r="N1961" i="2"/>
  <c r="N1945" i="2"/>
  <c r="O1945" i="2"/>
  <c r="O1929" i="2"/>
  <c r="N1929" i="2"/>
  <c r="N1913" i="2"/>
  <c r="O1913" i="2"/>
  <c r="N1897" i="2"/>
  <c r="O1897" i="2"/>
  <c r="N1881" i="2"/>
  <c r="O1881" i="2"/>
  <c r="N1865" i="2"/>
  <c r="O1865" i="2"/>
  <c r="N1849" i="2"/>
  <c r="O1849" i="2"/>
  <c r="N1833" i="2"/>
  <c r="O1833" i="2"/>
  <c r="N1817" i="2"/>
  <c r="O1817" i="2"/>
  <c r="N1801" i="2"/>
  <c r="O1801" i="2"/>
  <c r="O1793" i="2"/>
  <c r="N1793" i="2"/>
  <c r="O1777" i="2"/>
  <c r="N1777" i="2"/>
  <c r="N1761" i="2"/>
  <c r="O1761" i="2"/>
  <c r="N1713" i="2"/>
  <c r="O1713" i="2"/>
  <c r="O1681" i="2"/>
  <c r="N1681" i="2"/>
  <c r="N1649" i="2"/>
  <c r="O1649" i="2"/>
  <c r="O1617" i="2"/>
  <c r="N1617" i="2"/>
  <c r="N1585" i="2"/>
  <c r="O1585" i="2"/>
  <c r="N1553" i="2"/>
  <c r="O1553" i="2"/>
  <c r="O2200" i="2"/>
  <c r="N2200" i="2"/>
  <c r="O2184" i="2"/>
  <c r="N2184" i="2"/>
  <c r="O2168" i="2"/>
  <c r="N2168" i="2"/>
  <c r="O2152" i="2"/>
  <c r="N2152" i="2"/>
  <c r="O2136" i="2"/>
  <c r="N2136" i="2"/>
  <c r="N2120" i="2"/>
  <c r="O2120" i="2"/>
  <c r="O2104" i="2"/>
  <c r="N2104" i="2"/>
  <c r="O2088" i="2"/>
  <c r="N2088" i="2"/>
  <c r="O2072" i="2"/>
  <c r="N2072" i="2"/>
  <c r="O2056" i="2"/>
  <c r="N2056" i="2"/>
  <c r="N2040" i="2"/>
  <c r="O2040" i="2"/>
  <c r="N2024" i="2"/>
  <c r="O2024" i="2"/>
  <c r="O2008" i="2"/>
  <c r="N2008" i="2"/>
  <c r="N1992" i="2"/>
  <c r="O1992" i="2"/>
  <c r="N1976" i="2"/>
  <c r="O1976" i="2"/>
  <c r="O1960" i="2"/>
  <c r="N1960" i="2"/>
  <c r="O1944" i="2"/>
  <c r="N1944" i="2"/>
  <c r="O1928" i="2"/>
  <c r="N1928" i="2"/>
  <c r="N1912" i="2"/>
  <c r="O1912" i="2"/>
  <c r="O1896" i="2"/>
  <c r="N1896" i="2"/>
  <c r="O1880" i="2"/>
  <c r="N1880" i="2"/>
  <c r="O1864" i="2"/>
  <c r="N1864" i="2"/>
  <c r="N1848" i="2"/>
  <c r="O1848" i="2"/>
  <c r="N1832" i="2"/>
  <c r="O1832" i="2"/>
  <c r="O1816" i="2"/>
  <c r="N1816" i="2"/>
  <c r="O1800" i="2"/>
  <c r="N1800" i="2"/>
  <c r="N1784" i="2"/>
  <c r="O1784" i="2"/>
  <c r="N1768" i="2"/>
  <c r="O1768" i="2"/>
  <c r="N1752" i="2"/>
  <c r="O1752" i="2"/>
  <c r="N1736" i="2"/>
  <c r="O1736" i="2"/>
  <c r="N1720" i="2"/>
  <c r="O1720" i="2"/>
  <c r="N1704" i="2"/>
  <c r="O1704" i="2"/>
  <c r="N1688" i="2"/>
  <c r="O1688" i="2"/>
  <c r="N1672" i="2"/>
  <c r="O1672" i="2"/>
  <c r="O1656" i="2"/>
  <c r="N1656" i="2"/>
  <c r="O1640" i="2"/>
  <c r="N1640" i="2"/>
  <c r="N1624" i="2"/>
  <c r="O1624" i="2"/>
  <c r="O1608" i="2"/>
  <c r="N1608" i="2"/>
  <c r="O1592" i="2"/>
  <c r="N1592" i="2"/>
  <c r="N1576" i="2"/>
  <c r="O1576" i="2"/>
  <c r="O1560" i="2"/>
  <c r="N1560" i="2"/>
  <c r="O1544" i="2"/>
  <c r="N1544" i="2"/>
  <c r="N2199" i="2"/>
  <c r="O2199" i="2"/>
  <c r="N2183" i="2"/>
  <c r="O2183" i="2"/>
  <c r="O2167" i="2"/>
  <c r="N2167" i="2"/>
  <c r="N2151" i="2"/>
  <c r="O2151" i="2"/>
  <c r="N2135" i="2"/>
  <c r="O2135" i="2"/>
  <c r="O2119" i="2"/>
  <c r="N2119" i="2"/>
  <c r="N2103" i="2"/>
  <c r="O2103" i="2"/>
  <c r="O2087" i="2"/>
  <c r="N2087" i="2"/>
  <c r="N2071" i="2"/>
  <c r="O2071" i="2"/>
  <c r="N2055" i="2"/>
  <c r="O2055" i="2"/>
  <c r="N2039" i="2"/>
  <c r="O2039" i="2"/>
  <c r="O2023" i="2"/>
  <c r="N2023" i="2"/>
  <c r="N2007" i="2"/>
  <c r="O2007" i="2"/>
  <c r="O1991" i="2"/>
  <c r="N1991" i="2"/>
  <c r="O1975" i="2"/>
  <c r="N1975" i="2"/>
  <c r="N1959" i="2"/>
  <c r="O1959" i="2"/>
  <c r="N1943" i="2"/>
  <c r="O1943" i="2"/>
  <c r="N1927" i="2"/>
  <c r="O1927" i="2"/>
  <c r="O1911" i="2"/>
  <c r="N1911" i="2"/>
  <c r="O1895" i="2"/>
  <c r="N1895" i="2"/>
  <c r="N1879" i="2"/>
  <c r="O1879" i="2"/>
  <c r="N1863" i="2"/>
  <c r="O1863" i="2"/>
  <c r="N1847" i="2"/>
  <c r="O1847" i="2"/>
  <c r="O1831" i="2"/>
  <c r="N1831" i="2"/>
  <c r="N1815" i="2"/>
  <c r="O1815" i="2"/>
  <c r="N1799" i="2"/>
  <c r="O1799" i="2"/>
  <c r="O1783" i="2"/>
  <c r="N1783" i="2"/>
  <c r="N1767" i="2"/>
  <c r="O1767" i="2"/>
  <c r="N1751" i="2"/>
  <c r="O1751" i="2"/>
  <c r="O1735" i="2"/>
  <c r="N1735" i="2"/>
  <c r="O1719" i="2"/>
  <c r="N1719" i="2"/>
  <c r="N1703" i="2"/>
  <c r="O1703" i="2"/>
  <c r="O1687" i="2"/>
  <c r="N1687" i="2"/>
  <c r="O1671" i="2"/>
  <c r="N1671" i="2"/>
  <c r="N1655" i="2"/>
  <c r="O1655" i="2"/>
  <c r="N1639" i="2"/>
  <c r="O1639" i="2"/>
  <c r="O1623" i="2"/>
  <c r="N1623" i="2"/>
  <c r="N1607" i="2"/>
  <c r="O1607" i="2"/>
  <c r="O1591" i="2"/>
  <c r="N1591" i="2"/>
  <c r="O1575" i="2"/>
  <c r="N1575" i="2"/>
  <c r="O1559" i="2"/>
  <c r="N1559" i="2"/>
  <c r="N1543" i="2"/>
  <c r="O1543" i="2"/>
  <c r="O2198" i="2"/>
  <c r="N2198" i="2"/>
  <c r="O2182" i="2"/>
  <c r="N2182" i="2"/>
  <c r="O2166" i="2"/>
  <c r="N2166" i="2"/>
  <c r="O2150" i="2"/>
  <c r="N2150" i="2"/>
  <c r="O2134" i="2"/>
  <c r="N2134" i="2"/>
  <c r="O2118" i="2"/>
  <c r="N2118" i="2"/>
  <c r="N2102" i="2"/>
  <c r="O2102" i="2"/>
  <c r="N2086" i="2"/>
  <c r="O2086" i="2"/>
  <c r="O2070" i="2"/>
  <c r="N2070" i="2"/>
  <c r="N2054" i="2"/>
  <c r="O2054" i="2"/>
  <c r="N2038" i="2"/>
  <c r="O2038" i="2"/>
  <c r="N2022" i="2"/>
  <c r="O2022" i="2"/>
  <c r="O2006" i="2"/>
  <c r="N2006" i="2"/>
  <c r="O1990" i="2"/>
  <c r="N1990" i="2"/>
  <c r="N1974" i="2"/>
  <c r="O1974" i="2"/>
  <c r="N1958" i="2"/>
  <c r="O1958" i="2"/>
  <c r="N1942" i="2"/>
  <c r="O1942" i="2"/>
  <c r="N1926" i="2"/>
  <c r="O1926" i="2"/>
  <c r="N1910" i="2"/>
  <c r="O1910" i="2"/>
  <c r="O1894" i="2"/>
  <c r="N1894" i="2"/>
  <c r="O1878" i="2"/>
  <c r="N1878" i="2"/>
  <c r="O1862" i="2"/>
  <c r="N1862" i="2"/>
  <c r="N1846" i="2"/>
  <c r="O1846" i="2"/>
  <c r="O1830" i="2"/>
  <c r="N1830" i="2"/>
  <c r="O1814" i="2"/>
  <c r="N1814" i="2"/>
  <c r="N1798" i="2"/>
  <c r="O1798" i="2"/>
  <c r="O1628" i="2"/>
  <c r="N1726" i="2"/>
  <c r="O1726" i="2"/>
  <c r="N1774" i="2"/>
  <c r="O1774" i="2"/>
  <c r="N1753" i="2"/>
  <c r="O1753" i="2"/>
  <c r="N1737" i="2"/>
  <c r="O1737" i="2"/>
  <c r="N1721" i="2"/>
  <c r="O1721" i="2"/>
  <c r="O1705" i="2"/>
  <c r="N1705" i="2"/>
  <c r="N1689" i="2"/>
  <c r="O1689" i="2"/>
  <c r="N1673" i="2"/>
  <c r="O1673" i="2"/>
  <c r="N1657" i="2"/>
  <c r="O1657" i="2"/>
  <c r="N1641" i="2"/>
  <c r="O1641" i="2"/>
  <c r="N1625" i="2"/>
  <c r="O1625" i="2"/>
  <c r="O1609" i="2"/>
  <c r="N1609" i="2"/>
  <c r="O1593" i="2"/>
  <c r="N1593" i="2"/>
  <c r="O1577" i="2"/>
  <c r="N1577" i="2"/>
  <c r="O1561" i="2"/>
  <c r="N1561" i="2"/>
  <c r="N1545" i="2"/>
  <c r="O1545" i="2"/>
  <c r="N2208" i="2"/>
  <c r="O2208" i="2"/>
  <c r="N2192" i="2"/>
  <c r="O2192" i="2"/>
  <c r="O2176" i="2"/>
  <c r="N2176" i="2"/>
  <c r="N2160" i="2"/>
  <c r="O2160" i="2"/>
  <c r="N2144" i="2"/>
  <c r="O2144" i="2"/>
  <c r="N2128" i="2"/>
  <c r="O2128" i="2"/>
  <c r="N2112" i="2"/>
  <c r="O2112" i="2"/>
  <c r="N2096" i="2"/>
  <c r="O2096" i="2"/>
  <c r="N2080" i="2"/>
  <c r="O2080" i="2"/>
  <c r="N2064" i="2"/>
  <c r="O2064" i="2"/>
  <c r="N2048" i="2"/>
  <c r="O2048" i="2"/>
  <c r="N2032" i="2"/>
  <c r="O2032" i="2"/>
  <c r="N2016" i="2"/>
  <c r="O2016" i="2"/>
  <c r="O2000" i="2"/>
  <c r="N2000" i="2"/>
  <c r="O1984" i="2"/>
  <c r="N1984" i="2"/>
  <c r="N1968" i="2"/>
  <c r="O1968" i="2"/>
  <c r="N1952" i="2"/>
  <c r="O1952" i="2"/>
  <c r="N1936" i="2"/>
  <c r="O1936" i="2"/>
  <c r="N1920" i="2"/>
  <c r="O1920" i="2"/>
  <c r="N1904" i="2"/>
  <c r="O1904" i="2"/>
  <c r="N1888" i="2"/>
  <c r="O1888" i="2"/>
  <c r="N1872" i="2"/>
  <c r="O1872" i="2"/>
  <c r="O1856" i="2"/>
  <c r="N1856" i="2"/>
  <c r="N1840" i="2"/>
  <c r="O1840" i="2"/>
  <c r="N1824" i="2"/>
  <c r="O1824" i="2"/>
  <c r="O1808" i="2"/>
  <c r="N1808" i="2"/>
  <c r="O1792" i="2"/>
  <c r="N1792" i="2"/>
  <c r="N1776" i="2"/>
  <c r="O1776" i="2"/>
  <c r="N1760" i="2"/>
  <c r="O1760" i="2"/>
  <c r="O1744" i="2"/>
  <c r="N1744" i="2"/>
  <c r="O1728" i="2"/>
  <c r="N1728" i="2"/>
  <c r="N1712" i="2"/>
  <c r="O1712" i="2"/>
  <c r="O1696" i="2"/>
  <c r="N1696" i="2"/>
  <c r="N1680" i="2"/>
  <c r="O1680" i="2"/>
  <c r="N1664" i="2"/>
  <c r="O1664" i="2"/>
  <c r="N1648" i="2"/>
  <c r="O1648" i="2"/>
  <c r="O1632" i="2"/>
  <c r="N1632" i="2"/>
  <c r="N1616" i="2"/>
  <c r="O1616" i="2"/>
  <c r="N1600" i="2"/>
  <c r="O1600" i="2"/>
  <c r="N1584" i="2"/>
  <c r="O1584" i="2"/>
  <c r="O1568" i="2"/>
  <c r="N1568" i="2"/>
  <c r="N1552" i="2"/>
  <c r="O1552" i="2"/>
  <c r="N2207" i="2"/>
  <c r="O2207" i="2"/>
  <c r="N2191" i="2"/>
  <c r="O2191" i="2"/>
  <c r="N2175" i="2"/>
  <c r="O2175" i="2"/>
  <c r="N2159" i="2"/>
  <c r="O2159" i="2"/>
  <c r="O2143" i="2"/>
  <c r="N2143" i="2"/>
  <c r="N2127" i="2"/>
  <c r="O2127" i="2"/>
  <c r="N2111" i="2"/>
  <c r="O2111" i="2"/>
  <c r="N2095" i="2"/>
  <c r="O2095" i="2"/>
  <c r="N2079" i="2"/>
  <c r="O2079" i="2"/>
  <c r="N2063" i="2"/>
  <c r="O2063" i="2"/>
  <c r="O2047" i="2"/>
  <c r="N2047" i="2"/>
  <c r="N2031" i="2"/>
  <c r="O2031" i="2"/>
  <c r="N2015" i="2"/>
  <c r="O2015" i="2"/>
  <c r="N1999" i="2"/>
  <c r="O1999" i="2"/>
  <c r="N1983" i="2"/>
  <c r="O1983" i="2"/>
  <c r="N1967" i="2"/>
  <c r="O1967" i="2"/>
  <c r="O1951" i="2"/>
  <c r="N1951" i="2"/>
  <c r="O1935" i="2"/>
  <c r="N1935" i="2"/>
  <c r="N1919" i="2"/>
  <c r="O1919" i="2"/>
  <c r="N1903" i="2"/>
  <c r="O1903" i="2"/>
  <c r="O1887" i="2"/>
  <c r="N1887" i="2"/>
  <c r="N1871" i="2"/>
  <c r="O1871" i="2"/>
  <c r="N1855" i="2"/>
  <c r="O1855" i="2"/>
  <c r="O1839" i="2"/>
  <c r="N1839" i="2"/>
  <c r="O1823" i="2"/>
  <c r="N1823" i="2"/>
  <c r="N1807" i="2"/>
  <c r="O1807" i="2"/>
  <c r="O1791" i="2"/>
  <c r="N1791" i="2"/>
  <c r="N1775" i="2"/>
  <c r="O1775" i="2"/>
  <c r="N1759" i="2"/>
  <c r="O1759" i="2"/>
  <c r="O1743" i="2"/>
  <c r="N1743" i="2"/>
  <c r="O1727" i="2"/>
  <c r="N1727" i="2"/>
  <c r="N1711" i="2"/>
  <c r="O1711" i="2"/>
  <c r="O1695" i="2"/>
  <c r="N1695" i="2"/>
  <c r="N1679" i="2"/>
  <c r="O1679" i="2"/>
  <c r="N1663" i="2"/>
  <c r="O1663" i="2"/>
  <c r="N1647" i="2"/>
  <c r="O1647" i="2"/>
  <c r="N1631" i="2"/>
  <c r="O1631" i="2"/>
  <c r="N1615" i="2"/>
  <c r="O1615" i="2"/>
  <c r="O1599" i="2"/>
  <c r="N1599" i="2"/>
  <c r="O1583" i="2"/>
  <c r="N1583" i="2"/>
  <c r="N1567" i="2"/>
  <c r="O1567" i="2"/>
  <c r="O1551" i="2"/>
  <c r="N1551" i="2"/>
  <c r="N2206" i="2"/>
  <c r="O2206" i="2"/>
  <c r="O2190" i="2"/>
  <c r="N2190" i="2"/>
  <c r="O2174" i="2"/>
  <c r="N2174" i="2"/>
  <c r="N2158" i="2"/>
  <c r="O2158" i="2"/>
  <c r="O2142" i="2"/>
  <c r="N2142" i="2"/>
  <c r="N2126" i="2"/>
  <c r="O2126" i="2"/>
  <c r="O2110" i="2"/>
  <c r="N2110" i="2"/>
  <c r="O2094" i="2"/>
  <c r="N2094" i="2"/>
  <c r="O2078" i="2"/>
  <c r="N2078" i="2"/>
  <c r="O2062" i="2"/>
  <c r="N2062" i="2"/>
  <c r="O2046" i="2"/>
  <c r="N2046" i="2"/>
  <c r="O2030" i="2"/>
  <c r="N2030" i="2"/>
  <c r="O2014" i="2"/>
  <c r="N2014" i="2"/>
  <c r="N1998" i="2"/>
  <c r="O1998" i="2"/>
  <c r="N1982" i="2"/>
  <c r="O1982" i="2"/>
  <c r="O1966" i="2"/>
  <c r="N1966" i="2"/>
  <c r="N1950" i="2"/>
  <c r="O1950" i="2"/>
  <c r="O1934" i="2"/>
  <c r="N1934" i="2"/>
  <c r="N1918" i="2"/>
  <c r="O1918" i="2"/>
  <c r="O1902" i="2"/>
  <c r="N1902" i="2"/>
  <c r="N1886" i="2"/>
  <c r="O1886" i="2"/>
  <c r="O1870" i="2"/>
  <c r="N1870" i="2"/>
  <c r="N1854" i="2"/>
  <c r="O1854" i="2"/>
  <c r="O1838" i="2"/>
  <c r="N1838" i="2"/>
  <c r="N1822" i="2"/>
  <c r="O1822" i="2"/>
  <c r="N1806" i="2"/>
  <c r="O1806" i="2"/>
  <c r="N1790" i="2"/>
  <c r="O1790" i="2"/>
  <c r="O1758" i="2"/>
  <c r="N1758" i="2"/>
  <c r="N1742" i="2"/>
  <c r="O1742" i="2"/>
  <c r="O1782" i="2"/>
  <c r="N1782" i="2"/>
  <c r="N1556" i="2"/>
  <c r="O1556" i="2"/>
  <c r="N1540" i="2"/>
  <c r="O1540" i="2"/>
  <c r="N1534" i="2"/>
  <c r="O1534" i="2"/>
  <c r="N1518" i="2"/>
  <c r="O1518" i="2"/>
  <c r="O1710" i="2"/>
  <c r="N1710" i="2"/>
  <c r="N1620" i="2"/>
  <c r="O1620" i="2"/>
  <c r="N1604" i="2"/>
  <c r="O1604" i="2"/>
  <c r="N1588" i="2"/>
  <c r="O1588" i="2"/>
  <c r="O1572" i="2"/>
  <c r="N1572" i="2"/>
  <c r="O1694" i="2"/>
  <c r="N1694" i="2"/>
  <c r="N1678" i="2"/>
  <c r="O1678" i="2"/>
  <c r="O1662" i="2"/>
  <c r="N1662" i="2"/>
  <c r="N1646" i="2"/>
  <c r="O1646" i="2"/>
  <c r="N1630" i="2"/>
  <c r="O1630" i="2"/>
  <c r="O1614" i="2"/>
  <c r="N1614" i="2"/>
  <c r="N1598" i="2"/>
  <c r="O1598" i="2"/>
  <c r="N1582" i="2"/>
  <c r="O1582" i="2"/>
  <c r="N1566" i="2"/>
  <c r="O1566" i="2"/>
  <c r="N1550" i="2"/>
  <c r="O1550" i="2"/>
  <c r="N2205" i="2"/>
  <c r="O2205" i="2"/>
  <c r="O2189" i="2"/>
  <c r="N2189" i="2"/>
  <c r="N2173" i="2"/>
  <c r="O2173" i="2"/>
  <c r="O2157" i="2"/>
  <c r="N2157" i="2"/>
  <c r="O2141" i="2"/>
  <c r="N2141" i="2"/>
  <c r="O2125" i="2"/>
  <c r="N2125" i="2"/>
  <c r="O2109" i="2"/>
  <c r="N2109" i="2"/>
  <c r="N2093" i="2"/>
  <c r="O2093" i="2"/>
  <c r="O2077" i="2"/>
  <c r="N2077" i="2"/>
  <c r="O2061" i="2"/>
  <c r="N2061" i="2"/>
  <c r="N2045" i="2"/>
  <c r="O2045" i="2"/>
  <c r="O2029" i="2"/>
  <c r="N2029" i="2"/>
  <c r="O2013" i="2"/>
  <c r="N2013" i="2"/>
  <c r="O1997" i="2"/>
  <c r="N1997" i="2"/>
  <c r="O1981" i="2"/>
  <c r="N1981" i="2"/>
  <c r="N1965" i="2"/>
  <c r="O1965" i="2"/>
  <c r="O1949" i="2"/>
  <c r="N1949" i="2"/>
  <c r="O1933" i="2"/>
  <c r="N1933" i="2"/>
  <c r="N1917" i="2"/>
  <c r="O1917" i="2"/>
  <c r="O1901" i="2"/>
  <c r="N1901" i="2"/>
  <c r="O1885" i="2"/>
  <c r="N1885" i="2"/>
  <c r="O1869" i="2"/>
  <c r="N1869" i="2"/>
  <c r="O1853" i="2"/>
  <c r="N1853" i="2"/>
  <c r="N1837" i="2"/>
  <c r="O1837" i="2"/>
  <c r="O1821" i="2"/>
  <c r="N1821" i="2"/>
  <c r="O1805" i="2"/>
  <c r="N1805" i="2"/>
  <c r="N1789" i="2"/>
  <c r="O1789" i="2"/>
  <c r="O1773" i="2"/>
  <c r="N1773" i="2"/>
  <c r="O1757" i="2"/>
  <c r="N1757" i="2"/>
  <c r="O1741" i="2"/>
  <c r="N1741" i="2"/>
  <c r="O1725" i="2"/>
  <c r="N1725" i="2"/>
  <c r="N1709" i="2"/>
  <c r="O1709" i="2"/>
  <c r="O1693" i="2"/>
  <c r="N1693" i="2"/>
  <c r="O1677" i="2"/>
  <c r="N1677" i="2"/>
  <c r="N1661" i="2"/>
  <c r="O1661" i="2"/>
  <c r="O1645" i="2"/>
  <c r="N1645" i="2"/>
  <c r="O1629" i="2"/>
  <c r="N1629" i="2"/>
  <c r="O1613" i="2"/>
  <c r="N1613" i="2"/>
  <c r="O1597" i="2"/>
  <c r="N1597" i="2"/>
  <c r="N1581" i="2"/>
  <c r="O1581" i="2"/>
  <c r="O1565" i="2"/>
  <c r="N1565" i="2"/>
  <c r="N1549" i="2"/>
  <c r="O1549" i="2"/>
  <c r="O2204" i="2"/>
  <c r="N2204" i="2"/>
  <c r="N2188" i="2"/>
  <c r="O2188" i="2"/>
  <c r="N2172" i="2"/>
  <c r="O2172" i="2"/>
  <c r="O2156" i="2"/>
  <c r="N2156" i="2"/>
  <c r="N2140" i="2"/>
  <c r="O2140" i="2"/>
  <c r="N2124" i="2"/>
  <c r="O2124" i="2"/>
  <c r="O2108" i="2"/>
  <c r="N2108" i="2"/>
  <c r="N2092" i="2"/>
  <c r="O2092" i="2"/>
  <c r="O2076" i="2"/>
  <c r="N2076" i="2"/>
  <c r="N2060" i="2"/>
  <c r="O2060" i="2"/>
  <c r="N2044" i="2"/>
  <c r="O2044" i="2"/>
  <c r="N2028" i="2"/>
  <c r="O2028" i="2"/>
  <c r="N2012" i="2"/>
  <c r="O2012" i="2"/>
  <c r="O1996" i="2"/>
  <c r="N1996" i="2"/>
  <c r="O1980" i="2"/>
  <c r="N1980" i="2"/>
  <c r="N1964" i="2"/>
  <c r="O1964" i="2"/>
  <c r="O1948" i="2"/>
  <c r="N1948" i="2"/>
  <c r="N1932" i="2"/>
  <c r="O1932" i="2"/>
  <c r="N1916" i="2"/>
  <c r="O1916" i="2"/>
  <c r="O1900" i="2"/>
  <c r="N1900" i="2"/>
  <c r="O1884" i="2"/>
  <c r="N1884" i="2"/>
  <c r="N1868" i="2"/>
  <c r="O1868" i="2"/>
  <c r="O1852" i="2"/>
  <c r="N1852" i="2"/>
  <c r="N1836" i="2"/>
  <c r="O1836" i="2"/>
  <c r="O1820" i="2"/>
  <c r="N1820" i="2"/>
  <c r="N1804" i="2"/>
  <c r="O1804" i="2"/>
  <c r="N1788" i="2"/>
  <c r="O1788" i="2"/>
  <c r="N1772" i="2"/>
  <c r="O1772" i="2"/>
  <c r="N1756" i="2"/>
  <c r="O1756" i="2"/>
  <c r="O1740" i="2"/>
  <c r="N1740" i="2"/>
  <c r="O1724" i="2"/>
  <c r="N1724" i="2"/>
  <c r="N1708" i="2"/>
  <c r="O1708" i="2"/>
  <c r="N1692" i="2"/>
  <c r="O1692" i="2"/>
  <c r="O1676" i="2"/>
  <c r="N1676" i="2"/>
  <c r="N1660" i="2"/>
  <c r="O1660" i="2"/>
  <c r="O1644" i="2"/>
  <c r="N1644" i="2"/>
  <c r="N1766" i="2"/>
  <c r="O1766" i="2"/>
  <c r="N1750" i="2"/>
  <c r="O1750" i="2"/>
  <c r="N1734" i="2"/>
  <c r="O1734" i="2"/>
  <c r="O1718" i="2"/>
  <c r="N1718" i="2"/>
  <c r="O1702" i="2"/>
  <c r="N1702" i="2"/>
  <c r="O1686" i="2"/>
  <c r="N1686" i="2"/>
  <c r="N1670" i="2"/>
  <c r="O1670" i="2"/>
  <c r="N1654" i="2"/>
  <c r="O1654" i="2"/>
  <c r="N1638" i="2"/>
  <c r="O1638" i="2"/>
  <c r="O1622" i="2"/>
  <c r="N1622" i="2"/>
  <c r="O1606" i="2"/>
  <c r="N1606" i="2"/>
  <c r="N1590" i="2"/>
  <c r="O1590" i="2"/>
  <c r="N1574" i="2"/>
  <c r="O1574" i="2"/>
  <c r="N1558" i="2"/>
  <c r="O1558" i="2"/>
  <c r="N1542" i="2"/>
  <c r="O1542" i="2"/>
  <c r="N2197" i="2"/>
  <c r="O2197" i="2"/>
  <c r="N2181" i="2"/>
  <c r="O2181" i="2"/>
  <c r="O2165" i="2"/>
  <c r="N2165" i="2"/>
  <c r="N2149" i="2"/>
  <c r="O2149" i="2"/>
  <c r="N2133" i="2"/>
  <c r="O2133" i="2"/>
  <c r="N2117" i="2"/>
  <c r="O2117" i="2"/>
  <c r="N2101" i="2"/>
  <c r="O2101" i="2"/>
  <c r="N2085" i="2"/>
  <c r="O2085" i="2"/>
  <c r="N2069" i="2"/>
  <c r="O2069" i="2"/>
  <c r="N2053" i="2"/>
  <c r="O2053" i="2"/>
  <c r="O2037" i="2"/>
  <c r="N2037" i="2"/>
  <c r="N2021" i="2"/>
  <c r="O2021" i="2"/>
  <c r="N2005" i="2"/>
  <c r="O2005" i="2"/>
  <c r="N1989" i="2"/>
  <c r="O1989" i="2"/>
  <c r="N1973" i="2"/>
  <c r="O1973" i="2"/>
  <c r="N1957" i="2"/>
  <c r="O1957" i="2"/>
  <c r="N1941" i="2"/>
  <c r="O1941" i="2"/>
  <c r="N1925" i="2"/>
  <c r="O1925" i="2"/>
  <c r="O1909" i="2"/>
  <c r="N1909" i="2"/>
  <c r="N1893" i="2"/>
  <c r="O1893" i="2"/>
  <c r="N1877" i="2"/>
  <c r="O1877" i="2"/>
  <c r="N1861" i="2"/>
  <c r="O1861" i="2"/>
  <c r="N1845" i="2"/>
  <c r="O1845" i="2"/>
  <c r="N1829" i="2"/>
  <c r="O1829" i="2"/>
  <c r="N1813" i="2"/>
  <c r="O1813" i="2"/>
  <c r="N1797" i="2"/>
  <c r="O1797" i="2"/>
  <c r="O1781" i="2"/>
  <c r="N1781" i="2"/>
  <c r="N1765" i="2"/>
  <c r="O1765" i="2"/>
  <c r="N1749" i="2"/>
  <c r="O1749" i="2"/>
  <c r="N1733" i="2"/>
  <c r="O1733" i="2"/>
  <c r="N1717" i="2"/>
  <c r="O1717" i="2"/>
  <c r="N1701" i="2"/>
  <c r="O1701" i="2"/>
  <c r="N1685" i="2"/>
  <c r="O1685" i="2"/>
  <c r="N1669" i="2"/>
  <c r="O1669" i="2"/>
  <c r="O1653" i="2"/>
  <c r="N1653" i="2"/>
  <c r="N1637" i="2"/>
  <c r="O1637" i="2"/>
  <c r="N1621" i="2"/>
  <c r="O1621" i="2"/>
  <c r="N1605" i="2"/>
  <c r="O1605" i="2"/>
  <c r="N1589" i="2"/>
  <c r="O1589" i="2"/>
  <c r="N1573" i="2"/>
  <c r="O1573" i="2"/>
  <c r="N1557" i="2"/>
  <c r="O1557" i="2"/>
  <c r="N1541" i="2"/>
  <c r="O1541" i="2"/>
  <c r="N2196" i="2"/>
  <c r="O2196" i="2"/>
  <c r="N2180" i="2"/>
  <c r="O2180" i="2"/>
  <c r="N2164" i="2"/>
  <c r="O2164" i="2"/>
  <c r="O2148" i="2"/>
  <c r="N2148" i="2"/>
  <c r="N2132" i="2"/>
  <c r="O2132" i="2"/>
  <c r="O2116" i="2"/>
  <c r="N2116" i="2"/>
  <c r="N2100" i="2"/>
  <c r="O2100" i="2"/>
  <c r="N2084" i="2"/>
  <c r="O2084" i="2"/>
  <c r="N2068" i="2"/>
  <c r="O2068" i="2"/>
  <c r="N2052" i="2"/>
  <c r="O2052" i="2"/>
  <c r="N2036" i="2"/>
  <c r="O2036" i="2"/>
  <c r="O2020" i="2"/>
  <c r="N2020" i="2"/>
  <c r="N2004" i="2"/>
  <c r="O2004" i="2"/>
  <c r="N1988" i="2"/>
  <c r="O1988" i="2"/>
  <c r="N1972" i="2"/>
  <c r="O1972" i="2"/>
  <c r="O1956" i="2"/>
  <c r="N1956" i="2"/>
  <c r="N1940" i="2"/>
  <c r="O1940" i="2"/>
  <c r="O1924" i="2"/>
  <c r="N1924" i="2"/>
  <c r="N1908" i="2"/>
  <c r="O1908" i="2"/>
  <c r="O1892" i="2"/>
  <c r="N1892" i="2"/>
  <c r="N1876" i="2"/>
  <c r="O1876" i="2"/>
  <c r="N1860" i="2"/>
  <c r="O1860" i="2"/>
  <c r="N1844" i="2"/>
  <c r="O1844" i="2"/>
  <c r="N1828" i="2"/>
  <c r="O1828" i="2"/>
  <c r="O1812" i="2"/>
  <c r="N1812" i="2"/>
  <c r="N1796" i="2"/>
  <c r="O1796" i="2"/>
  <c r="N1780" i="2"/>
  <c r="O1780" i="2"/>
  <c r="O1764" i="2"/>
  <c r="N1764" i="2"/>
  <c r="N1748" i="2"/>
  <c r="O1748" i="2"/>
  <c r="N1732" i="2"/>
  <c r="O1732" i="2"/>
  <c r="N1716" i="2"/>
  <c r="O1716" i="2"/>
  <c r="O1700" i="2"/>
  <c r="N1700" i="2"/>
  <c r="N1684" i="2"/>
  <c r="O1684" i="2"/>
  <c r="N1668" i="2"/>
  <c r="O1668" i="2"/>
  <c r="N1652" i="2"/>
  <c r="O1652" i="2"/>
  <c r="N1636" i="2"/>
  <c r="O1636" i="2"/>
  <c r="N1628" i="2"/>
  <c r="O1612" i="2"/>
  <c r="N1612" i="2"/>
  <c r="N1596" i="2"/>
  <c r="O1596" i="2"/>
  <c r="O1580" i="2"/>
  <c r="N1580" i="2"/>
  <c r="N1564" i="2"/>
  <c r="N1548" i="2"/>
  <c r="O1548" i="2"/>
  <c r="N1536" i="2"/>
  <c r="O1536" i="2"/>
  <c r="O1526" i="2"/>
  <c r="N1526" i="2"/>
  <c r="N1502" i="2"/>
  <c r="O1502" i="2"/>
  <c r="O1486" i="2"/>
  <c r="N1486" i="2"/>
  <c r="N1322" i="2"/>
  <c r="O1322" i="2"/>
  <c r="O1194" i="2"/>
  <c r="N1194" i="2"/>
  <c r="N1066" i="2"/>
  <c r="O1066" i="2"/>
  <c r="O1237" i="2"/>
  <c r="N1338" i="2"/>
  <c r="O1338" i="2"/>
  <c r="O1210" i="2"/>
  <c r="N1210" i="2"/>
  <c r="O1082" i="2"/>
  <c r="N1082" i="2"/>
  <c r="O1354" i="2"/>
  <c r="N1354" i="2"/>
  <c r="N1226" i="2"/>
  <c r="O1226" i="2"/>
  <c r="O1098" i="2"/>
  <c r="N1098" i="2"/>
  <c r="N1510" i="2"/>
  <c r="O1510" i="2"/>
  <c r="N1494" i="2"/>
  <c r="O1494" i="2"/>
  <c r="N1478" i="2"/>
  <c r="O1478" i="2"/>
  <c r="N1462" i="2"/>
  <c r="O1462" i="2"/>
  <c r="N1446" i="2"/>
  <c r="O1446" i="2"/>
  <c r="N1430" i="2"/>
  <c r="O1430" i="2"/>
  <c r="N1414" i="2"/>
  <c r="O1414" i="2"/>
  <c r="N1398" i="2"/>
  <c r="O1398" i="2"/>
  <c r="N1382" i="2"/>
  <c r="O1382" i="2"/>
  <c r="O1366" i="2"/>
  <c r="N1366" i="2"/>
  <c r="N1350" i="2"/>
  <c r="O1350" i="2"/>
  <c r="N1334" i="2"/>
  <c r="O1334" i="2"/>
  <c r="O1318" i="2"/>
  <c r="N1318" i="2"/>
  <c r="O1302" i="2"/>
  <c r="N1302" i="2"/>
  <c r="N1286" i="2"/>
  <c r="O1286" i="2"/>
  <c r="N1270" i="2"/>
  <c r="O1270" i="2"/>
  <c r="N1254" i="2"/>
  <c r="O1254" i="2"/>
  <c r="N1238" i="2"/>
  <c r="O1238" i="2"/>
  <c r="N1222" i="2"/>
  <c r="O1222" i="2"/>
  <c r="O1206" i="2"/>
  <c r="N1206" i="2"/>
  <c r="N1190" i="2"/>
  <c r="O1190" i="2"/>
  <c r="O1174" i="2"/>
  <c r="N1174" i="2"/>
  <c r="O1158" i="2"/>
  <c r="N1158" i="2"/>
  <c r="N1142" i="2"/>
  <c r="O1142" i="2"/>
  <c r="N1126" i="2"/>
  <c r="O1126" i="2"/>
  <c r="N1110" i="2"/>
  <c r="O1110" i="2"/>
  <c r="O1094" i="2"/>
  <c r="N1094" i="2"/>
  <c r="N1078" i="2"/>
  <c r="O1078" i="2"/>
  <c r="N1062" i="2"/>
  <c r="O1062" i="2"/>
  <c r="N1046" i="2"/>
  <c r="O1046" i="2"/>
  <c r="N1030" i="2"/>
  <c r="O1030" i="2"/>
  <c r="N1014" i="2"/>
  <c r="O1014" i="2"/>
  <c r="O998" i="2"/>
  <c r="N998" i="2"/>
  <c r="O982" i="2"/>
  <c r="N982" i="2"/>
  <c r="N966" i="2"/>
  <c r="O966" i="2"/>
  <c r="N950" i="2"/>
  <c r="O950" i="2"/>
  <c r="N934" i="2"/>
  <c r="O934" i="2"/>
  <c r="N918" i="2"/>
  <c r="O918" i="2"/>
  <c r="O902" i="2"/>
  <c r="N902" i="2"/>
  <c r="O886" i="2"/>
  <c r="N886" i="2"/>
  <c r="O870" i="2"/>
  <c r="N870" i="2"/>
  <c r="N1532" i="2"/>
  <c r="O1532" i="2"/>
  <c r="O1523" i="2"/>
  <c r="N1523" i="2"/>
  <c r="O1507" i="2"/>
  <c r="N1507" i="2"/>
  <c r="N1491" i="2"/>
  <c r="O1491" i="2"/>
  <c r="O1475" i="2"/>
  <c r="N1475" i="2"/>
  <c r="N1459" i="2"/>
  <c r="O1459" i="2"/>
  <c r="N1443" i="2"/>
  <c r="O1443" i="2"/>
  <c r="O1427" i="2"/>
  <c r="N1427" i="2"/>
  <c r="N1411" i="2"/>
  <c r="O1411" i="2"/>
  <c r="N1395" i="2"/>
  <c r="O1395" i="2"/>
  <c r="N1379" i="2"/>
  <c r="O1379" i="2"/>
  <c r="N1363" i="2"/>
  <c r="O1363" i="2"/>
  <c r="N1347" i="2"/>
  <c r="O1347" i="2"/>
  <c r="O1331" i="2"/>
  <c r="N1331" i="2"/>
  <c r="N1315" i="2"/>
  <c r="O1315" i="2"/>
  <c r="N1299" i="2"/>
  <c r="O1299" i="2"/>
  <c r="O1283" i="2"/>
  <c r="N1283" i="2"/>
  <c r="N1267" i="2"/>
  <c r="O1267" i="2"/>
  <c r="N1251" i="2"/>
  <c r="O1251" i="2"/>
  <c r="N1235" i="2"/>
  <c r="O1235" i="2"/>
  <c r="N1219" i="2"/>
  <c r="O1219" i="2"/>
  <c r="O1203" i="2"/>
  <c r="N1203" i="2"/>
  <c r="O1187" i="2"/>
  <c r="N1187" i="2"/>
  <c r="O1171" i="2"/>
  <c r="N1171" i="2"/>
  <c r="N1155" i="2"/>
  <c r="O1155" i="2"/>
  <c r="N1139" i="2"/>
  <c r="O1139" i="2"/>
  <c r="N1123" i="2"/>
  <c r="O1123" i="2"/>
  <c r="N1107" i="2"/>
  <c r="O1107" i="2"/>
  <c r="O1091" i="2"/>
  <c r="N1091" i="2"/>
  <c r="O1075" i="2"/>
  <c r="N1075" i="2"/>
  <c r="O1059" i="2"/>
  <c r="N1059" i="2"/>
  <c r="N1043" i="2"/>
  <c r="O1043" i="2"/>
  <c r="O1027" i="2"/>
  <c r="N1027" i="2"/>
  <c r="N1011" i="2"/>
  <c r="O1011" i="2"/>
  <c r="O995" i="2"/>
  <c r="N995" i="2"/>
  <c r="O979" i="2"/>
  <c r="N979" i="2"/>
  <c r="O963" i="2"/>
  <c r="N963" i="2"/>
  <c r="O947" i="2"/>
  <c r="N947" i="2"/>
  <c r="O931" i="2"/>
  <c r="N931" i="2"/>
  <c r="N915" i="2"/>
  <c r="O915" i="2"/>
  <c r="O899" i="2"/>
  <c r="N899" i="2"/>
  <c r="N883" i="2"/>
  <c r="O883" i="2"/>
  <c r="O867" i="2"/>
  <c r="N867" i="2"/>
  <c r="N1530" i="2"/>
  <c r="O1530" i="2"/>
  <c r="N1514" i="2"/>
  <c r="O1514" i="2"/>
  <c r="O1498" i="2"/>
  <c r="N1498" i="2"/>
  <c r="O1482" i="2"/>
  <c r="N1482" i="2"/>
  <c r="N1466" i="2"/>
  <c r="O1466" i="2"/>
  <c r="O1450" i="2"/>
  <c r="N1450" i="2"/>
  <c r="O1434" i="2"/>
  <c r="N1434" i="2"/>
  <c r="N1418" i="2"/>
  <c r="O1418" i="2"/>
  <c r="O1402" i="2"/>
  <c r="N1402" i="2"/>
  <c r="N1386" i="2"/>
  <c r="O1386" i="2"/>
  <c r="N1370" i="2"/>
  <c r="O1370" i="2"/>
  <c r="N1242" i="2"/>
  <c r="O1242" i="2"/>
  <c r="N1114" i="2"/>
  <c r="O1114" i="2"/>
  <c r="N986" i="2"/>
  <c r="O986" i="2"/>
  <c r="N1470" i="2"/>
  <c r="O1470" i="2"/>
  <c r="N1454" i="2"/>
  <c r="O1454" i="2"/>
  <c r="O1438" i="2"/>
  <c r="N1438" i="2"/>
  <c r="N1422" i="2"/>
  <c r="O1422" i="2"/>
  <c r="N1406" i="2"/>
  <c r="O1406" i="2"/>
  <c r="O1390" i="2"/>
  <c r="N1390" i="2"/>
  <c r="O1374" i="2"/>
  <c r="N1374" i="2"/>
  <c r="N1358" i="2"/>
  <c r="O1358" i="2"/>
  <c r="O1342" i="2"/>
  <c r="N1342" i="2"/>
  <c r="N1326" i="2"/>
  <c r="O1326" i="2"/>
  <c r="O1310" i="2"/>
  <c r="N1310" i="2"/>
  <c r="N1294" i="2"/>
  <c r="O1294" i="2"/>
  <c r="O1278" i="2"/>
  <c r="N1278" i="2"/>
  <c r="N1262" i="2"/>
  <c r="O1262" i="2"/>
  <c r="O1246" i="2"/>
  <c r="N1246" i="2"/>
  <c r="N1230" i="2"/>
  <c r="O1230" i="2"/>
  <c r="N1214" i="2"/>
  <c r="O1214" i="2"/>
  <c r="N1198" i="2"/>
  <c r="O1198" i="2"/>
  <c r="N1182" i="2"/>
  <c r="O1182" i="2"/>
  <c r="N1166" i="2"/>
  <c r="O1166" i="2"/>
  <c r="N1150" i="2"/>
  <c r="O1150" i="2"/>
  <c r="N1134" i="2"/>
  <c r="O1134" i="2"/>
  <c r="N1118" i="2"/>
  <c r="O1118" i="2"/>
  <c r="O1102" i="2"/>
  <c r="N1102" i="2"/>
  <c r="O1086" i="2"/>
  <c r="N1086" i="2"/>
  <c r="O1070" i="2"/>
  <c r="N1070" i="2"/>
  <c r="O1054" i="2"/>
  <c r="N1054" i="2"/>
  <c r="N1038" i="2"/>
  <c r="O1038" i="2"/>
  <c r="N1022" i="2"/>
  <c r="O1022" i="2"/>
  <c r="N1006" i="2"/>
  <c r="O1006" i="2"/>
  <c r="N990" i="2"/>
  <c r="O990" i="2"/>
  <c r="N974" i="2"/>
  <c r="O974" i="2"/>
  <c r="N958" i="2"/>
  <c r="O958" i="2"/>
  <c r="N942" i="2"/>
  <c r="O942" i="2"/>
  <c r="N926" i="2"/>
  <c r="O926" i="2"/>
  <c r="O910" i="2"/>
  <c r="N910" i="2"/>
  <c r="O894" i="2"/>
  <c r="N894" i="2"/>
  <c r="O878" i="2"/>
  <c r="N878" i="2"/>
  <c r="O862" i="2"/>
  <c r="N862" i="2"/>
  <c r="O1531" i="2"/>
  <c r="N1531" i="2"/>
  <c r="N1515" i="2"/>
  <c r="O1515" i="2"/>
  <c r="N1499" i="2"/>
  <c r="O1499" i="2"/>
  <c r="N1483" i="2"/>
  <c r="O1483" i="2"/>
  <c r="N1467" i="2"/>
  <c r="O1467" i="2"/>
  <c r="N1451" i="2"/>
  <c r="O1451" i="2"/>
  <c r="N1435" i="2"/>
  <c r="O1435" i="2"/>
  <c r="N1419" i="2"/>
  <c r="O1419" i="2"/>
  <c r="N1403" i="2"/>
  <c r="O1403" i="2"/>
  <c r="N1387" i="2"/>
  <c r="O1387" i="2"/>
  <c r="N1371" i="2"/>
  <c r="O1371" i="2"/>
  <c r="N1355" i="2"/>
  <c r="O1355" i="2"/>
  <c r="N1339" i="2"/>
  <c r="O1339" i="2"/>
  <c r="N1323" i="2"/>
  <c r="O1323" i="2"/>
  <c r="O1307" i="2"/>
  <c r="N1307" i="2"/>
  <c r="O1291" i="2"/>
  <c r="N1291" i="2"/>
  <c r="N1275" i="2"/>
  <c r="O1275" i="2"/>
  <c r="O1259" i="2"/>
  <c r="N1259" i="2"/>
  <c r="N1243" i="2"/>
  <c r="O1243" i="2"/>
  <c r="O1227" i="2"/>
  <c r="N1227" i="2"/>
  <c r="N1211" i="2"/>
  <c r="O1211" i="2"/>
  <c r="N1195" i="2"/>
  <c r="O1195" i="2"/>
  <c r="N1179" i="2"/>
  <c r="O1179" i="2"/>
  <c r="N1163" i="2"/>
  <c r="O1163" i="2"/>
  <c r="N1147" i="2"/>
  <c r="O1147" i="2"/>
  <c r="N1131" i="2"/>
  <c r="O1131" i="2"/>
  <c r="O1115" i="2"/>
  <c r="N1115" i="2"/>
  <c r="O1099" i="2"/>
  <c r="N1099" i="2"/>
  <c r="O1083" i="2"/>
  <c r="N1083" i="2"/>
  <c r="N1067" i="2"/>
  <c r="O1067" i="2"/>
  <c r="N1051" i="2"/>
  <c r="O1051" i="2"/>
  <c r="O1035" i="2"/>
  <c r="N1035" i="2"/>
  <c r="O1019" i="2"/>
  <c r="N1019" i="2"/>
  <c r="O1003" i="2"/>
  <c r="N1003" i="2"/>
  <c r="O987" i="2"/>
  <c r="N987" i="2"/>
  <c r="O971" i="2"/>
  <c r="N971" i="2"/>
  <c r="N955" i="2"/>
  <c r="O955" i="2"/>
  <c r="N939" i="2"/>
  <c r="O939" i="2"/>
  <c r="N923" i="2"/>
  <c r="O923" i="2"/>
  <c r="O907" i="2"/>
  <c r="N907" i="2"/>
  <c r="O891" i="2"/>
  <c r="N891" i="2"/>
  <c r="O875" i="2"/>
  <c r="N875" i="2"/>
  <c r="O859" i="2"/>
  <c r="N859" i="2"/>
  <c r="O1522" i="2"/>
  <c r="N1522" i="2"/>
  <c r="O1506" i="2"/>
  <c r="N1506" i="2"/>
  <c r="O1490" i="2"/>
  <c r="N1490" i="2"/>
  <c r="O1474" i="2"/>
  <c r="N1474" i="2"/>
  <c r="O1458" i="2"/>
  <c r="N1458" i="2"/>
  <c r="O1442" i="2"/>
  <c r="N1442" i="2"/>
  <c r="O1426" i="2"/>
  <c r="N1426" i="2"/>
  <c r="O1410" i="2"/>
  <c r="N1410" i="2"/>
  <c r="O1394" i="2"/>
  <c r="N1394" i="2"/>
  <c r="O1378" i="2"/>
  <c r="N1378" i="2"/>
  <c r="O1306" i="2"/>
  <c r="N1306" i="2"/>
  <c r="N1290" i="2"/>
  <c r="O1290" i="2"/>
  <c r="O1274" i="2"/>
  <c r="N1274" i="2"/>
  <c r="O1258" i="2"/>
  <c r="N1258" i="2"/>
  <c r="O1178" i="2"/>
  <c r="N1178" i="2"/>
  <c r="N1162" i="2"/>
  <c r="O1162" i="2"/>
  <c r="N1146" i="2"/>
  <c r="O1146" i="2"/>
  <c r="N1130" i="2"/>
  <c r="O1130" i="2"/>
  <c r="N1050" i="2"/>
  <c r="O1050" i="2"/>
  <c r="N1034" i="2"/>
  <c r="O1034" i="2"/>
  <c r="O1018" i="2"/>
  <c r="N1018" i="2"/>
  <c r="N1002" i="2"/>
  <c r="O1002" i="2"/>
  <c r="O1224" i="2"/>
  <c r="N1224" i="2"/>
  <c r="N1199" i="2"/>
  <c r="O1199" i="2"/>
  <c r="N1173" i="2"/>
  <c r="O1173" i="2"/>
  <c r="N1148" i="2"/>
  <c r="O1148" i="2"/>
  <c r="O1121" i="2"/>
  <c r="N1121" i="2"/>
  <c r="O1096" i="2"/>
  <c r="N1096" i="2"/>
  <c r="N1071" i="2"/>
  <c r="O1071" i="2"/>
  <c r="N1045" i="2"/>
  <c r="O1045" i="2"/>
  <c r="N1020" i="2"/>
  <c r="O1020" i="2"/>
  <c r="N993" i="2"/>
  <c r="O993" i="2"/>
  <c r="O968" i="2"/>
  <c r="N968" i="2"/>
  <c r="O943" i="2"/>
  <c r="N943" i="2"/>
  <c r="N1517" i="2"/>
  <c r="O1517" i="2"/>
  <c r="N1492" i="2"/>
  <c r="O1492" i="2"/>
  <c r="O1465" i="2"/>
  <c r="N1465" i="2"/>
  <c r="O1440" i="2"/>
  <c r="N1440" i="2"/>
  <c r="N1415" i="2"/>
  <c r="O1415" i="2"/>
  <c r="N1389" i="2"/>
  <c r="O1389" i="2"/>
  <c r="O1364" i="2"/>
  <c r="N1364" i="2"/>
  <c r="O1337" i="2"/>
  <c r="N1337" i="2"/>
  <c r="N1312" i="2"/>
  <c r="O1312" i="2"/>
  <c r="N1287" i="2"/>
  <c r="O1287" i="2"/>
  <c r="N1261" i="2"/>
  <c r="O1261" i="2"/>
  <c r="N1236" i="2"/>
  <c r="O1236" i="2"/>
  <c r="O1209" i="2"/>
  <c r="N1209" i="2"/>
  <c r="N1184" i="2"/>
  <c r="O1184" i="2"/>
  <c r="N1159" i="2"/>
  <c r="O1159" i="2"/>
  <c r="N1133" i="2"/>
  <c r="O1133" i="2"/>
  <c r="N1108" i="2"/>
  <c r="O1108" i="2"/>
  <c r="N1081" i="2"/>
  <c r="O1081" i="2"/>
  <c r="N1056" i="2"/>
  <c r="O1056" i="2"/>
  <c r="O1031" i="2"/>
  <c r="N1031" i="2"/>
  <c r="O1005" i="2"/>
  <c r="N1005" i="2"/>
  <c r="N980" i="2"/>
  <c r="O980" i="2"/>
  <c r="N953" i="2"/>
  <c r="O953" i="2"/>
  <c r="N1516" i="2"/>
  <c r="O1516" i="2"/>
  <c r="N1489" i="2"/>
  <c r="O1489" i="2"/>
  <c r="N1464" i="2"/>
  <c r="O1464" i="2"/>
  <c r="N1439" i="2"/>
  <c r="O1439" i="2"/>
  <c r="N1413" i="2"/>
  <c r="O1413" i="2"/>
  <c r="O1388" i="2"/>
  <c r="N1388" i="2"/>
  <c r="N1361" i="2"/>
  <c r="O1361" i="2"/>
  <c r="O1336" i="2"/>
  <c r="N1336" i="2"/>
  <c r="N1311" i="2"/>
  <c r="O1311" i="2"/>
  <c r="O1285" i="2"/>
  <c r="N1285" i="2"/>
  <c r="N1260" i="2"/>
  <c r="O1260" i="2"/>
  <c r="N1233" i="2"/>
  <c r="O1233" i="2"/>
  <c r="O1208" i="2"/>
  <c r="N1208" i="2"/>
  <c r="N1183" i="2"/>
  <c r="O1183" i="2"/>
  <c r="O1157" i="2"/>
  <c r="N1157" i="2"/>
  <c r="O1132" i="2"/>
  <c r="N1132" i="2"/>
  <c r="N1105" i="2"/>
  <c r="O1105" i="2"/>
  <c r="N1080" i="2"/>
  <c r="O1080" i="2"/>
  <c r="N1055" i="2"/>
  <c r="O1055" i="2"/>
  <c r="N1029" i="2"/>
  <c r="O1029" i="2"/>
  <c r="O1004" i="2"/>
  <c r="N1004" i="2"/>
  <c r="N977" i="2"/>
  <c r="O977" i="2"/>
  <c r="O952" i="2"/>
  <c r="N952" i="2"/>
  <c r="O927" i="2"/>
  <c r="N927" i="2"/>
  <c r="N901" i="2"/>
  <c r="O901" i="2"/>
  <c r="O876" i="2"/>
  <c r="N876" i="2"/>
  <c r="N852" i="2"/>
  <c r="O852" i="2"/>
  <c r="N836" i="2"/>
  <c r="O836" i="2"/>
  <c r="N820" i="2"/>
  <c r="O820" i="2"/>
  <c r="N804" i="2"/>
  <c r="O804" i="2"/>
  <c r="O788" i="2"/>
  <c r="N788" i="2"/>
  <c r="O772" i="2"/>
  <c r="N772" i="2"/>
  <c r="N756" i="2"/>
  <c r="O756" i="2"/>
  <c r="N970" i="2"/>
  <c r="O970" i="2"/>
  <c r="O954" i="2"/>
  <c r="N954" i="2"/>
  <c r="O938" i="2"/>
  <c r="N938" i="2"/>
  <c r="O922" i="2"/>
  <c r="N922" i="2"/>
  <c r="O906" i="2"/>
  <c r="N906" i="2"/>
  <c r="O890" i="2"/>
  <c r="N890" i="2"/>
  <c r="O874" i="2"/>
  <c r="N874" i="2"/>
  <c r="N858" i="2"/>
  <c r="O858" i="2"/>
  <c r="N1520" i="2"/>
  <c r="O1520" i="2"/>
  <c r="N1495" i="2"/>
  <c r="O1495" i="2"/>
  <c r="N1469" i="2"/>
  <c r="O1469" i="2"/>
  <c r="O1444" i="2"/>
  <c r="N1444" i="2"/>
  <c r="O1417" i="2"/>
  <c r="N1417" i="2"/>
  <c r="N1392" i="2"/>
  <c r="O1392" i="2"/>
  <c r="N1367" i="2"/>
  <c r="O1367" i="2"/>
  <c r="O1341" i="2"/>
  <c r="N1341" i="2"/>
  <c r="N1316" i="2"/>
  <c r="O1316" i="2"/>
  <c r="O1289" i="2"/>
  <c r="N1289" i="2"/>
  <c r="N1264" i="2"/>
  <c r="O1264" i="2"/>
  <c r="O1239" i="2"/>
  <c r="N1239" i="2"/>
  <c r="O1213" i="2"/>
  <c r="N1213" i="2"/>
  <c r="N1188" i="2"/>
  <c r="O1188" i="2"/>
  <c r="O1161" i="2"/>
  <c r="N1161" i="2"/>
  <c r="N1136" i="2"/>
  <c r="O1136" i="2"/>
  <c r="N1111" i="2"/>
  <c r="O1111" i="2"/>
  <c r="N1085" i="2"/>
  <c r="O1085" i="2"/>
  <c r="O1060" i="2"/>
  <c r="N1060" i="2"/>
  <c r="N1033" i="2"/>
  <c r="O1033" i="2"/>
  <c r="O1008" i="2"/>
  <c r="N1008" i="2"/>
  <c r="N983" i="2"/>
  <c r="O983" i="2"/>
  <c r="N957" i="2"/>
  <c r="O957" i="2"/>
  <c r="N1519" i="2"/>
  <c r="O1519" i="2"/>
  <c r="N1493" i="2"/>
  <c r="O1493" i="2"/>
  <c r="O1468" i="2"/>
  <c r="N1468" i="2"/>
  <c r="N1441" i="2"/>
  <c r="O1441" i="2"/>
  <c r="N1416" i="2"/>
  <c r="O1416" i="2"/>
  <c r="N1391" i="2"/>
  <c r="O1391" i="2"/>
  <c r="N1365" i="2"/>
  <c r="O1365" i="2"/>
  <c r="N1340" i="2"/>
  <c r="O1340" i="2"/>
  <c r="O1313" i="2"/>
  <c r="N1313" i="2"/>
  <c r="N1288" i="2"/>
  <c r="O1288" i="2"/>
  <c r="N1263" i="2"/>
  <c r="O1263" i="2"/>
  <c r="N1362" i="2"/>
  <c r="O1362" i="2"/>
  <c r="N1346" i="2"/>
  <c r="O1346" i="2"/>
  <c r="N1330" i="2"/>
  <c r="O1330" i="2"/>
  <c r="O1314" i="2"/>
  <c r="N1314" i="2"/>
  <c r="N1298" i="2"/>
  <c r="O1298" i="2"/>
  <c r="N1282" i="2"/>
  <c r="O1282" i="2"/>
  <c r="N1266" i="2"/>
  <c r="O1266" i="2"/>
  <c r="O1250" i="2"/>
  <c r="N1250" i="2"/>
  <c r="O1234" i="2"/>
  <c r="N1234" i="2"/>
  <c r="O1218" i="2"/>
  <c r="N1218" i="2"/>
  <c r="O1202" i="2"/>
  <c r="N1202" i="2"/>
  <c r="N1186" i="2"/>
  <c r="O1186" i="2"/>
  <c r="O1170" i="2"/>
  <c r="N1170" i="2"/>
  <c r="O1154" i="2"/>
  <c r="N1154" i="2"/>
  <c r="O1138" i="2"/>
  <c r="N1138" i="2"/>
  <c r="N1122" i="2"/>
  <c r="O1122" i="2"/>
  <c r="N1106" i="2"/>
  <c r="O1106" i="2"/>
  <c r="O1090" i="2"/>
  <c r="N1090" i="2"/>
  <c r="N1074" i="2"/>
  <c r="O1074" i="2"/>
  <c r="N1058" i="2"/>
  <c r="O1058" i="2"/>
  <c r="O1042" i="2"/>
  <c r="N1042" i="2"/>
  <c r="N1026" i="2"/>
  <c r="O1026" i="2"/>
  <c r="N1010" i="2"/>
  <c r="O1010" i="2"/>
  <c r="N994" i="2"/>
  <c r="O994" i="2"/>
  <c r="N978" i="2"/>
  <c r="O978" i="2"/>
  <c r="N962" i="2"/>
  <c r="O962" i="2"/>
  <c r="O946" i="2"/>
  <c r="N946" i="2"/>
  <c r="O930" i="2"/>
  <c r="N930" i="2"/>
  <c r="O914" i="2"/>
  <c r="N914" i="2"/>
  <c r="N898" i="2"/>
  <c r="O898" i="2"/>
  <c r="O882" i="2"/>
  <c r="N882" i="2"/>
  <c r="N866" i="2"/>
  <c r="O866" i="2"/>
  <c r="N1535" i="2"/>
  <c r="O1535" i="2"/>
  <c r="N1508" i="2"/>
  <c r="O1508" i="2"/>
  <c r="O1481" i="2"/>
  <c r="N1481" i="2"/>
  <c r="N1456" i="2"/>
  <c r="O1456" i="2"/>
  <c r="O1431" i="2"/>
  <c r="N1431" i="2"/>
  <c r="O1405" i="2"/>
  <c r="N1405" i="2"/>
  <c r="N1380" i="2"/>
  <c r="O1380" i="2"/>
  <c r="N1353" i="2"/>
  <c r="O1353" i="2"/>
  <c r="N1328" i="2"/>
  <c r="O1328" i="2"/>
  <c r="N1303" i="2"/>
  <c r="O1303" i="2"/>
  <c r="N1277" i="2"/>
  <c r="O1277" i="2"/>
  <c r="O1252" i="2"/>
  <c r="N1252" i="2"/>
  <c r="N1225" i="2"/>
  <c r="O1225" i="2"/>
  <c r="O1200" i="2"/>
  <c r="N1200" i="2"/>
  <c r="N1175" i="2"/>
  <c r="O1175" i="2"/>
  <c r="O1149" i="2"/>
  <c r="N1149" i="2"/>
  <c r="O1124" i="2"/>
  <c r="N1124" i="2"/>
  <c r="N1097" i="2"/>
  <c r="O1097" i="2"/>
  <c r="N1072" i="2"/>
  <c r="O1072" i="2"/>
  <c r="N1047" i="2"/>
  <c r="O1047" i="2"/>
  <c r="N1021" i="2"/>
  <c r="O1021" i="2"/>
  <c r="N996" i="2"/>
  <c r="O996" i="2"/>
  <c r="O969" i="2"/>
  <c r="N969" i="2"/>
  <c r="O1533" i="2"/>
  <c r="N1533" i="2"/>
  <c r="N1505" i="2"/>
  <c r="O1505" i="2"/>
  <c r="O1480" i="2"/>
  <c r="N1480" i="2"/>
  <c r="N1455" i="2"/>
  <c r="O1455" i="2"/>
  <c r="N1429" i="2"/>
  <c r="O1429" i="2"/>
  <c r="N1404" i="2"/>
  <c r="O1404" i="2"/>
  <c r="N1377" i="2"/>
  <c r="O1377" i="2"/>
  <c r="N1352" i="2"/>
  <c r="O1352" i="2"/>
  <c r="O1327" i="2"/>
  <c r="N1327" i="2"/>
  <c r="N1301" i="2"/>
  <c r="O1301" i="2"/>
  <c r="O1276" i="2"/>
  <c r="N1276" i="2"/>
  <c r="N1249" i="2"/>
  <c r="O1249" i="2"/>
  <c r="N1237" i="2"/>
  <c r="O1212" i="2"/>
  <c r="N1212" i="2"/>
  <c r="N1185" i="2"/>
  <c r="O1185" i="2"/>
  <c r="N1160" i="2"/>
  <c r="O1160" i="2"/>
  <c r="O1135" i="2"/>
  <c r="N1135" i="2"/>
  <c r="O1109" i="2"/>
  <c r="N1109" i="2"/>
  <c r="N1084" i="2"/>
  <c r="O1084" i="2"/>
  <c r="O1057" i="2"/>
  <c r="N1057" i="2"/>
  <c r="O1007" i="2"/>
  <c r="N1007" i="2"/>
  <c r="N981" i="2"/>
  <c r="O981" i="2"/>
  <c r="N956" i="2"/>
  <c r="O956" i="2"/>
  <c r="O1529" i="2"/>
  <c r="N1529" i="2"/>
  <c r="O1504" i="2"/>
  <c r="N1504" i="2"/>
  <c r="O1479" i="2"/>
  <c r="N1479" i="2"/>
  <c r="N1453" i="2"/>
  <c r="O1453" i="2"/>
  <c r="O1428" i="2"/>
  <c r="N1428" i="2"/>
  <c r="O1401" i="2"/>
  <c r="N1401" i="2"/>
  <c r="N1376" i="2"/>
  <c r="O1376" i="2"/>
  <c r="N1351" i="2"/>
  <c r="O1351" i="2"/>
  <c r="N1325" i="2"/>
  <c r="O1325" i="2"/>
  <c r="O1300" i="2"/>
  <c r="N1300" i="2"/>
  <c r="O1273" i="2"/>
  <c r="N1273" i="2"/>
  <c r="O1248" i="2"/>
  <c r="N1248" i="2"/>
  <c r="O1223" i="2"/>
  <c r="N1223" i="2"/>
  <c r="O1197" i="2"/>
  <c r="N1197" i="2"/>
  <c r="O1172" i="2"/>
  <c r="N1172" i="2"/>
  <c r="O1145" i="2"/>
  <c r="N1145" i="2"/>
  <c r="N1120" i="2"/>
  <c r="O1120" i="2"/>
  <c r="O1095" i="2"/>
  <c r="N1095" i="2"/>
  <c r="O1069" i="2"/>
  <c r="N1069" i="2"/>
  <c r="O1044" i="2"/>
  <c r="N1044" i="2"/>
  <c r="O1017" i="2"/>
  <c r="N1017" i="2"/>
  <c r="O992" i="2"/>
  <c r="N992" i="2"/>
  <c r="O967" i="2"/>
  <c r="N967" i="2"/>
  <c r="O1528" i="2"/>
  <c r="N1528" i="2"/>
  <c r="O1503" i="2"/>
  <c r="N1503" i="2"/>
  <c r="N1477" i="2"/>
  <c r="O1477" i="2"/>
  <c r="O1452" i="2"/>
  <c r="N1452" i="2"/>
  <c r="O1425" i="2"/>
  <c r="N1425" i="2"/>
  <c r="N1400" i="2"/>
  <c r="O1400" i="2"/>
  <c r="O1375" i="2"/>
  <c r="N1375" i="2"/>
  <c r="O1349" i="2"/>
  <c r="N1349" i="2"/>
  <c r="N1324" i="2"/>
  <c r="O1324" i="2"/>
  <c r="O1297" i="2"/>
  <c r="N1297" i="2"/>
  <c r="N1272" i="2"/>
  <c r="O1272" i="2"/>
  <c r="O1247" i="2"/>
  <c r="N1247" i="2"/>
  <c r="O1221" i="2"/>
  <c r="N1221" i="2"/>
  <c r="N1196" i="2"/>
  <c r="O1196" i="2"/>
  <c r="O1169" i="2"/>
  <c r="N1169" i="2"/>
  <c r="N1144" i="2"/>
  <c r="O1144" i="2"/>
  <c r="O1119" i="2"/>
  <c r="N1119" i="2"/>
  <c r="N1093" i="2"/>
  <c r="O1093" i="2"/>
  <c r="O1068" i="2"/>
  <c r="N1068" i="2"/>
  <c r="N1041" i="2"/>
  <c r="O1041" i="2"/>
  <c r="O1016" i="2"/>
  <c r="N1016" i="2"/>
  <c r="O991" i="2"/>
  <c r="N991" i="2"/>
  <c r="N965" i="2"/>
  <c r="O965" i="2"/>
  <c r="N940" i="2"/>
  <c r="O940" i="2"/>
  <c r="O913" i="2"/>
  <c r="N913" i="2"/>
  <c r="N888" i="2"/>
  <c r="O888" i="2"/>
  <c r="O863" i="2"/>
  <c r="N863" i="2"/>
  <c r="O844" i="2"/>
  <c r="N844" i="2"/>
  <c r="N828" i="2"/>
  <c r="O828" i="2"/>
  <c r="O812" i="2"/>
  <c r="N812" i="2"/>
  <c r="O796" i="2"/>
  <c r="N796" i="2"/>
  <c r="O780" i="2"/>
  <c r="N780" i="2"/>
  <c r="O764" i="2"/>
  <c r="N764" i="2"/>
  <c r="O748" i="2"/>
  <c r="N748" i="2"/>
  <c r="N732" i="2"/>
  <c r="O732" i="2"/>
  <c r="O716" i="2"/>
  <c r="N716" i="2"/>
  <c r="O700" i="2"/>
  <c r="N700" i="2"/>
  <c r="O684" i="2"/>
  <c r="N684" i="2"/>
  <c r="O668" i="2"/>
  <c r="N668" i="2"/>
  <c r="O652" i="2"/>
  <c r="N652" i="2"/>
  <c r="N636" i="2"/>
  <c r="O636" i="2"/>
  <c r="O620" i="2"/>
  <c r="N620" i="2"/>
  <c r="O604" i="2"/>
  <c r="N604" i="2"/>
  <c r="O1513" i="2"/>
  <c r="N1513" i="2"/>
  <c r="N1488" i="2"/>
  <c r="O1488" i="2"/>
  <c r="O1463" i="2"/>
  <c r="N1463" i="2"/>
  <c r="O1437" i="2"/>
  <c r="N1437" i="2"/>
  <c r="N1412" i="2"/>
  <c r="O1412" i="2"/>
  <c r="N1385" i="2"/>
  <c r="O1385" i="2"/>
  <c r="O1360" i="2"/>
  <c r="N1360" i="2"/>
  <c r="O1335" i="2"/>
  <c r="N1335" i="2"/>
  <c r="O1309" i="2"/>
  <c r="N1309" i="2"/>
  <c r="N1284" i="2"/>
  <c r="O1284" i="2"/>
  <c r="O1257" i="2"/>
  <c r="N1257" i="2"/>
  <c r="O1232" i="2"/>
  <c r="N1232" i="2"/>
  <c r="O1207" i="2"/>
  <c r="N1207" i="2"/>
  <c r="N1181" i="2"/>
  <c r="O1181" i="2"/>
  <c r="N1156" i="2"/>
  <c r="O1156" i="2"/>
  <c r="O1129" i="2"/>
  <c r="N1129" i="2"/>
  <c r="N1104" i="2"/>
  <c r="O1104" i="2"/>
  <c r="N1079" i="2"/>
  <c r="O1079" i="2"/>
  <c r="O1053" i="2"/>
  <c r="N1053" i="2"/>
  <c r="O1028" i="2"/>
  <c r="N1028" i="2"/>
  <c r="O1001" i="2"/>
  <c r="N1001" i="2"/>
  <c r="N976" i="2"/>
  <c r="O976" i="2"/>
  <c r="O951" i="2"/>
  <c r="N951" i="2"/>
  <c r="O1512" i="2"/>
  <c r="N1512" i="2"/>
  <c r="N1487" i="2"/>
  <c r="O1487" i="2"/>
  <c r="N1461" i="2"/>
  <c r="O1461" i="2"/>
  <c r="O1436" i="2"/>
  <c r="N1436" i="2"/>
  <c r="O1409" i="2"/>
  <c r="N1409" i="2"/>
  <c r="O1384" i="2"/>
  <c r="N1384" i="2"/>
  <c r="O1359" i="2"/>
  <c r="N1359" i="2"/>
  <c r="N1333" i="2"/>
  <c r="O1333" i="2"/>
  <c r="N1308" i="2"/>
  <c r="O1308" i="2"/>
  <c r="N1281" i="2"/>
  <c r="O1281" i="2"/>
  <c r="O1256" i="2"/>
  <c r="N1256" i="2"/>
  <c r="O1231" i="2"/>
  <c r="N1231" i="2"/>
  <c r="N1205" i="2"/>
  <c r="O1205" i="2"/>
  <c r="N1180" i="2"/>
  <c r="O1180" i="2"/>
  <c r="O1153" i="2"/>
  <c r="N1153" i="2"/>
  <c r="N1128" i="2"/>
  <c r="O1128" i="2"/>
  <c r="O1103" i="2"/>
  <c r="N1103" i="2"/>
  <c r="N1077" i="2"/>
  <c r="O1077" i="2"/>
  <c r="N1052" i="2"/>
  <c r="O1052" i="2"/>
  <c r="N1025" i="2"/>
  <c r="O1025" i="2"/>
  <c r="O1000" i="2"/>
  <c r="N1000" i="2"/>
  <c r="N975" i="2"/>
  <c r="O975" i="2"/>
  <c r="N949" i="2"/>
  <c r="O949" i="2"/>
  <c r="N924" i="2"/>
  <c r="O924" i="2"/>
  <c r="O897" i="2"/>
  <c r="N897" i="2"/>
  <c r="N872" i="2"/>
  <c r="O872" i="2"/>
  <c r="N850" i="2"/>
  <c r="O850" i="2"/>
  <c r="N834" i="2"/>
  <c r="O834" i="2"/>
  <c r="N818" i="2"/>
  <c r="O818" i="2"/>
  <c r="O802" i="2"/>
  <c r="N802" i="2"/>
  <c r="N786" i="2"/>
  <c r="O786" i="2"/>
  <c r="N770" i="2"/>
  <c r="O770" i="2"/>
  <c r="N754" i="2"/>
  <c r="O754" i="2"/>
  <c r="O738" i="2"/>
  <c r="N738" i="2"/>
  <c r="O722" i="2"/>
  <c r="N722" i="2"/>
  <c r="N706" i="2"/>
  <c r="O706" i="2"/>
  <c r="O690" i="2"/>
  <c r="N690" i="2"/>
  <c r="O674" i="2"/>
  <c r="N674" i="2"/>
  <c r="O658" i="2"/>
  <c r="N658" i="2"/>
  <c r="N642" i="2"/>
  <c r="O642" i="2"/>
  <c r="N626" i="2"/>
  <c r="O626" i="2"/>
  <c r="N1524" i="2"/>
  <c r="O1524" i="2"/>
  <c r="N1497" i="2"/>
  <c r="O1497" i="2"/>
  <c r="O1472" i="2"/>
  <c r="N1472" i="2"/>
  <c r="O1447" i="2"/>
  <c r="N1447" i="2"/>
  <c r="N1421" i="2"/>
  <c r="O1421" i="2"/>
  <c r="N1396" i="2"/>
  <c r="O1396" i="2"/>
  <c r="O1369" i="2"/>
  <c r="N1369" i="2"/>
  <c r="N1344" i="2"/>
  <c r="O1344" i="2"/>
  <c r="O1319" i="2"/>
  <c r="N1319" i="2"/>
  <c r="N1293" i="2"/>
  <c r="O1293" i="2"/>
  <c r="O1268" i="2"/>
  <c r="N1268" i="2"/>
  <c r="O1241" i="2"/>
  <c r="N1241" i="2"/>
  <c r="N1216" i="2"/>
  <c r="O1216" i="2"/>
  <c r="N1191" i="2"/>
  <c r="O1191" i="2"/>
  <c r="N1165" i="2"/>
  <c r="O1165" i="2"/>
  <c r="O1140" i="2"/>
  <c r="N1140" i="2"/>
  <c r="O1113" i="2"/>
  <c r="N1113" i="2"/>
  <c r="O1088" i="2"/>
  <c r="N1088" i="2"/>
  <c r="N1063" i="2"/>
  <c r="O1063" i="2"/>
  <c r="N1037" i="2"/>
  <c r="O1037" i="2"/>
  <c r="O1012" i="2"/>
  <c r="N1012" i="2"/>
  <c r="N985" i="2"/>
  <c r="O985" i="2"/>
  <c r="O960" i="2"/>
  <c r="N960" i="2"/>
  <c r="N935" i="2"/>
  <c r="O935" i="2"/>
  <c r="N909" i="2"/>
  <c r="O909" i="2"/>
  <c r="N884" i="2"/>
  <c r="O884" i="2"/>
  <c r="O857" i="2"/>
  <c r="N857" i="2"/>
  <c r="N841" i="2"/>
  <c r="O841" i="2"/>
  <c r="N825" i="2"/>
  <c r="O825" i="2"/>
  <c r="N809" i="2"/>
  <c r="O809" i="2"/>
  <c r="N793" i="2"/>
  <c r="O793" i="2"/>
  <c r="O777" i="2"/>
  <c r="N777" i="2"/>
  <c r="N761" i="2"/>
  <c r="O761" i="2"/>
  <c r="N745" i="2"/>
  <c r="O745" i="2"/>
  <c r="N729" i="2"/>
  <c r="O729" i="2"/>
  <c r="O713" i="2"/>
  <c r="N713" i="2"/>
  <c r="O697" i="2"/>
  <c r="N697" i="2"/>
  <c r="O681" i="2"/>
  <c r="N681" i="2"/>
  <c r="O665" i="2"/>
  <c r="N665" i="2"/>
  <c r="N649" i="2"/>
  <c r="O649" i="2"/>
  <c r="O740" i="2"/>
  <c r="N740" i="2"/>
  <c r="O724" i="2"/>
  <c r="N724" i="2"/>
  <c r="O708" i="2"/>
  <c r="N708" i="2"/>
  <c r="N692" i="2"/>
  <c r="O692" i="2"/>
  <c r="O676" i="2"/>
  <c r="N676" i="2"/>
  <c r="N660" i="2"/>
  <c r="O660" i="2"/>
  <c r="N644" i="2"/>
  <c r="O644" i="2"/>
  <c r="O628" i="2"/>
  <c r="N628" i="2"/>
  <c r="N612" i="2"/>
  <c r="O612" i="2"/>
  <c r="O1527" i="2"/>
  <c r="N1527" i="2"/>
  <c r="O1501" i="2"/>
  <c r="N1501" i="2"/>
  <c r="O1476" i="2"/>
  <c r="N1476" i="2"/>
  <c r="O1449" i="2"/>
  <c r="N1449" i="2"/>
  <c r="N1424" i="2"/>
  <c r="O1424" i="2"/>
  <c r="O1399" i="2"/>
  <c r="N1399" i="2"/>
  <c r="N1373" i="2"/>
  <c r="O1373" i="2"/>
  <c r="N1348" i="2"/>
  <c r="O1348" i="2"/>
  <c r="N1321" i="2"/>
  <c r="O1321" i="2"/>
  <c r="N1296" i="2"/>
  <c r="O1296" i="2"/>
  <c r="O1271" i="2"/>
  <c r="N1271" i="2"/>
  <c r="N1245" i="2"/>
  <c r="O1245" i="2"/>
  <c r="N1220" i="2"/>
  <c r="O1220" i="2"/>
  <c r="N1193" i="2"/>
  <c r="O1193" i="2"/>
  <c r="N1168" i="2"/>
  <c r="O1168" i="2"/>
  <c r="N1143" i="2"/>
  <c r="O1143" i="2"/>
  <c r="N1117" i="2"/>
  <c r="O1117" i="2"/>
  <c r="N1092" i="2"/>
  <c r="O1092" i="2"/>
  <c r="N1065" i="2"/>
  <c r="O1065" i="2"/>
  <c r="N1040" i="2"/>
  <c r="O1040" i="2"/>
  <c r="N1015" i="2"/>
  <c r="O1015" i="2"/>
  <c r="O989" i="2"/>
  <c r="N989" i="2"/>
  <c r="N964" i="2"/>
  <c r="O964" i="2"/>
  <c r="O1525" i="2"/>
  <c r="N1525" i="2"/>
  <c r="N1500" i="2"/>
  <c r="O1500" i="2"/>
  <c r="N1473" i="2"/>
  <c r="O1473" i="2"/>
  <c r="O1448" i="2"/>
  <c r="N1448" i="2"/>
  <c r="N1423" i="2"/>
  <c r="O1423" i="2"/>
  <c r="O1397" i="2"/>
  <c r="N1397" i="2"/>
  <c r="N1372" i="2"/>
  <c r="O1372" i="2"/>
  <c r="N1345" i="2"/>
  <c r="O1345" i="2"/>
  <c r="O1320" i="2"/>
  <c r="N1320" i="2"/>
  <c r="N1295" i="2"/>
  <c r="O1295" i="2"/>
  <c r="N1269" i="2"/>
  <c r="O1269" i="2"/>
  <c r="N1244" i="2"/>
  <c r="O1244" i="2"/>
  <c r="N1217" i="2"/>
  <c r="O1217" i="2"/>
  <c r="O1192" i="2"/>
  <c r="N1192" i="2"/>
  <c r="N1167" i="2"/>
  <c r="O1167" i="2"/>
  <c r="O1141" i="2"/>
  <c r="N1141" i="2"/>
  <c r="O1116" i="2"/>
  <c r="N1116" i="2"/>
  <c r="N1089" i="2"/>
  <c r="O1089" i="2"/>
  <c r="N1064" i="2"/>
  <c r="O1064" i="2"/>
  <c r="O1039" i="2"/>
  <c r="N1039" i="2"/>
  <c r="N1013" i="2"/>
  <c r="O1013" i="2"/>
  <c r="N988" i="2"/>
  <c r="O988" i="2"/>
  <c r="O961" i="2"/>
  <c r="N961" i="2"/>
  <c r="N936" i="2"/>
  <c r="O936" i="2"/>
  <c r="O911" i="2"/>
  <c r="N911" i="2"/>
  <c r="N885" i="2"/>
  <c r="O885" i="2"/>
  <c r="N860" i="2"/>
  <c r="O860" i="2"/>
  <c r="O842" i="2"/>
  <c r="N842" i="2"/>
  <c r="N826" i="2"/>
  <c r="O826" i="2"/>
  <c r="O810" i="2"/>
  <c r="N810" i="2"/>
  <c r="N794" i="2"/>
  <c r="O794" i="2"/>
  <c r="O778" i="2"/>
  <c r="N778" i="2"/>
  <c r="O762" i="2"/>
  <c r="N762" i="2"/>
  <c r="N746" i="2"/>
  <c r="O746" i="2"/>
  <c r="O730" i="2"/>
  <c r="N730" i="2"/>
  <c r="N714" i="2"/>
  <c r="O714" i="2"/>
  <c r="O698" i="2"/>
  <c r="N698" i="2"/>
  <c r="N682" i="2"/>
  <c r="O682" i="2"/>
  <c r="N666" i="2"/>
  <c r="O666" i="2"/>
  <c r="N650" i="2"/>
  <c r="O650" i="2"/>
  <c r="O634" i="2"/>
  <c r="N634" i="2"/>
  <c r="O618" i="2"/>
  <c r="N618" i="2"/>
  <c r="N1511" i="2"/>
  <c r="O1511" i="2"/>
  <c r="N1485" i="2"/>
  <c r="O1485" i="2"/>
  <c r="N1460" i="2"/>
  <c r="O1460" i="2"/>
  <c r="O1433" i="2"/>
  <c r="N1433" i="2"/>
  <c r="N1408" i="2"/>
  <c r="O1408" i="2"/>
  <c r="O1383" i="2"/>
  <c r="N1383" i="2"/>
  <c r="O1357" i="2"/>
  <c r="N1357" i="2"/>
  <c r="O1332" i="2"/>
  <c r="N1332" i="2"/>
  <c r="O1305" i="2"/>
  <c r="N1305" i="2"/>
  <c r="N1280" i="2"/>
  <c r="O1280" i="2"/>
  <c r="O1255" i="2"/>
  <c r="N1255" i="2"/>
  <c r="O1229" i="2"/>
  <c r="N1229" i="2"/>
  <c r="N1204" i="2"/>
  <c r="O1204" i="2"/>
  <c r="O1177" i="2"/>
  <c r="N1177" i="2"/>
  <c r="O1152" i="2"/>
  <c r="N1152" i="2"/>
  <c r="N1127" i="2"/>
  <c r="O1127" i="2"/>
  <c r="N1101" i="2"/>
  <c r="O1101" i="2"/>
  <c r="O1076" i="2"/>
  <c r="N1076" i="2"/>
  <c r="O1049" i="2"/>
  <c r="N1049" i="2"/>
  <c r="O1024" i="2"/>
  <c r="N1024" i="2"/>
  <c r="N999" i="2"/>
  <c r="O999" i="2"/>
  <c r="N973" i="2"/>
  <c r="O973" i="2"/>
  <c r="N948" i="2"/>
  <c r="O948" i="2"/>
  <c r="O921" i="2"/>
  <c r="N921" i="2"/>
  <c r="O896" i="2"/>
  <c r="N896" i="2"/>
  <c r="N871" i="2"/>
  <c r="O871" i="2"/>
  <c r="N849" i="2"/>
  <c r="O849" i="2"/>
  <c r="N833" i="2"/>
  <c r="O833" i="2"/>
  <c r="N817" i="2"/>
  <c r="O817" i="2"/>
  <c r="O801" i="2"/>
  <c r="N801" i="2"/>
  <c r="N785" i="2"/>
  <c r="O785" i="2"/>
  <c r="O769" i="2"/>
  <c r="N769" i="2"/>
  <c r="N753" i="2"/>
  <c r="O753" i="2"/>
  <c r="N737" i="2"/>
  <c r="O737" i="2"/>
  <c r="O721" i="2"/>
  <c r="N721" i="2"/>
  <c r="O705" i="2"/>
  <c r="N705" i="2"/>
  <c r="N689" i="2"/>
  <c r="O689" i="2"/>
  <c r="N673" i="2"/>
  <c r="O673" i="2"/>
  <c r="N657" i="2"/>
  <c r="O657" i="2"/>
  <c r="N633" i="2"/>
  <c r="O633" i="2"/>
  <c r="O617" i="2"/>
  <c r="N617" i="2"/>
  <c r="O601" i="2"/>
  <c r="N601" i="2"/>
  <c r="N1420" i="2"/>
  <c r="O1420" i="2"/>
  <c r="O1215" i="2"/>
  <c r="N1215" i="2"/>
  <c r="N1009" i="2"/>
  <c r="O1009" i="2"/>
  <c r="N917" i="2"/>
  <c r="O917" i="2"/>
  <c r="O877" i="2"/>
  <c r="N877" i="2"/>
  <c r="N843" i="2"/>
  <c r="O843" i="2"/>
  <c r="N816" i="2"/>
  <c r="O816" i="2"/>
  <c r="N1407" i="2"/>
  <c r="O1407" i="2"/>
  <c r="N1201" i="2"/>
  <c r="O1201" i="2"/>
  <c r="N997" i="2"/>
  <c r="O997" i="2"/>
  <c r="N916" i="2"/>
  <c r="O916" i="2"/>
  <c r="N873" i="2"/>
  <c r="O873" i="2"/>
  <c r="O840" i="2"/>
  <c r="N840" i="2"/>
  <c r="O815" i="2"/>
  <c r="N815" i="2"/>
  <c r="O790" i="2"/>
  <c r="N790" i="2"/>
  <c r="O765" i="2"/>
  <c r="N765" i="2"/>
  <c r="N739" i="2"/>
  <c r="O739" i="2"/>
  <c r="N712" i="2"/>
  <c r="O712" i="2"/>
  <c r="N687" i="2"/>
  <c r="O687" i="2"/>
  <c r="N662" i="2"/>
  <c r="O662" i="2"/>
  <c r="O637" i="2"/>
  <c r="N637" i="2"/>
  <c r="N611" i="2"/>
  <c r="O611" i="2"/>
  <c r="N592" i="2"/>
  <c r="O592" i="2"/>
  <c r="O576" i="2"/>
  <c r="N576" i="2"/>
  <c r="N1496" i="2"/>
  <c r="O1496" i="2"/>
  <c r="O641" i="2"/>
  <c r="N641" i="2"/>
  <c r="O625" i="2"/>
  <c r="N625" i="2"/>
  <c r="O609" i="2"/>
  <c r="N609" i="2"/>
  <c r="O1521" i="2"/>
  <c r="N1521" i="2"/>
  <c r="N1317" i="2"/>
  <c r="O1317" i="2"/>
  <c r="O1112" i="2"/>
  <c r="N1112" i="2"/>
  <c r="O937" i="2"/>
  <c r="N937" i="2"/>
  <c r="N895" i="2"/>
  <c r="O895" i="2"/>
  <c r="N855" i="2"/>
  <c r="O855" i="2"/>
  <c r="N830" i="2"/>
  <c r="O830" i="2"/>
  <c r="N1509" i="2"/>
  <c r="O1509" i="2"/>
  <c r="N1304" i="2"/>
  <c r="O1304" i="2"/>
  <c r="O1100" i="2"/>
  <c r="N1100" i="2"/>
  <c r="N933" i="2"/>
  <c r="O933" i="2"/>
  <c r="O893" i="2"/>
  <c r="N893" i="2"/>
  <c r="N854" i="2"/>
  <c r="O854" i="2"/>
  <c r="N829" i="2"/>
  <c r="O829" i="2"/>
  <c r="O803" i="2"/>
  <c r="N803" i="2"/>
  <c r="O776" i="2"/>
  <c r="N776" i="2"/>
  <c r="N751" i="2"/>
  <c r="O751" i="2"/>
  <c r="N726" i="2"/>
  <c r="O726" i="2"/>
  <c r="O701" i="2"/>
  <c r="N701" i="2"/>
  <c r="O675" i="2"/>
  <c r="N675" i="2"/>
  <c r="N648" i="2"/>
  <c r="O648" i="2"/>
  <c r="N623" i="2"/>
  <c r="O623" i="2"/>
  <c r="O600" i="2"/>
  <c r="N600" i="2"/>
  <c r="N584" i="2"/>
  <c r="O584" i="2"/>
  <c r="N568" i="2"/>
  <c r="O568" i="2"/>
  <c r="O356" i="2"/>
  <c r="N356" i="2"/>
  <c r="O340" i="2"/>
  <c r="N340" i="2"/>
  <c r="O324" i="2"/>
  <c r="N324" i="2"/>
  <c r="O308" i="2"/>
  <c r="N308" i="2"/>
  <c r="N292" i="2"/>
  <c r="O292" i="2"/>
  <c r="N276" i="2"/>
  <c r="O276" i="2"/>
  <c r="O260" i="2"/>
  <c r="N260" i="2"/>
  <c r="N244" i="2"/>
  <c r="O244" i="2"/>
  <c r="N228" i="2"/>
  <c r="O228" i="2"/>
  <c r="N212" i="2"/>
  <c r="O212" i="2"/>
  <c r="O196" i="2"/>
  <c r="N196" i="2"/>
  <c r="O180" i="2"/>
  <c r="N180" i="2"/>
  <c r="N164" i="2"/>
  <c r="O164" i="2"/>
  <c r="N1445" i="2"/>
  <c r="O1445" i="2"/>
  <c r="N1240" i="2"/>
  <c r="O1240" i="2"/>
  <c r="N1036" i="2"/>
  <c r="O1036" i="2"/>
  <c r="N920" i="2"/>
  <c r="O920" i="2"/>
  <c r="O880" i="2"/>
  <c r="N880" i="2"/>
  <c r="O846" i="2"/>
  <c r="N846" i="2"/>
  <c r="O821" i="2"/>
  <c r="N821" i="2"/>
  <c r="N795" i="2"/>
  <c r="O795" i="2"/>
  <c r="N768" i="2"/>
  <c r="O768" i="2"/>
  <c r="N743" i="2"/>
  <c r="O743" i="2"/>
  <c r="N718" i="2"/>
  <c r="O718" i="2"/>
  <c r="O693" i="2"/>
  <c r="N693" i="2"/>
  <c r="N667" i="2"/>
  <c r="O667" i="2"/>
  <c r="O640" i="2"/>
  <c r="N640" i="2"/>
  <c r="O615" i="2"/>
  <c r="N615" i="2"/>
  <c r="N595" i="2"/>
  <c r="O595" i="2"/>
  <c r="N579" i="2"/>
  <c r="O579" i="2"/>
  <c r="N563" i="2"/>
  <c r="O563" i="2"/>
  <c r="N547" i="2"/>
  <c r="O547" i="2"/>
  <c r="O531" i="2"/>
  <c r="N531" i="2"/>
  <c r="N515" i="2"/>
  <c r="O515" i="2"/>
  <c r="O499" i="2"/>
  <c r="N499" i="2"/>
  <c r="N483" i="2"/>
  <c r="O483" i="2"/>
  <c r="N467" i="2"/>
  <c r="O467" i="2"/>
  <c r="N451" i="2"/>
  <c r="O451" i="2"/>
  <c r="O19" i="2"/>
  <c r="N1393" i="2"/>
  <c r="O1393" i="2"/>
  <c r="N1189" i="2"/>
  <c r="O1189" i="2"/>
  <c r="O984" i="2"/>
  <c r="N984" i="2"/>
  <c r="N912" i="2"/>
  <c r="O912" i="2"/>
  <c r="N869" i="2"/>
  <c r="O869" i="2"/>
  <c r="O839" i="2"/>
  <c r="N839" i="2"/>
  <c r="N814" i="2"/>
  <c r="O814" i="2"/>
  <c r="N1381" i="2"/>
  <c r="O1381" i="2"/>
  <c r="O1176" i="2"/>
  <c r="N1176" i="2"/>
  <c r="N972" i="2"/>
  <c r="O972" i="2"/>
  <c r="N908" i="2"/>
  <c r="O908" i="2"/>
  <c r="N868" i="2"/>
  <c r="O868" i="2"/>
  <c r="O838" i="2"/>
  <c r="N838" i="2"/>
  <c r="O813" i="2"/>
  <c r="N813" i="2"/>
  <c r="N787" i="2"/>
  <c r="O787" i="2"/>
  <c r="O760" i="2"/>
  <c r="N760" i="2"/>
  <c r="N735" i="2"/>
  <c r="O735" i="2"/>
  <c r="N710" i="2"/>
  <c r="O710" i="2"/>
  <c r="O685" i="2"/>
  <c r="N685" i="2"/>
  <c r="N659" i="2"/>
  <c r="O659" i="2"/>
  <c r="N632" i="2"/>
  <c r="O632" i="2"/>
  <c r="O608" i="2"/>
  <c r="N608" i="2"/>
  <c r="N590" i="2"/>
  <c r="O590" i="2"/>
  <c r="N574" i="2"/>
  <c r="O574" i="2"/>
  <c r="N1471" i="2"/>
  <c r="O1471" i="2"/>
  <c r="O1265" i="2"/>
  <c r="N1265" i="2"/>
  <c r="O1061" i="2"/>
  <c r="N1061" i="2"/>
  <c r="O928" i="2"/>
  <c r="N928" i="2"/>
  <c r="N887" i="2"/>
  <c r="O887" i="2"/>
  <c r="N848" i="2"/>
  <c r="O848" i="2"/>
  <c r="N823" i="2"/>
  <c r="O823" i="2"/>
  <c r="O798" i="2"/>
  <c r="N798" i="2"/>
  <c r="O773" i="2"/>
  <c r="N773" i="2"/>
  <c r="O747" i="2"/>
  <c r="N747" i="2"/>
  <c r="O720" i="2"/>
  <c r="N720" i="2"/>
  <c r="N695" i="2"/>
  <c r="O695" i="2"/>
  <c r="N670" i="2"/>
  <c r="O670" i="2"/>
  <c r="N645" i="2"/>
  <c r="O645" i="2"/>
  <c r="O619" i="2"/>
  <c r="N619" i="2"/>
  <c r="N597" i="2"/>
  <c r="O597" i="2"/>
  <c r="O581" i="2"/>
  <c r="N581" i="2"/>
  <c r="O565" i="2"/>
  <c r="N565" i="2"/>
  <c r="N549" i="2"/>
  <c r="O549" i="2"/>
  <c r="N533" i="2"/>
  <c r="O533" i="2"/>
  <c r="O517" i="2"/>
  <c r="N517" i="2"/>
  <c r="N501" i="2"/>
  <c r="O501" i="2"/>
  <c r="O485" i="2"/>
  <c r="N485" i="2"/>
  <c r="O469" i="2"/>
  <c r="N469" i="2"/>
  <c r="O453" i="2"/>
  <c r="N453" i="2"/>
  <c r="O437" i="2"/>
  <c r="N437" i="2"/>
  <c r="N421" i="2"/>
  <c r="O421" i="2"/>
  <c r="O405" i="2"/>
  <c r="N405" i="2"/>
  <c r="O389" i="2"/>
  <c r="N389" i="2"/>
  <c r="O373" i="2"/>
  <c r="N373" i="2"/>
  <c r="O357" i="2"/>
  <c r="N357" i="2"/>
  <c r="O341" i="2"/>
  <c r="N341" i="2"/>
  <c r="O325" i="2"/>
  <c r="N325" i="2"/>
  <c r="N309" i="2"/>
  <c r="O309" i="2"/>
  <c r="N293" i="2"/>
  <c r="O293" i="2"/>
  <c r="O277" i="2"/>
  <c r="N277" i="2"/>
  <c r="N261" i="2"/>
  <c r="O261" i="2"/>
  <c r="O245" i="2"/>
  <c r="N245" i="2"/>
  <c r="N229" i="2"/>
  <c r="O229" i="2"/>
  <c r="N213" i="2"/>
  <c r="O213" i="2"/>
  <c r="N197" i="2"/>
  <c r="O197" i="2"/>
  <c r="O181" i="2"/>
  <c r="N181" i="2"/>
  <c r="N165" i="2"/>
  <c r="O165" i="2"/>
  <c r="O1356" i="2"/>
  <c r="N1356" i="2"/>
  <c r="N1151" i="2"/>
  <c r="O1151" i="2"/>
  <c r="O945" i="2"/>
  <c r="N945" i="2"/>
  <c r="N904" i="2"/>
  <c r="O904" i="2"/>
  <c r="O864" i="2"/>
  <c r="N864" i="2"/>
  <c r="O835" i="2"/>
  <c r="N835" i="2"/>
  <c r="O808" i="2"/>
  <c r="N808" i="2"/>
  <c r="O783" i="2"/>
  <c r="N783" i="2"/>
  <c r="N758" i="2"/>
  <c r="O758" i="2"/>
  <c r="O733" i="2"/>
  <c r="N733" i="2"/>
  <c r="O707" i="2"/>
  <c r="N707" i="2"/>
  <c r="O680" i="2"/>
  <c r="N680" i="2"/>
  <c r="N655" i="2"/>
  <c r="O655" i="2"/>
  <c r="N630" i="2"/>
  <c r="O630" i="2"/>
  <c r="N606" i="2"/>
  <c r="O606" i="2"/>
  <c r="N588" i="2"/>
  <c r="O588" i="2"/>
  <c r="N572" i="2"/>
  <c r="O572" i="2"/>
  <c r="N556" i="2"/>
  <c r="O556" i="2"/>
  <c r="N540" i="2"/>
  <c r="O540" i="2"/>
  <c r="N524" i="2"/>
  <c r="O524" i="2"/>
  <c r="N508" i="2"/>
  <c r="O508" i="2"/>
  <c r="O492" i="2"/>
  <c r="N492" i="2"/>
  <c r="O476" i="2"/>
  <c r="N476" i="2"/>
  <c r="N460" i="2"/>
  <c r="O460" i="2"/>
  <c r="N444" i="2"/>
  <c r="O444" i="2"/>
  <c r="N428" i="2"/>
  <c r="O428" i="2"/>
  <c r="N412" i="2"/>
  <c r="O412" i="2"/>
  <c r="O396" i="2"/>
  <c r="N396" i="2"/>
  <c r="O380" i="2"/>
  <c r="N380" i="2"/>
  <c r="N372" i="2"/>
  <c r="O372" i="2"/>
  <c r="O1292" i="2"/>
  <c r="N1292" i="2"/>
  <c r="N1087" i="2"/>
  <c r="O1087" i="2"/>
  <c r="N932" i="2"/>
  <c r="O932" i="2"/>
  <c r="N892" i="2"/>
  <c r="O892" i="2"/>
  <c r="O853" i="2"/>
  <c r="N853" i="2"/>
  <c r="N827" i="2"/>
  <c r="O827" i="2"/>
  <c r="O1484" i="2"/>
  <c r="N1484" i="2"/>
  <c r="N1279" i="2"/>
  <c r="O1279" i="2"/>
  <c r="O1073" i="2"/>
  <c r="N1073" i="2"/>
  <c r="N929" i="2"/>
  <c r="O929" i="2"/>
  <c r="N889" i="2"/>
  <c r="O889" i="2"/>
  <c r="O851" i="2"/>
  <c r="N851" i="2"/>
  <c r="O824" i="2"/>
  <c r="N824" i="2"/>
  <c r="O799" i="2"/>
  <c r="N799" i="2"/>
  <c r="O774" i="2"/>
  <c r="N774" i="2"/>
  <c r="N749" i="2"/>
  <c r="O749" i="2"/>
  <c r="N723" i="2"/>
  <c r="O723" i="2"/>
  <c r="N696" i="2"/>
  <c r="O696" i="2"/>
  <c r="N671" i="2"/>
  <c r="O671" i="2"/>
  <c r="O646" i="2"/>
  <c r="N646" i="2"/>
  <c r="N621" i="2"/>
  <c r="O621" i="2"/>
  <c r="N598" i="2"/>
  <c r="O598" i="2"/>
  <c r="N582" i="2"/>
  <c r="O582" i="2"/>
  <c r="N566" i="2"/>
  <c r="O566" i="2"/>
  <c r="O1368" i="2"/>
  <c r="N1368" i="2"/>
  <c r="O1164" i="2"/>
  <c r="N1164" i="2"/>
  <c r="N959" i="2"/>
  <c r="O959" i="2"/>
  <c r="O905" i="2"/>
  <c r="N905" i="2"/>
  <c r="N865" i="2"/>
  <c r="O865" i="2"/>
  <c r="O837" i="2"/>
  <c r="N837" i="2"/>
  <c r="O811" i="2"/>
  <c r="N811" i="2"/>
  <c r="O784" i="2"/>
  <c r="N784" i="2"/>
  <c r="O759" i="2"/>
  <c r="N759" i="2"/>
  <c r="N734" i="2"/>
  <c r="O734" i="2"/>
  <c r="O709" i="2"/>
  <c r="N709" i="2"/>
  <c r="N683" i="2"/>
  <c r="O683" i="2"/>
  <c r="N656" i="2"/>
  <c r="O656" i="2"/>
  <c r="N631" i="2"/>
  <c r="O631" i="2"/>
  <c r="N607" i="2"/>
  <c r="O607" i="2"/>
  <c r="N589" i="2"/>
  <c r="O589" i="2"/>
  <c r="N573" i="2"/>
  <c r="O573" i="2"/>
  <c r="N557" i="2"/>
  <c r="O557" i="2"/>
  <c r="N541" i="2"/>
  <c r="O541" i="2"/>
  <c r="N525" i="2"/>
  <c r="O525" i="2"/>
  <c r="N509" i="2"/>
  <c r="O509" i="2"/>
  <c r="N493" i="2"/>
  <c r="O493" i="2"/>
  <c r="O477" i="2"/>
  <c r="N477" i="2"/>
  <c r="N461" i="2"/>
  <c r="O461" i="2"/>
  <c r="N445" i="2"/>
  <c r="O445" i="2"/>
  <c r="N429" i="2"/>
  <c r="O429" i="2"/>
  <c r="O413" i="2"/>
  <c r="N413" i="2"/>
  <c r="N397" i="2"/>
  <c r="O397" i="2"/>
  <c r="N381" i="2"/>
  <c r="O381" i="2"/>
  <c r="N365" i="2"/>
  <c r="O365" i="2"/>
  <c r="O349" i="2"/>
  <c r="N349" i="2"/>
  <c r="N333" i="2"/>
  <c r="O333" i="2"/>
  <c r="N317" i="2"/>
  <c r="O317" i="2"/>
  <c r="O301" i="2"/>
  <c r="N301" i="2"/>
  <c r="N285" i="2"/>
  <c r="O285" i="2"/>
  <c r="O269" i="2"/>
  <c r="N269" i="2"/>
  <c r="N253" i="2"/>
  <c r="O253" i="2"/>
  <c r="O237" i="2"/>
  <c r="N237" i="2"/>
  <c r="O221" i="2"/>
  <c r="N221" i="2"/>
  <c r="O205" i="2"/>
  <c r="N205" i="2"/>
  <c r="N189" i="2"/>
  <c r="O189" i="2"/>
  <c r="O173" i="2"/>
  <c r="N173" i="2"/>
  <c r="O1457" i="2"/>
  <c r="N1457" i="2"/>
  <c r="O1253" i="2"/>
  <c r="N1253" i="2"/>
  <c r="O1048" i="2"/>
  <c r="N1048" i="2"/>
  <c r="O925" i="2"/>
  <c r="N925" i="2"/>
  <c r="N881" i="2"/>
  <c r="O881" i="2"/>
  <c r="N847" i="2"/>
  <c r="O847" i="2"/>
  <c r="O822" i="2"/>
  <c r="N822" i="2"/>
  <c r="O797" i="2"/>
  <c r="N797" i="2"/>
  <c r="N771" i="2"/>
  <c r="O771" i="2"/>
  <c r="O744" i="2"/>
  <c r="N744" i="2"/>
  <c r="N719" i="2"/>
  <c r="O719" i="2"/>
  <c r="N694" i="2"/>
  <c r="O694" i="2"/>
  <c r="N669" i="2"/>
  <c r="O669" i="2"/>
  <c r="N643" i="2"/>
  <c r="O643" i="2"/>
  <c r="N616" i="2"/>
  <c r="O616" i="2"/>
  <c r="N596" i="2"/>
  <c r="O596" i="2"/>
  <c r="N580" i="2"/>
  <c r="O580" i="2"/>
  <c r="O564" i="2"/>
  <c r="N564" i="2"/>
  <c r="O548" i="2"/>
  <c r="N548" i="2"/>
  <c r="N532" i="2"/>
  <c r="O532" i="2"/>
  <c r="O516" i="2"/>
  <c r="N516" i="2"/>
  <c r="O500" i="2"/>
  <c r="N500" i="2"/>
  <c r="N484" i="2"/>
  <c r="O484" i="2"/>
  <c r="N468" i="2"/>
  <c r="O468" i="2"/>
  <c r="N452" i="2"/>
  <c r="O452" i="2"/>
  <c r="O436" i="2"/>
  <c r="N436" i="2"/>
  <c r="O420" i="2"/>
  <c r="N420" i="2"/>
  <c r="N404" i="2"/>
  <c r="O404" i="2"/>
  <c r="N388" i="2"/>
  <c r="O388" i="2"/>
  <c r="O364" i="2"/>
  <c r="N364" i="2"/>
  <c r="O348" i="2"/>
  <c r="N348" i="2"/>
  <c r="O332" i="2"/>
  <c r="N332" i="2"/>
  <c r="O316" i="2"/>
  <c r="N316" i="2"/>
  <c r="N300" i="2"/>
  <c r="O300" i="2"/>
  <c r="N284" i="2"/>
  <c r="O284" i="2"/>
  <c r="N268" i="2"/>
  <c r="O268" i="2"/>
  <c r="N252" i="2"/>
  <c r="O252" i="2"/>
  <c r="O236" i="2"/>
  <c r="N236" i="2"/>
  <c r="O220" i="2"/>
  <c r="N220" i="2"/>
  <c r="N204" i="2"/>
  <c r="O204" i="2"/>
  <c r="N188" i="2"/>
  <c r="O188" i="2"/>
  <c r="O172" i="2"/>
  <c r="N172" i="2"/>
  <c r="O156" i="2"/>
  <c r="N156" i="2"/>
  <c r="N1343" i="2"/>
  <c r="O1343" i="2"/>
  <c r="N1137" i="2"/>
  <c r="O1137" i="2"/>
  <c r="N944" i="2"/>
  <c r="O944" i="2"/>
  <c r="O903" i="2"/>
  <c r="N903" i="2"/>
  <c r="O861" i="2"/>
  <c r="N861" i="2"/>
  <c r="O832" i="2"/>
  <c r="N832" i="2"/>
  <c r="O807" i="2"/>
  <c r="N807" i="2"/>
  <c r="O782" i="2"/>
  <c r="N782" i="2"/>
  <c r="O757" i="2"/>
  <c r="N757" i="2"/>
  <c r="N731" i="2"/>
  <c r="O731" i="2"/>
  <c r="O704" i="2"/>
  <c r="N704" i="2"/>
  <c r="O679" i="2"/>
  <c r="N679" i="2"/>
  <c r="O654" i="2"/>
  <c r="N654" i="2"/>
  <c r="O629" i="2"/>
  <c r="N629" i="2"/>
  <c r="O605" i="2"/>
  <c r="N605" i="2"/>
  <c r="O587" i="2"/>
  <c r="N587" i="2"/>
  <c r="O571" i="2"/>
  <c r="N571" i="2"/>
  <c r="N555" i="2"/>
  <c r="O555" i="2"/>
  <c r="N539" i="2"/>
  <c r="O539" i="2"/>
  <c r="N523" i="2"/>
  <c r="O523" i="2"/>
  <c r="O507" i="2"/>
  <c r="N507" i="2"/>
  <c r="O491" i="2"/>
  <c r="N491" i="2"/>
  <c r="O475" i="2"/>
  <c r="N475" i="2"/>
  <c r="O459" i="2"/>
  <c r="N459" i="2"/>
  <c r="N6" i="2"/>
  <c r="O6" i="2"/>
  <c r="N443" i="2"/>
  <c r="O443" i="2"/>
  <c r="O427" i="2"/>
  <c r="N427" i="2"/>
  <c r="O411" i="2"/>
  <c r="N411" i="2"/>
  <c r="O395" i="2"/>
  <c r="N395" i="2"/>
  <c r="O379" i="2"/>
  <c r="N379" i="2"/>
  <c r="N363" i="2"/>
  <c r="O363" i="2"/>
  <c r="O347" i="2"/>
  <c r="N347" i="2"/>
  <c r="O331" i="2"/>
  <c r="N331" i="2"/>
  <c r="O315" i="2"/>
  <c r="N315" i="2"/>
  <c r="N299" i="2"/>
  <c r="O299" i="2"/>
  <c r="O283" i="2"/>
  <c r="N283" i="2"/>
  <c r="O267" i="2"/>
  <c r="N267" i="2"/>
  <c r="N251" i="2"/>
  <c r="O251" i="2"/>
  <c r="N235" i="2"/>
  <c r="O235" i="2"/>
  <c r="N219" i="2"/>
  <c r="O219" i="2"/>
  <c r="N203" i="2"/>
  <c r="O203" i="2"/>
  <c r="N187" i="2"/>
  <c r="O187" i="2"/>
  <c r="N171" i="2"/>
  <c r="O171" i="2"/>
  <c r="N155" i="2"/>
  <c r="O155" i="2"/>
  <c r="O879" i="2"/>
  <c r="N879" i="2"/>
  <c r="N763" i="2"/>
  <c r="O763" i="2"/>
  <c r="N691" i="2"/>
  <c r="O691" i="2"/>
  <c r="N624" i="2"/>
  <c r="O624" i="2"/>
  <c r="N575" i="2"/>
  <c r="O575" i="2"/>
  <c r="O544" i="2"/>
  <c r="N544" i="2"/>
  <c r="N519" i="2"/>
  <c r="O519" i="2"/>
  <c r="O494" i="2"/>
  <c r="N494" i="2"/>
  <c r="O466" i="2"/>
  <c r="N466" i="2"/>
  <c r="O441" i="2"/>
  <c r="N441" i="2"/>
  <c r="O416" i="2"/>
  <c r="N416" i="2"/>
  <c r="N391" i="2"/>
  <c r="O391" i="2"/>
  <c r="N366" i="2"/>
  <c r="O366" i="2"/>
  <c r="N338" i="2"/>
  <c r="O338" i="2"/>
  <c r="N313" i="2"/>
  <c r="O313" i="2"/>
  <c r="O288" i="2"/>
  <c r="N288" i="2"/>
  <c r="O263" i="2"/>
  <c r="N263" i="2"/>
  <c r="O238" i="2"/>
  <c r="N238" i="2"/>
  <c r="N210" i="2"/>
  <c r="O210" i="2"/>
  <c r="O185" i="2"/>
  <c r="N185" i="2"/>
  <c r="O160" i="2"/>
  <c r="N160" i="2"/>
  <c r="O142" i="2"/>
  <c r="N142" i="2"/>
  <c r="O126" i="2"/>
  <c r="N126" i="2"/>
  <c r="O110" i="2"/>
  <c r="N110" i="2"/>
  <c r="O94" i="2"/>
  <c r="N94" i="2"/>
  <c r="N78" i="2"/>
  <c r="O78" i="2"/>
  <c r="O62" i="2"/>
  <c r="N62" i="2"/>
  <c r="O46" i="2"/>
  <c r="N46" i="2"/>
  <c r="O30" i="2"/>
  <c r="N30" i="2"/>
  <c r="N856" i="2"/>
  <c r="O856" i="2"/>
  <c r="O755" i="2"/>
  <c r="N755" i="2"/>
  <c r="O688" i="2"/>
  <c r="N688" i="2"/>
  <c r="O622" i="2"/>
  <c r="N622" i="2"/>
  <c r="O570" i="2"/>
  <c r="N570" i="2"/>
  <c r="N543" i="2"/>
  <c r="O543" i="2"/>
  <c r="N518" i="2"/>
  <c r="O518" i="2"/>
  <c r="N490" i="2"/>
  <c r="O490" i="2"/>
  <c r="N465" i="2"/>
  <c r="O465" i="2"/>
  <c r="N440" i="2"/>
  <c r="O440" i="2"/>
  <c r="N415" i="2"/>
  <c r="O415" i="2"/>
  <c r="N390" i="2"/>
  <c r="O390" i="2"/>
  <c r="O435" i="2"/>
  <c r="N435" i="2"/>
  <c r="N419" i="2"/>
  <c r="O419" i="2"/>
  <c r="N403" i="2"/>
  <c r="O403" i="2"/>
  <c r="O387" i="2"/>
  <c r="N387" i="2"/>
  <c r="N371" i="2"/>
  <c r="O371" i="2"/>
  <c r="N355" i="2"/>
  <c r="O355" i="2"/>
  <c r="O339" i="2"/>
  <c r="N339" i="2"/>
  <c r="N323" i="2"/>
  <c r="O323" i="2"/>
  <c r="O307" i="2"/>
  <c r="N307" i="2"/>
  <c r="N291" i="2"/>
  <c r="O291" i="2"/>
  <c r="N275" i="2"/>
  <c r="O275" i="2"/>
  <c r="O259" i="2"/>
  <c r="N259" i="2"/>
  <c r="N243" i="2"/>
  <c r="O243" i="2"/>
  <c r="N227" i="2"/>
  <c r="O227" i="2"/>
  <c r="O211" i="2"/>
  <c r="N211" i="2"/>
  <c r="N195" i="2"/>
  <c r="O195" i="2"/>
  <c r="N179" i="2"/>
  <c r="O179" i="2"/>
  <c r="N163" i="2"/>
  <c r="O163" i="2"/>
  <c r="N1432" i="2"/>
  <c r="O1432" i="2"/>
  <c r="O792" i="2"/>
  <c r="N792" i="2"/>
  <c r="O727" i="2"/>
  <c r="N727" i="2"/>
  <c r="N661" i="2"/>
  <c r="O661" i="2"/>
  <c r="N594" i="2"/>
  <c r="O594" i="2"/>
  <c r="O558" i="2"/>
  <c r="N558" i="2"/>
  <c r="N530" i="2"/>
  <c r="O530" i="2"/>
  <c r="N505" i="2"/>
  <c r="O505" i="2"/>
  <c r="N480" i="2"/>
  <c r="O480" i="2"/>
  <c r="O455" i="2"/>
  <c r="N455" i="2"/>
  <c r="O430" i="2"/>
  <c r="N430" i="2"/>
  <c r="O402" i="2"/>
  <c r="N402" i="2"/>
  <c r="N377" i="2"/>
  <c r="O377" i="2"/>
  <c r="N352" i="2"/>
  <c r="O352" i="2"/>
  <c r="N327" i="2"/>
  <c r="O327" i="2"/>
  <c r="N302" i="2"/>
  <c r="O302" i="2"/>
  <c r="O274" i="2"/>
  <c r="N274" i="2"/>
  <c r="N249" i="2"/>
  <c r="O249" i="2"/>
  <c r="O224" i="2"/>
  <c r="N224" i="2"/>
  <c r="N199" i="2"/>
  <c r="O199" i="2"/>
  <c r="N174" i="2"/>
  <c r="O174" i="2"/>
  <c r="N150" i="2"/>
  <c r="O150" i="2"/>
  <c r="N134" i="2"/>
  <c r="O134" i="2"/>
  <c r="N118" i="2"/>
  <c r="O118" i="2"/>
  <c r="O102" i="2"/>
  <c r="N102" i="2"/>
  <c r="N86" i="2"/>
  <c r="O86" i="2"/>
  <c r="N70" i="2"/>
  <c r="O70" i="2"/>
  <c r="O54" i="2"/>
  <c r="N54" i="2"/>
  <c r="N38" i="2"/>
  <c r="O38" i="2"/>
  <c r="N22" i="2"/>
  <c r="O22" i="2"/>
  <c r="O14" i="2"/>
  <c r="N14" i="2"/>
  <c r="N19" i="2"/>
  <c r="N1329" i="2"/>
  <c r="O1329" i="2"/>
  <c r="N791" i="2"/>
  <c r="O791" i="2"/>
  <c r="N725" i="2"/>
  <c r="O725" i="2"/>
  <c r="N653" i="2"/>
  <c r="O653" i="2"/>
  <c r="O593" i="2"/>
  <c r="N593" i="2"/>
  <c r="N554" i="2"/>
  <c r="O554" i="2"/>
  <c r="O529" i="2"/>
  <c r="N529" i="2"/>
  <c r="N504" i="2"/>
  <c r="O504" i="2"/>
  <c r="N479" i="2"/>
  <c r="O479" i="2"/>
  <c r="N454" i="2"/>
  <c r="O454" i="2"/>
  <c r="N426" i="2"/>
  <c r="O426" i="2"/>
  <c r="O401" i="2"/>
  <c r="N401" i="2"/>
  <c r="N376" i="2"/>
  <c r="O376" i="2"/>
  <c r="N845" i="2"/>
  <c r="O845" i="2"/>
  <c r="N752" i="2"/>
  <c r="O752" i="2"/>
  <c r="N686" i="2"/>
  <c r="O686" i="2"/>
  <c r="O614" i="2"/>
  <c r="N614" i="2"/>
  <c r="O569" i="2"/>
  <c r="N569" i="2"/>
  <c r="N542" i="2"/>
  <c r="O542" i="2"/>
  <c r="O514" i="2"/>
  <c r="N514" i="2"/>
  <c r="N489" i="2"/>
  <c r="O489" i="2"/>
  <c r="N464" i="2"/>
  <c r="O464" i="2"/>
  <c r="N439" i="2"/>
  <c r="O439" i="2"/>
  <c r="N414" i="2"/>
  <c r="O414" i="2"/>
  <c r="N386" i="2"/>
  <c r="O386" i="2"/>
  <c r="O361" i="2"/>
  <c r="N361" i="2"/>
  <c r="O336" i="2"/>
  <c r="N336" i="2"/>
  <c r="N311" i="2"/>
  <c r="O311" i="2"/>
  <c r="N286" i="2"/>
  <c r="O286" i="2"/>
  <c r="N258" i="2"/>
  <c r="O258" i="2"/>
  <c r="N233" i="2"/>
  <c r="O233" i="2"/>
  <c r="O208" i="2"/>
  <c r="N208" i="2"/>
  <c r="N183" i="2"/>
  <c r="O183" i="2"/>
  <c r="O158" i="2"/>
  <c r="N158" i="2"/>
  <c r="O140" i="2"/>
  <c r="N140" i="2"/>
  <c r="N124" i="2"/>
  <c r="O124" i="2"/>
  <c r="O108" i="2"/>
  <c r="N108" i="2"/>
  <c r="O92" i="2"/>
  <c r="N92" i="2"/>
  <c r="O76" i="2"/>
  <c r="N76" i="2"/>
  <c r="O60" i="2"/>
  <c r="N60" i="2"/>
  <c r="N44" i="2"/>
  <c r="O44" i="2"/>
  <c r="N28" i="2"/>
  <c r="O28" i="2"/>
  <c r="N12" i="2"/>
  <c r="O12" i="2"/>
  <c r="N8" i="2"/>
  <c r="O8" i="2"/>
  <c r="N831" i="2"/>
  <c r="O831" i="2"/>
  <c r="O750" i="2"/>
  <c r="N750" i="2"/>
  <c r="N678" i="2"/>
  <c r="O678" i="2"/>
  <c r="O613" i="2"/>
  <c r="N613" i="2"/>
  <c r="N567" i="2"/>
  <c r="O567" i="2"/>
  <c r="O538" i="2"/>
  <c r="N538" i="2"/>
  <c r="N513" i="2"/>
  <c r="O513" i="2"/>
  <c r="N488" i="2"/>
  <c r="O488" i="2"/>
  <c r="N463" i="2"/>
  <c r="O463" i="2"/>
  <c r="N438" i="2"/>
  <c r="O438" i="2"/>
  <c r="O410" i="2"/>
  <c r="N410" i="2"/>
  <c r="N385" i="2"/>
  <c r="O385" i="2"/>
  <c r="N360" i="2"/>
  <c r="O360" i="2"/>
  <c r="N335" i="2"/>
  <c r="O335" i="2"/>
  <c r="O362" i="2"/>
  <c r="N362" i="2"/>
  <c r="N337" i="2"/>
  <c r="O337" i="2"/>
  <c r="N312" i="2"/>
  <c r="O312" i="2"/>
  <c r="O287" i="2"/>
  <c r="N287" i="2"/>
  <c r="N262" i="2"/>
  <c r="O262" i="2"/>
  <c r="N234" i="2"/>
  <c r="O234" i="2"/>
  <c r="O209" i="2"/>
  <c r="N209" i="2"/>
  <c r="N184" i="2"/>
  <c r="O184" i="2"/>
  <c r="O159" i="2"/>
  <c r="N159" i="2"/>
  <c r="O141" i="2"/>
  <c r="N141" i="2"/>
  <c r="O125" i="2"/>
  <c r="N125" i="2"/>
  <c r="N109" i="2"/>
  <c r="O109" i="2"/>
  <c r="N93" i="2"/>
  <c r="O93" i="2"/>
  <c r="N77" i="2"/>
  <c r="O77" i="2"/>
  <c r="N61" i="2"/>
  <c r="O61" i="2"/>
  <c r="N45" i="2"/>
  <c r="O45" i="2"/>
  <c r="N29" i="2"/>
  <c r="O29" i="2"/>
  <c r="O13" i="2"/>
  <c r="N13" i="2"/>
  <c r="O351" i="2"/>
  <c r="N351" i="2"/>
  <c r="N326" i="2"/>
  <c r="O326" i="2"/>
  <c r="N298" i="2"/>
  <c r="O298" i="2"/>
  <c r="N273" i="2"/>
  <c r="O273" i="2"/>
  <c r="O248" i="2"/>
  <c r="N248" i="2"/>
  <c r="N223" i="2"/>
  <c r="O223" i="2"/>
  <c r="N198" i="2"/>
  <c r="O198" i="2"/>
  <c r="O170" i="2"/>
  <c r="N170" i="2"/>
  <c r="O149" i="2"/>
  <c r="N149" i="2"/>
  <c r="O133" i="2"/>
  <c r="N133" i="2"/>
  <c r="O117" i="2"/>
  <c r="N117" i="2"/>
  <c r="O101" i="2"/>
  <c r="N101" i="2"/>
  <c r="O85" i="2"/>
  <c r="N85" i="2"/>
  <c r="O69" i="2"/>
  <c r="N69" i="2"/>
  <c r="O53" i="2"/>
  <c r="N53" i="2"/>
  <c r="N37" i="2"/>
  <c r="O37" i="2"/>
  <c r="O21" i="2"/>
  <c r="N21" i="2"/>
  <c r="N7" i="2"/>
  <c r="O7" i="2"/>
  <c r="O1228" i="2"/>
  <c r="N1228" i="2"/>
  <c r="N789" i="2"/>
  <c r="O789" i="2"/>
  <c r="O717" i="2"/>
  <c r="N717" i="2"/>
  <c r="O651" i="2"/>
  <c r="N651" i="2"/>
  <c r="N591" i="2"/>
  <c r="O591" i="2"/>
  <c r="O553" i="2"/>
  <c r="N553" i="2"/>
  <c r="O528" i="2"/>
  <c r="N528" i="2"/>
  <c r="N503" i="2"/>
  <c r="O503" i="2"/>
  <c r="N478" i="2"/>
  <c r="O478" i="2"/>
  <c r="N450" i="2"/>
  <c r="O450" i="2"/>
  <c r="O425" i="2"/>
  <c r="N425" i="2"/>
  <c r="O400" i="2"/>
  <c r="N400" i="2"/>
  <c r="N375" i="2"/>
  <c r="O375" i="2"/>
  <c r="N350" i="2"/>
  <c r="O350" i="2"/>
  <c r="N322" i="2"/>
  <c r="O322" i="2"/>
  <c r="N297" i="2"/>
  <c r="O297" i="2"/>
  <c r="O272" i="2"/>
  <c r="N272" i="2"/>
  <c r="O247" i="2"/>
  <c r="N247" i="2"/>
  <c r="O222" i="2"/>
  <c r="N222" i="2"/>
  <c r="N194" i="2"/>
  <c r="O194" i="2"/>
  <c r="O169" i="2"/>
  <c r="N169" i="2"/>
  <c r="N148" i="2"/>
  <c r="O148" i="2"/>
  <c r="O132" i="2"/>
  <c r="N132" i="2"/>
  <c r="O116" i="2"/>
  <c r="N116" i="2"/>
  <c r="N100" i="2"/>
  <c r="O100" i="2"/>
  <c r="N84" i="2"/>
  <c r="O84" i="2"/>
  <c r="N68" i="2"/>
  <c r="O68" i="2"/>
  <c r="O52" i="2"/>
  <c r="N52" i="2"/>
  <c r="O36" i="2"/>
  <c r="N36" i="2"/>
  <c r="O20" i="2"/>
  <c r="N20" i="2"/>
  <c r="N4" i="2"/>
  <c r="O4" i="2"/>
  <c r="N1125" i="2"/>
  <c r="O1125" i="2"/>
  <c r="O781" i="2"/>
  <c r="N781" i="2"/>
  <c r="N715" i="2"/>
  <c r="O715" i="2"/>
  <c r="N647" i="2"/>
  <c r="O647" i="2"/>
  <c r="N586" i="2"/>
  <c r="O586" i="2"/>
  <c r="O552" i="2"/>
  <c r="N552" i="2"/>
  <c r="N527" i="2"/>
  <c r="O527" i="2"/>
  <c r="N502" i="2"/>
  <c r="O502" i="2"/>
  <c r="O474" i="2"/>
  <c r="N474" i="2"/>
  <c r="O449" i="2"/>
  <c r="N449" i="2"/>
  <c r="O424" i="2"/>
  <c r="N424" i="2"/>
  <c r="N399" i="2"/>
  <c r="O399" i="2"/>
  <c r="O374" i="2"/>
  <c r="N374" i="2"/>
  <c r="N346" i="2"/>
  <c r="O346" i="2"/>
  <c r="N47" i="2"/>
  <c r="N9" i="2"/>
  <c r="O9" i="2"/>
  <c r="N728" i="2"/>
  <c r="O728" i="2"/>
  <c r="N599" i="2"/>
  <c r="O599" i="2"/>
  <c r="O506" i="2"/>
  <c r="N506" i="2"/>
  <c r="N431" i="2"/>
  <c r="O431" i="2"/>
  <c r="N353" i="2"/>
  <c r="O353" i="2"/>
  <c r="N278" i="2"/>
  <c r="O278" i="2"/>
  <c r="O214" i="2"/>
  <c r="N214" i="2"/>
  <c r="O151" i="2"/>
  <c r="N151" i="2"/>
  <c r="N103" i="2"/>
  <c r="O103" i="2"/>
  <c r="O39" i="2"/>
  <c r="N39" i="2"/>
  <c r="O1023" i="2"/>
  <c r="N1023" i="2"/>
  <c r="N779" i="2"/>
  <c r="O779" i="2"/>
  <c r="N711" i="2"/>
  <c r="O711" i="2"/>
  <c r="O639" i="2"/>
  <c r="N639" i="2"/>
  <c r="O585" i="2"/>
  <c r="N585" i="2"/>
  <c r="N551" i="2"/>
  <c r="O551" i="2"/>
  <c r="O526" i="2"/>
  <c r="N526" i="2"/>
  <c r="O498" i="2"/>
  <c r="N498" i="2"/>
  <c r="O473" i="2"/>
  <c r="N473" i="2"/>
  <c r="N448" i="2"/>
  <c r="O448" i="2"/>
  <c r="N423" i="2"/>
  <c r="O423" i="2"/>
  <c r="O398" i="2"/>
  <c r="N398" i="2"/>
  <c r="N370" i="2"/>
  <c r="O370" i="2"/>
  <c r="O345" i="2"/>
  <c r="N345" i="2"/>
  <c r="N320" i="2"/>
  <c r="O320" i="2"/>
  <c r="N295" i="2"/>
  <c r="O295" i="2"/>
  <c r="N270" i="2"/>
  <c r="O270" i="2"/>
  <c r="N242" i="2"/>
  <c r="O242" i="2"/>
  <c r="O217" i="2"/>
  <c r="N217" i="2"/>
  <c r="N192" i="2"/>
  <c r="O192" i="2"/>
  <c r="O167" i="2"/>
  <c r="N167" i="2"/>
  <c r="N146" i="2"/>
  <c r="O146" i="2"/>
  <c r="N130" i="2"/>
  <c r="O130" i="2"/>
  <c r="N114" i="2"/>
  <c r="O114" i="2"/>
  <c r="N98" i="2"/>
  <c r="O98" i="2"/>
  <c r="N82" i="2"/>
  <c r="O82" i="2"/>
  <c r="N5" i="2"/>
  <c r="O321" i="2"/>
  <c r="N321" i="2"/>
  <c r="O296" i="2"/>
  <c r="N296" i="2"/>
  <c r="O271" i="2"/>
  <c r="N271" i="2"/>
  <c r="O246" i="2"/>
  <c r="N246" i="2"/>
  <c r="N218" i="2"/>
  <c r="O218" i="2"/>
  <c r="O193" i="2"/>
  <c r="N193" i="2"/>
  <c r="O168" i="2"/>
  <c r="N168" i="2"/>
  <c r="O147" i="2"/>
  <c r="N147" i="2"/>
  <c r="N131" i="2"/>
  <c r="O131" i="2"/>
  <c r="O115" i="2"/>
  <c r="N115" i="2"/>
  <c r="N99" i="2"/>
  <c r="O99" i="2"/>
  <c r="O83" i="2"/>
  <c r="N83" i="2"/>
  <c r="N67" i="2"/>
  <c r="O67" i="2"/>
  <c r="N51" i="2"/>
  <c r="O51" i="2"/>
  <c r="O35" i="2"/>
  <c r="N35" i="2"/>
  <c r="N11" i="2"/>
  <c r="O11" i="2"/>
  <c r="O5" i="2"/>
  <c r="N310" i="2"/>
  <c r="O310" i="2"/>
  <c r="O282" i="2"/>
  <c r="N282" i="2"/>
  <c r="O257" i="2"/>
  <c r="N257" i="2"/>
  <c r="N232" i="2"/>
  <c r="O232" i="2"/>
  <c r="O207" i="2"/>
  <c r="N207" i="2"/>
  <c r="N182" i="2"/>
  <c r="O182" i="2"/>
  <c r="N157" i="2"/>
  <c r="O157" i="2"/>
  <c r="N139" i="2"/>
  <c r="O139" i="2"/>
  <c r="O123" i="2"/>
  <c r="N123" i="2"/>
  <c r="O107" i="2"/>
  <c r="N107" i="2"/>
  <c r="O91" i="2"/>
  <c r="N91" i="2"/>
  <c r="N75" i="2"/>
  <c r="O75" i="2"/>
  <c r="O59" i="2"/>
  <c r="N59" i="2"/>
  <c r="N43" i="2"/>
  <c r="O43" i="2"/>
  <c r="N27" i="2"/>
  <c r="O27" i="2"/>
  <c r="N3" i="2"/>
  <c r="O10" i="2"/>
  <c r="N10" i="2"/>
  <c r="N699" i="2"/>
  <c r="O699" i="2"/>
  <c r="N534" i="2"/>
  <c r="O534" i="2"/>
  <c r="O470" i="2"/>
  <c r="N470" i="2"/>
  <c r="N392" i="2"/>
  <c r="O392" i="2"/>
  <c r="N314" i="2"/>
  <c r="O314" i="2"/>
  <c r="O239" i="2"/>
  <c r="N239" i="2"/>
  <c r="O175" i="2"/>
  <c r="N175" i="2"/>
  <c r="O119" i="2"/>
  <c r="N119" i="2"/>
  <c r="N71" i="2"/>
  <c r="O71" i="2"/>
  <c r="N23" i="2"/>
  <c r="O23" i="2"/>
  <c r="O819" i="2"/>
  <c r="N819" i="2"/>
  <c r="O742" i="2"/>
  <c r="N742" i="2"/>
  <c r="N677" i="2"/>
  <c r="O677" i="2"/>
  <c r="O610" i="2"/>
  <c r="N610" i="2"/>
  <c r="N562" i="2"/>
  <c r="O562" i="2"/>
  <c r="N537" i="2"/>
  <c r="O537" i="2"/>
  <c r="O512" i="2"/>
  <c r="N512" i="2"/>
  <c r="O487" i="2"/>
  <c r="N487" i="2"/>
  <c r="N462" i="2"/>
  <c r="O462" i="2"/>
  <c r="N434" i="2"/>
  <c r="O434" i="2"/>
  <c r="O409" i="2"/>
  <c r="N409" i="2"/>
  <c r="N384" i="2"/>
  <c r="O384" i="2"/>
  <c r="O359" i="2"/>
  <c r="N359" i="2"/>
  <c r="O334" i="2"/>
  <c r="N334" i="2"/>
  <c r="O306" i="2"/>
  <c r="N306" i="2"/>
  <c r="O281" i="2"/>
  <c r="N281" i="2"/>
  <c r="O256" i="2"/>
  <c r="N256" i="2"/>
  <c r="O231" i="2"/>
  <c r="N231" i="2"/>
  <c r="N206" i="2"/>
  <c r="O206" i="2"/>
  <c r="N178" i="2"/>
  <c r="O178" i="2"/>
  <c r="N154" i="2"/>
  <c r="O154" i="2"/>
  <c r="N138" i="2"/>
  <c r="O138" i="2"/>
  <c r="N122" i="2"/>
  <c r="O122" i="2"/>
  <c r="N106" i="2"/>
  <c r="O106" i="2"/>
  <c r="N90" i="2"/>
  <c r="O90" i="2"/>
  <c r="O74" i="2"/>
  <c r="N74" i="2"/>
  <c r="N1032" i="2"/>
  <c r="O1032" i="2"/>
  <c r="N2" i="2"/>
  <c r="N250" i="2"/>
  <c r="O250" i="2"/>
  <c r="N25" i="2"/>
  <c r="O25" i="2"/>
  <c r="N800" i="2"/>
  <c r="O800" i="2"/>
  <c r="N559" i="2"/>
  <c r="O559" i="2"/>
  <c r="O456" i="2"/>
  <c r="N456" i="2"/>
  <c r="O378" i="2"/>
  <c r="N378" i="2"/>
  <c r="O303" i="2"/>
  <c r="N303" i="2"/>
  <c r="N186" i="2"/>
  <c r="O186" i="2"/>
  <c r="O79" i="2"/>
  <c r="N79" i="2"/>
  <c r="N15" i="2"/>
  <c r="O15" i="2"/>
  <c r="O805" i="2"/>
  <c r="N805" i="2"/>
  <c r="O736" i="2"/>
  <c r="N736" i="2"/>
  <c r="N664" i="2"/>
  <c r="O664" i="2"/>
  <c r="O602" i="2"/>
  <c r="N602" i="2"/>
  <c r="N560" i="2"/>
  <c r="O560" i="2"/>
  <c r="N535" i="2"/>
  <c r="O535" i="2"/>
  <c r="O510" i="2"/>
  <c r="N510" i="2"/>
  <c r="O482" i="2"/>
  <c r="N482" i="2"/>
  <c r="O457" i="2"/>
  <c r="N457" i="2"/>
  <c r="O432" i="2"/>
  <c r="N432" i="2"/>
  <c r="N407" i="2"/>
  <c r="O407" i="2"/>
  <c r="N382" i="2"/>
  <c r="O382" i="2"/>
  <c r="N354" i="2"/>
  <c r="O354" i="2"/>
  <c r="O329" i="2"/>
  <c r="N329" i="2"/>
  <c r="O304" i="2"/>
  <c r="N304" i="2"/>
  <c r="N279" i="2"/>
  <c r="O279" i="2"/>
  <c r="O254" i="2"/>
  <c r="N254" i="2"/>
  <c r="N226" i="2"/>
  <c r="O226" i="2"/>
  <c r="N201" i="2"/>
  <c r="O201" i="2"/>
  <c r="N176" i="2"/>
  <c r="O176" i="2"/>
  <c r="O152" i="2"/>
  <c r="N152" i="2"/>
  <c r="O136" i="2"/>
  <c r="N136" i="2"/>
  <c r="N120" i="2"/>
  <c r="O120" i="2"/>
  <c r="N104" i="2"/>
  <c r="O104" i="2"/>
  <c r="N88" i="2"/>
  <c r="O88" i="2"/>
  <c r="N72" i="2"/>
  <c r="O72" i="2"/>
  <c r="O56" i="2"/>
  <c r="N56" i="2"/>
  <c r="N40" i="2"/>
  <c r="O40" i="2"/>
  <c r="O24" i="2"/>
  <c r="N24" i="2"/>
  <c r="O900" i="2"/>
  <c r="N900" i="2"/>
  <c r="O577" i="2"/>
  <c r="N577" i="2"/>
  <c r="O520" i="2"/>
  <c r="N520" i="2"/>
  <c r="N442" i="2"/>
  <c r="O442" i="2"/>
  <c r="N367" i="2"/>
  <c r="O367" i="2"/>
  <c r="O289" i="2"/>
  <c r="N289" i="2"/>
  <c r="N200" i="2"/>
  <c r="O200" i="2"/>
  <c r="O143" i="2"/>
  <c r="N143" i="2"/>
  <c r="N95" i="2"/>
  <c r="O95" i="2"/>
  <c r="O135" i="2"/>
  <c r="N66" i="2"/>
  <c r="O66" i="2"/>
  <c r="N50" i="2"/>
  <c r="O50" i="2"/>
  <c r="O34" i="2"/>
  <c r="N34" i="2"/>
  <c r="O31" i="2"/>
  <c r="N31" i="2"/>
  <c r="N135" i="2"/>
  <c r="N941" i="2"/>
  <c r="O941" i="2"/>
  <c r="N775" i="2"/>
  <c r="O775" i="2"/>
  <c r="N703" i="2"/>
  <c r="O703" i="2"/>
  <c r="N638" i="2"/>
  <c r="O638" i="2"/>
  <c r="O583" i="2"/>
  <c r="N583" i="2"/>
  <c r="O550" i="2"/>
  <c r="N550" i="2"/>
  <c r="N522" i="2"/>
  <c r="O522" i="2"/>
  <c r="O497" i="2"/>
  <c r="N497" i="2"/>
  <c r="O472" i="2"/>
  <c r="N472" i="2"/>
  <c r="N447" i="2"/>
  <c r="O447" i="2"/>
  <c r="O422" i="2"/>
  <c r="N422" i="2"/>
  <c r="O394" i="2"/>
  <c r="N394" i="2"/>
  <c r="O369" i="2"/>
  <c r="N369" i="2"/>
  <c r="N344" i="2"/>
  <c r="O344" i="2"/>
  <c r="N319" i="2"/>
  <c r="O319" i="2"/>
  <c r="N294" i="2"/>
  <c r="O294" i="2"/>
  <c r="N266" i="2"/>
  <c r="O266" i="2"/>
  <c r="N241" i="2"/>
  <c r="O241" i="2"/>
  <c r="N216" i="2"/>
  <c r="O216" i="2"/>
  <c r="N191" i="2"/>
  <c r="O191" i="2"/>
  <c r="O166" i="2"/>
  <c r="N166" i="2"/>
  <c r="N145" i="2"/>
  <c r="O145" i="2"/>
  <c r="O129" i="2"/>
  <c r="N129" i="2"/>
  <c r="O113" i="2"/>
  <c r="N113" i="2"/>
  <c r="O97" i="2"/>
  <c r="N97" i="2"/>
  <c r="N81" i="2"/>
  <c r="O81" i="2"/>
  <c r="O65" i="2"/>
  <c r="N65" i="2"/>
  <c r="N49" i="2"/>
  <c r="O49" i="2"/>
  <c r="N58" i="2"/>
  <c r="O58" i="2"/>
  <c r="N42" i="2"/>
  <c r="O42" i="2"/>
  <c r="N26" i="2"/>
  <c r="O26" i="2"/>
  <c r="O18" i="2"/>
  <c r="N18" i="2"/>
  <c r="N766" i="2"/>
  <c r="O766" i="2"/>
  <c r="N87" i="2"/>
  <c r="O87" i="2"/>
  <c r="O806" i="2"/>
  <c r="N806" i="2"/>
  <c r="O741" i="2"/>
  <c r="N741" i="2"/>
  <c r="N672" i="2"/>
  <c r="O672" i="2"/>
  <c r="O603" i="2"/>
  <c r="N603" i="2"/>
  <c r="O561" i="2"/>
  <c r="N561" i="2"/>
  <c r="O536" i="2"/>
  <c r="N536" i="2"/>
  <c r="N511" i="2"/>
  <c r="O511" i="2"/>
  <c r="N486" i="2"/>
  <c r="O486" i="2"/>
  <c r="N458" i="2"/>
  <c r="O458" i="2"/>
  <c r="N433" i="2"/>
  <c r="O433" i="2"/>
  <c r="N408" i="2"/>
  <c r="O408" i="2"/>
  <c r="N383" i="2"/>
  <c r="O383" i="2"/>
  <c r="O358" i="2"/>
  <c r="N358" i="2"/>
  <c r="O330" i="2"/>
  <c r="N330" i="2"/>
  <c r="O305" i="2"/>
  <c r="N305" i="2"/>
  <c r="O280" i="2"/>
  <c r="N280" i="2"/>
  <c r="O255" i="2"/>
  <c r="N255" i="2"/>
  <c r="O230" i="2"/>
  <c r="N230" i="2"/>
  <c r="O202" i="2"/>
  <c r="N202" i="2"/>
  <c r="N177" i="2"/>
  <c r="O177" i="2"/>
  <c r="O153" i="2"/>
  <c r="N153" i="2"/>
  <c r="O137" i="2"/>
  <c r="N137" i="2"/>
  <c r="O121" i="2"/>
  <c r="N121" i="2"/>
  <c r="N105" i="2"/>
  <c r="O105" i="2"/>
  <c r="N89" i="2"/>
  <c r="O89" i="2"/>
  <c r="O73" i="2"/>
  <c r="N73" i="2"/>
  <c r="O57" i="2"/>
  <c r="N57" i="2"/>
  <c r="N41" i="2"/>
  <c r="O41" i="2"/>
  <c r="O33" i="2"/>
  <c r="N33" i="2"/>
  <c r="O17" i="2"/>
  <c r="N17" i="2"/>
  <c r="N627" i="2"/>
  <c r="O627" i="2"/>
  <c r="N495" i="2"/>
  <c r="O495" i="2"/>
  <c r="O417" i="2"/>
  <c r="N417" i="2"/>
  <c r="O342" i="2"/>
  <c r="N342" i="2"/>
  <c r="O264" i="2"/>
  <c r="N264" i="2"/>
  <c r="N127" i="2"/>
  <c r="O127" i="2"/>
  <c r="N55" i="2"/>
  <c r="O55" i="2"/>
  <c r="O919" i="2"/>
  <c r="N919" i="2"/>
  <c r="O767" i="2"/>
  <c r="N767" i="2"/>
  <c r="N702" i="2"/>
  <c r="O702" i="2"/>
  <c r="O635" i="2"/>
  <c r="N635" i="2"/>
  <c r="N578" i="2"/>
  <c r="O578" i="2"/>
  <c r="N546" i="2"/>
  <c r="O546" i="2"/>
  <c r="O521" i="2"/>
  <c r="N521" i="2"/>
  <c r="N496" i="2"/>
  <c r="O496" i="2"/>
  <c r="N471" i="2"/>
  <c r="O471" i="2"/>
  <c r="N446" i="2"/>
  <c r="O446" i="2"/>
  <c r="N418" i="2"/>
  <c r="O418" i="2"/>
  <c r="O393" i="2"/>
  <c r="N393" i="2"/>
  <c r="O368" i="2"/>
  <c r="N368" i="2"/>
  <c r="O343" i="2"/>
  <c r="N343" i="2"/>
  <c r="N318" i="2"/>
  <c r="O318" i="2"/>
  <c r="N290" i="2"/>
  <c r="O290" i="2"/>
  <c r="N265" i="2"/>
  <c r="O265" i="2"/>
  <c r="N240" i="2"/>
  <c r="O240" i="2"/>
  <c r="N215" i="2"/>
  <c r="O215" i="2"/>
  <c r="O190" i="2"/>
  <c r="N190" i="2"/>
  <c r="O162" i="2"/>
  <c r="N162" i="2"/>
  <c r="N144" i="2"/>
  <c r="O144" i="2"/>
  <c r="N128" i="2"/>
  <c r="O128" i="2"/>
  <c r="N112" i="2"/>
  <c r="O112" i="2"/>
  <c r="O96" i="2"/>
  <c r="N96" i="2"/>
  <c r="N80" i="2"/>
  <c r="O80" i="2"/>
  <c r="N64" i="2"/>
  <c r="O64" i="2"/>
  <c r="N48" i="2"/>
  <c r="O48" i="2"/>
  <c r="O32" i="2"/>
  <c r="N32" i="2"/>
  <c r="N16" i="2"/>
  <c r="O16" i="2"/>
  <c r="N663" i="2"/>
  <c r="O663" i="2"/>
  <c r="N545" i="2"/>
  <c r="O545" i="2"/>
  <c r="O481" i="2"/>
  <c r="N481" i="2"/>
  <c r="N406" i="2"/>
  <c r="O406" i="2"/>
  <c r="O328" i="2"/>
  <c r="N328" i="2"/>
  <c r="O225" i="2"/>
  <c r="N225" i="2"/>
  <c r="N161" i="2"/>
  <c r="O161" i="2"/>
  <c r="O111" i="2"/>
  <c r="N111" i="2"/>
  <c r="O63" i="2"/>
  <c r="N63" i="2"/>
  <c r="O3" i="2"/>
  <c r="O47" i="2"/>
  <c r="O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7D742-4631-48A8-A730-8A8943F49F83}" keepAlive="1" name="Query - NSW government school locations and student enrolment numbers" description="Connection to the 'NSW government school locations and student enrolment numbers' query in the workbook." type="5" refreshedVersion="7" background="1" saveData="1">
    <dbPr connection="Provider=Microsoft.Mashup.OleDb.1;Data Source=$Workbook$;Location=&quot;NSW government school locations and student enrolment numbers&quot;;Extended Properties=&quot;&quot;" command="SELECT * FROM [NSW government school locations and student enrolment numbers]"/>
  </connection>
</connections>
</file>

<file path=xl/sharedStrings.xml><?xml version="1.0" encoding="utf-8"?>
<sst xmlns="http://schemas.openxmlformats.org/spreadsheetml/2006/main" count="22202" uniqueCount="6096">
  <si>
    <t>Source</t>
  </si>
  <si>
    <t>NSW Government school locations &amp; student enrolment numbers (Data NSW, CC-BY). Extracted 2026-05-05.</t>
  </si>
  <si>
    <t>Grain</t>
  </si>
  <si>
    <t>One row per open NSW government school (2,210 schools).</t>
  </si>
  <si>
    <t>Purpose</t>
  </si>
  <si>
    <t>Data dictionary (key fields)</t>
  </si>
  <si>
    <t>Enrolment_FTE</t>
  </si>
  <si>
    <t>Total full-time-equivalent student enrolment (ABS NSSC). Blank = out-of-NSSC-scope school.</t>
  </si>
  <si>
    <t>Indigenous_pct</t>
  </si>
  <si>
    <t>% of FTE enrolment identifying as Aboriginal/Torres Strait Islander. Suppressed where ≤5 students.</t>
  </si>
  <si>
    <t>Indigenous_status</t>
  </si>
  <si>
    <t>Derived: 'Published' or 'Suppressed (≤5 students)'.</t>
  </si>
  <si>
    <t>Indigenous_FTE_est</t>
  </si>
  <si>
    <t>Derived: Indigenous_pct/100 × Enrolment_FTE. Estimated headcount for aggregation.</t>
  </si>
  <si>
    <t>LBOTE_pct</t>
  </si>
  <si>
    <t>% of enrolment with a language background other than English (headcount). Suppressed where ≤5.</t>
  </si>
  <si>
    <t>ICSEA_value</t>
  </si>
  <si>
    <t>National socio-educational advantage index. Mean 1000, SD 100. Higher = more advantage.</t>
  </si>
  <si>
    <t>ICSEA_band</t>
  </si>
  <si>
    <t>FOEI_value</t>
  </si>
  <si>
    <t>ASGS_remoteness</t>
  </si>
  <si>
    <t>ABS remoteness class: Major Cities → Very Remote.</t>
  </si>
  <si>
    <t>Enrolment_band</t>
  </si>
  <si>
    <t>SA4 / LGA</t>
  </si>
  <si>
    <t>1. A remoteness gradient: average Indigenous share rises from ~6% in Major Cities to ~72% in Very Remote schools.</t>
  </si>
  <si>
    <t>2. The concentration paradox: the highest PERCENTAGES are remote, but ~85% of Indigenous students actually attend Major-City and Inner-Regional schools.</t>
  </si>
  <si>
    <t>3. Disadvantage link: schools below ICSEA 900 average ~42% Indigenous enrolment vs ~2% at schools above 1100.</t>
  </si>
  <si>
    <t>5. Equity gap: fully-selective schools average ~2% Indigenous enrolment vs ~17% across non-selective schools.</t>
  </si>
  <si>
    <t>Sheets</t>
  </si>
  <si>
    <t>Data = cleaned Table 'tblSchools' (pivot-ready). Summary = formula-built reference tables + charts (use these to check your own PivotTables).</t>
  </si>
  <si>
    <t>School_code</t>
  </si>
  <si>
    <t>School_name</t>
  </si>
  <si>
    <t>Town_suburb</t>
  </si>
  <si>
    <t>LGA</t>
  </si>
  <si>
    <t>SA4</t>
  </si>
  <si>
    <t>Remoteness_order</t>
  </si>
  <si>
    <t>Operational_directorate</t>
  </si>
  <si>
    <t>Level_of_schooling</t>
  </si>
  <si>
    <t>Selective_school</t>
  </si>
  <si>
    <t>School_gender</t>
  </si>
  <si>
    <t>Latitude</t>
  </si>
  <si>
    <t>Longitude</t>
  </si>
  <si>
    <t>1001</t>
  </si>
  <si>
    <t>Abbotsford Public School</t>
  </si>
  <si>
    <t>Abbotsford</t>
  </si>
  <si>
    <t>Canada Bay</t>
  </si>
  <si>
    <t>Sydney - Inner West</t>
  </si>
  <si>
    <t>Major Cities of Australia</t>
  </si>
  <si>
    <t>Metropolitan South</t>
  </si>
  <si>
    <t>Primary School</t>
  </si>
  <si>
    <t>Not Selective</t>
  </si>
  <si>
    <t>Coed</t>
  </si>
  <si>
    <t>1002</t>
  </si>
  <si>
    <t>Aberdeen Public School</t>
  </si>
  <si>
    <t>Aberdeen</t>
  </si>
  <si>
    <t>Upper Hunter</t>
  </si>
  <si>
    <t>Hunter Valley exc Newcastle</t>
  </si>
  <si>
    <t>Inner Regional Australia</t>
  </si>
  <si>
    <t>Regional North and West</t>
  </si>
  <si>
    <t>1003</t>
  </si>
  <si>
    <t>Abermain Public School</t>
  </si>
  <si>
    <t>Abermain</t>
  </si>
  <si>
    <t>Cessnock</t>
  </si>
  <si>
    <t>Regional North</t>
  </si>
  <si>
    <t>1007</t>
  </si>
  <si>
    <t>Adaminaby Public School</t>
  </si>
  <si>
    <t>ADAMINABY</t>
  </si>
  <si>
    <t>Snowy Monaro</t>
  </si>
  <si>
    <t>Capital Region</t>
  </si>
  <si>
    <t>Outer Regional Australia</t>
  </si>
  <si>
    <t>Rural South and West</t>
  </si>
  <si>
    <t>1008</t>
  </si>
  <si>
    <t>Adamstown Public School</t>
  </si>
  <si>
    <t>Adamstown</t>
  </si>
  <si>
    <t>Newcastle</t>
  </si>
  <si>
    <t>Newcastle and Lake Macquarie</t>
  </si>
  <si>
    <t>1009</t>
  </si>
  <si>
    <t>Adelong Public School</t>
  </si>
  <si>
    <t>ADELONG</t>
  </si>
  <si>
    <t>Snowy Valleys</t>
  </si>
  <si>
    <t>Riverina</t>
  </si>
  <si>
    <t>1015</t>
  </si>
  <si>
    <t>Albion Park Public School</t>
  </si>
  <si>
    <t>Albion Park</t>
  </si>
  <si>
    <t>Shellharbour</t>
  </si>
  <si>
    <t>Illawarra</t>
  </si>
  <si>
    <t>Regional South and Connected Communities</t>
  </si>
  <si>
    <t>1016</t>
  </si>
  <si>
    <t>Timbumburi Public School</t>
  </si>
  <si>
    <t>Timbumburi</t>
  </si>
  <si>
    <t>Tamworth</t>
  </si>
  <si>
    <t>New England and North West</t>
  </si>
  <si>
    <t>Rural North</t>
  </si>
  <si>
    <t>1017</t>
  </si>
  <si>
    <t>Albury Public School</t>
  </si>
  <si>
    <t>Albury</t>
  </si>
  <si>
    <t>Murray</t>
  </si>
  <si>
    <t>1019</t>
  </si>
  <si>
    <t>Albury West Public School</t>
  </si>
  <si>
    <t>1028</t>
  </si>
  <si>
    <t>Alma Public School</t>
  </si>
  <si>
    <t>Broken Hill</t>
  </si>
  <si>
    <t>Far West and Orana</t>
  </si>
  <si>
    <t>1030</t>
  </si>
  <si>
    <t>Alstonville Public School</t>
  </si>
  <si>
    <t>Alstonville</t>
  </si>
  <si>
    <t>Ballina</t>
  </si>
  <si>
    <t>Richmond - Tweed</t>
  </si>
  <si>
    <t>1040</t>
  </si>
  <si>
    <t>Anna Bay Public School</t>
  </si>
  <si>
    <t>Anna Bay</t>
  </si>
  <si>
    <t>Port Stephens</t>
  </si>
  <si>
    <t>1041</t>
  </si>
  <si>
    <t>Annandale Public School</t>
  </si>
  <si>
    <t>Annandale</t>
  </si>
  <si>
    <t>Inner West</t>
  </si>
  <si>
    <t>1042</t>
  </si>
  <si>
    <t>Annandale North Public School</t>
  </si>
  <si>
    <t>1045</t>
  </si>
  <si>
    <t>Appin Public School</t>
  </si>
  <si>
    <t>APPIN</t>
  </si>
  <si>
    <t>Wollondilly</t>
  </si>
  <si>
    <t>Sydney - Outer South West</t>
  </si>
  <si>
    <t>1048</t>
  </si>
  <si>
    <t>Arcadia Public School</t>
  </si>
  <si>
    <t>ARCADIA</t>
  </si>
  <si>
    <t>Hornsby</t>
  </si>
  <si>
    <t>Sydney - Baulkham Hills and Hawkesbury</t>
  </si>
  <si>
    <t>1051</t>
  </si>
  <si>
    <t>Ardlethan Central School</t>
  </si>
  <si>
    <t>Ardlethan</t>
  </si>
  <si>
    <t>Coolamon</t>
  </si>
  <si>
    <t>Central/Community School</t>
  </si>
  <si>
    <t>1055</t>
  </si>
  <si>
    <t>Ariah Park Central School</t>
  </si>
  <si>
    <t>Ariah Park</t>
  </si>
  <si>
    <t>Temora</t>
  </si>
  <si>
    <t>1057</t>
  </si>
  <si>
    <t>Armidale City Public School</t>
  </si>
  <si>
    <t>Armidale</t>
  </si>
  <si>
    <t>1058</t>
  </si>
  <si>
    <t>Drummond Memorial Public School</t>
  </si>
  <si>
    <t>ARMIDALE</t>
  </si>
  <si>
    <t>1061</t>
  </si>
  <si>
    <t>Artarmon Public School</t>
  </si>
  <si>
    <t>Artarmon</t>
  </si>
  <si>
    <t>Willoughby</t>
  </si>
  <si>
    <t>Sydney - North Sydney and Hornsby</t>
  </si>
  <si>
    <t>Metropolitan North</t>
  </si>
  <si>
    <t>1064</t>
  </si>
  <si>
    <t>Ashbury Public School</t>
  </si>
  <si>
    <t>Ashbury</t>
  </si>
  <si>
    <t>Canterbury-Bankstown</t>
  </si>
  <si>
    <t>1065</t>
  </si>
  <si>
    <t>Ashfield Public School</t>
  </si>
  <si>
    <t>Ashfield</t>
  </si>
  <si>
    <t>1066</t>
  </si>
  <si>
    <t>Ashford Central School</t>
  </si>
  <si>
    <t>Ashford</t>
  </si>
  <si>
    <t>Inverell</t>
  </si>
  <si>
    <t>1070</t>
  </si>
  <si>
    <t>Asquith Public School</t>
  </si>
  <si>
    <t>Asquith</t>
  </si>
  <si>
    <t>1071</t>
  </si>
  <si>
    <t>Attunga Public School</t>
  </si>
  <si>
    <t>Attunga</t>
  </si>
  <si>
    <t>1073</t>
  </si>
  <si>
    <t>Auburn North Public School</t>
  </si>
  <si>
    <t>Auburn</t>
  </si>
  <si>
    <t>Cumberland</t>
  </si>
  <si>
    <t>Sydney - Parramatta</t>
  </si>
  <si>
    <t>1075</t>
  </si>
  <si>
    <t>Auburn West Public School</t>
  </si>
  <si>
    <t>1076</t>
  </si>
  <si>
    <t>Austinmer Public School</t>
  </si>
  <si>
    <t>Austinmer</t>
  </si>
  <si>
    <t>Wollongong</t>
  </si>
  <si>
    <t>1077</t>
  </si>
  <si>
    <t>Austral Public School</t>
  </si>
  <si>
    <t>AUSTRAL</t>
  </si>
  <si>
    <t>Liverpool</t>
  </si>
  <si>
    <t>Sydney - South West</t>
  </si>
  <si>
    <t>Metropolitan South and West</t>
  </si>
  <si>
    <t>1082</t>
  </si>
  <si>
    <t>Avoca Beach Public School</t>
  </si>
  <si>
    <t>Avoca Beach</t>
  </si>
  <si>
    <t>Central Coast (NSW)</t>
  </si>
  <si>
    <t>Central Coast</t>
  </si>
  <si>
    <t>1084</t>
  </si>
  <si>
    <t>Awaba Public School</t>
  </si>
  <si>
    <t>Awaba</t>
  </si>
  <si>
    <t>Lake Macquarie</t>
  </si>
  <si>
    <t>1085</t>
  </si>
  <si>
    <t>Colo Vale Public School</t>
  </si>
  <si>
    <t>Colo Vale</t>
  </si>
  <si>
    <t>Wingecarribee</t>
  </si>
  <si>
    <t>Southern Highlands and Shoalhaven</t>
  </si>
  <si>
    <t>1098</t>
  </si>
  <si>
    <t>Bald Blair Public School</t>
  </si>
  <si>
    <t>GUYRA</t>
  </si>
  <si>
    <t>1104</t>
  </si>
  <si>
    <t>Seaforth Public School</t>
  </si>
  <si>
    <t>Seaforth</t>
  </si>
  <si>
    <t>Northern Beaches</t>
  </si>
  <si>
    <t>Sydney - Northern Beaches</t>
  </si>
  <si>
    <t>1106</t>
  </si>
  <si>
    <t>Balgownie Public School</t>
  </si>
  <si>
    <t>Balgownie</t>
  </si>
  <si>
    <t>1111</t>
  </si>
  <si>
    <t>Ballimore Public School</t>
  </si>
  <si>
    <t>Ballimore</t>
  </si>
  <si>
    <t>Dubbo</t>
  </si>
  <si>
    <t>1112</t>
  </si>
  <si>
    <t>Ballina Public School</t>
  </si>
  <si>
    <t>1115</t>
  </si>
  <si>
    <t>Balranald Central School</t>
  </si>
  <si>
    <t>Balranald</t>
  </si>
  <si>
    <t>1118</t>
  </si>
  <si>
    <t>Bangalow Public School</t>
  </si>
  <si>
    <t>Bangalow</t>
  </si>
  <si>
    <t>Byron</t>
  </si>
  <si>
    <t>1121</t>
  </si>
  <si>
    <t>Banksmeadow Public School</t>
  </si>
  <si>
    <t>Botany</t>
  </si>
  <si>
    <t>Bayside (NSW)</t>
  </si>
  <si>
    <t>Sydney - City and Inner South</t>
  </si>
  <si>
    <t>1123</t>
  </si>
  <si>
    <t>Greenacre Public School</t>
  </si>
  <si>
    <t>Greenacre</t>
  </si>
  <si>
    <t>Sydney - Inner South West</t>
  </si>
  <si>
    <t>1124</t>
  </si>
  <si>
    <t>Bankstown North Public School</t>
  </si>
  <si>
    <t>Bankstown</t>
  </si>
  <si>
    <t>1129</t>
  </si>
  <si>
    <t>Banora Point Public School</t>
  </si>
  <si>
    <t>Banora Point</t>
  </si>
  <si>
    <t>Tweed</t>
  </si>
  <si>
    <t>1130</t>
  </si>
  <si>
    <t>Baradine Central School</t>
  </si>
  <si>
    <t>Baradine</t>
  </si>
  <si>
    <t>Warrumbungle</t>
  </si>
  <si>
    <t>Remote Australia</t>
  </si>
  <si>
    <t>1131</t>
  </si>
  <si>
    <t>Barellan Central School</t>
  </si>
  <si>
    <t>Barellan</t>
  </si>
  <si>
    <t>Narrandera</t>
  </si>
  <si>
    <t>1134</t>
  </si>
  <si>
    <t>Bargo Public School</t>
  </si>
  <si>
    <t>Bargo</t>
  </si>
  <si>
    <t>1135</t>
  </si>
  <si>
    <t>Barham Public School</t>
  </si>
  <si>
    <t>Barham</t>
  </si>
  <si>
    <t>Murray River</t>
  </si>
  <si>
    <t>1136</t>
  </si>
  <si>
    <t>Barkers Vale Public School</t>
  </si>
  <si>
    <t>Wadeville</t>
  </si>
  <si>
    <t>Kyogle</t>
  </si>
  <si>
    <t>1137</t>
  </si>
  <si>
    <t>Barmedman Public School</t>
  </si>
  <si>
    <t>Barmedman</t>
  </si>
  <si>
    <t>Bland</t>
  </si>
  <si>
    <t>Central West</t>
  </si>
  <si>
    <t>1138</t>
  </si>
  <si>
    <t>Barnsley Public School</t>
  </si>
  <si>
    <t>Barnsley</t>
  </si>
  <si>
    <t>1139</t>
  </si>
  <si>
    <t>Barooga Public School</t>
  </si>
  <si>
    <t>Barooga</t>
  </si>
  <si>
    <t>Berrigan</t>
  </si>
  <si>
    <t>1140</t>
  </si>
  <si>
    <t>Barraba Central School</t>
  </si>
  <si>
    <t>BARRABA</t>
  </si>
  <si>
    <t>1143</t>
  </si>
  <si>
    <t>Barrington Public School</t>
  </si>
  <si>
    <t>Barrington</t>
  </si>
  <si>
    <t>Mid-Coast</t>
  </si>
  <si>
    <t>Mid North Coast</t>
  </si>
  <si>
    <t>1146</t>
  </si>
  <si>
    <t>Baryulgil Public School</t>
  </si>
  <si>
    <t>Baryulgil</t>
  </si>
  <si>
    <t>Clarence Valley</t>
  </si>
  <si>
    <t>Coffs Harbour - Grafton</t>
  </si>
  <si>
    <t>1148</t>
  </si>
  <si>
    <t>Bass Hill Public School</t>
  </si>
  <si>
    <t>Bass Hill</t>
  </si>
  <si>
    <t>1149</t>
  </si>
  <si>
    <t>Batemans Bay Public School</t>
  </si>
  <si>
    <t>Surfside</t>
  </si>
  <si>
    <t>Eurobodalla</t>
  </si>
  <si>
    <t>1150</t>
  </si>
  <si>
    <t>Bathurst Public School</t>
  </si>
  <si>
    <t>Bathurst</t>
  </si>
  <si>
    <t>1152</t>
  </si>
  <si>
    <t>Batlow Central School</t>
  </si>
  <si>
    <t>Batlow</t>
  </si>
  <si>
    <t>1164</t>
  </si>
  <si>
    <t>Bedgerabong Public School</t>
  </si>
  <si>
    <t>BEDGERABONG</t>
  </si>
  <si>
    <t>Forbes</t>
  </si>
  <si>
    <t>1165</t>
  </si>
  <si>
    <t>Beechwood Public School</t>
  </si>
  <si>
    <t>Wauchope</t>
  </si>
  <si>
    <t>Port Macquarie-Hastings</t>
  </si>
  <si>
    <t>1166</t>
  </si>
  <si>
    <t>Beecroft Public School</t>
  </si>
  <si>
    <t>Beecroft</t>
  </si>
  <si>
    <t>Sydney - Ryde</t>
  </si>
  <si>
    <t>1167</t>
  </si>
  <si>
    <t>Beelbangera Public School</t>
  </si>
  <si>
    <t>Beelbangera</t>
  </si>
  <si>
    <t>Griffith</t>
  </si>
  <si>
    <t>1168</t>
  </si>
  <si>
    <t>Bega Valley Public School</t>
  </si>
  <si>
    <t>Bega</t>
  </si>
  <si>
    <t>Bega Valley</t>
  </si>
  <si>
    <t>1175</t>
  </si>
  <si>
    <t>Bellata Public School</t>
  </si>
  <si>
    <t>Bellata</t>
  </si>
  <si>
    <t>Narrabri</t>
  </si>
  <si>
    <t>1177</t>
  </si>
  <si>
    <t>Bellbird Public School</t>
  </si>
  <si>
    <t>BELLBIRD</t>
  </si>
  <si>
    <t>1178</t>
  </si>
  <si>
    <t>Bellbrook Public School</t>
  </si>
  <si>
    <t>Bellbrook</t>
  </si>
  <si>
    <t>Kempsey</t>
  </si>
  <si>
    <t>1179</t>
  </si>
  <si>
    <t>Bellevue Hill Public School</t>
  </si>
  <si>
    <t>Bellevue Hill</t>
  </si>
  <si>
    <t>Woollahra</t>
  </si>
  <si>
    <t>Sydney - Eastern Suburbs</t>
  </si>
  <si>
    <t>1181</t>
  </si>
  <si>
    <t>Bellingen Public School</t>
  </si>
  <si>
    <t>Bellingen</t>
  </si>
  <si>
    <t>1182</t>
  </si>
  <si>
    <t>Belltrees Public School</t>
  </si>
  <si>
    <t>Belltrees</t>
  </si>
  <si>
    <t>1183</t>
  </si>
  <si>
    <t>Belmont Public School</t>
  </si>
  <si>
    <t>Belmont</t>
  </si>
  <si>
    <t>1185</t>
  </si>
  <si>
    <t>Belmore North Public School</t>
  </si>
  <si>
    <t>Belmore</t>
  </si>
  <si>
    <t>1186</t>
  </si>
  <si>
    <t>Belmore South Public School</t>
  </si>
  <si>
    <t>1189</t>
  </si>
  <si>
    <t>Bemboka Public School</t>
  </si>
  <si>
    <t>Bemboka</t>
  </si>
  <si>
    <t>1191</t>
  </si>
  <si>
    <t>Bendemeer Public School</t>
  </si>
  <si>
    <t>Bendemeer</t>
  </si>
  <si>
    <t>1198</t>
  </si>
  <si>
    <t>Ben Venue Public School</t>
  </si>
  <si>
    <t>1199</t>
  </si>
  <si>
    <t>Berala Public School</t>
  </si>
  <si>
    <t>Berala</t>
  </si>
  <si>
    <t>1201</t>
  </si>
  <si>
    <t>Beresfield Public School</t>
  </si>
  <si>
    <t>Beresfield</t>
  </si>
  <si>
    <t>1202</t>
  </si>
  <si>
    <t>Berkeley Public School</t>
  </si>
  <si>
    <t>BERKELEY</t>
  </si>
  <si>
    <t>1203</t>
  </si>
  <si>
    <t>Berkeley Vale Public School</t>
  </si>
  <si>
    <t>Berkeley Vale</t>
  </si>
  <si>
    <t>1204</t>
  </si>
  <si>
    <t>Bermagui Public School</t>
  </si>
  <si>
    <t>Bermagui</t>
  </si>
  <si>
    <t>1205</t>
  </si>
  <si>
    <t>Berowra Public School</t>
  </si>
  <si>
    <t>Berowra</t>
  </si>
  <si>
    <t>1206</t>
  </si>
  <si>
    <t>Berridale Public School</t>
  </si>
  <si>
    <t>Berridale</t>
  </si>
  <si>
    <t>1207</t>
  </si>
  <si>
    <t>Berrigan Public School</t>
  </si>
  <si>
    <t>1209</t>
  </si>
  <si>
    <t>Berrima Public School</t>
  </si>
  <si>
    <t>Berrima</t>
  </si>
  <si>
    <t>1211</t>
  </si>
  <si>
    <t>Berry Public School</t>
  </si>
  <si>
    <t>Berry</t>
  </si>
  <si>
    <t>Shoalhaven</t>
  </si>
  <si>
    <t>1215</t>
  </si>
  <si>
    <t>Beverly Hills Public School</t>
  </si>
  <si>
    <t>Beverly Hills</t>
  </si>
  <si>
    <t>Georges River</t>
  </si>
  <si>
    <t>1217</t>
  </si>
  <si>
    <t>Bexhill Public School</t>
  </si>
  <si>
    <t>Bexhill</t>
  </si>
  <si>
    <t>Lismore</t>
  </si>
  <si>
    <t>1223</t>
  </si>
  <si>
    <t>Bigga Public School</t>
  </si>
  <si>
    <t>Bigga</t>
  </si>
  <si>
    <t>Upper Lachlan</t>
  </si>
  <si>
    <t>1224</t>
  </si>
  <si>
    <t>Bilambil Public School</t>
  </si>
  <si>
    <t>Bilambil</t>
  </si>
  <si>
    <t>1227</t>
  </si>
  <si>
    <t>Ocean Shores Public School</t>
  </si>
  <si>
    <t>OCEAN SHORES</t>
  </si>
  <si>
    <t>1228</t>
  </si>
  <si>
    <t>Bilpin Public School</t>
  </si>
  <si>
    <t>Bilpin</t>
  </si>
  <si>
    <t>Hawkesbury</t>
  </si>
  <si>
    <t>1230</t>
  </si>
  <si>
    <t>Binalong Public School</t>
  </si>
  <si>
    <t>BINALONG</t>
  </si>
  <si>
    <t>Yass Valley</t>
  </si>
  <si>
    <t>1231</t>
  </si>
  <si>
    <t>Binda Public School</t>
  </si>
  <si>
    <t>Binda</t>
  </si>
  <si>
    <t>1234</t>
  </si>
  <si>
    <t>Bingara Central School</t>
  </si>
  <si>
    <t>Bingara</t>
  </si>
  <si>
    <t>Gwydir</t>
  </si>
  <si>
    <t>1237</t>
  </si>
  <si>
    <t>Binnaway Central School</t>
  </si>
  <si>
    <t>Binnaway</t>
  </si>
  <si>
    <t>1238</t>
  </si>
  <si>
    <t>Binya Public School</t>
  </si>
  <si>
    <t>Binya</t>
  </si>
  <si>
    <t>1240</t>
  </si>
  <si>
    <t>Birchgrove Public School</t>
  </si>
  <si>
    <t>Balmain</t>
  </si>
  <si>
    <t>1246</t>
  </si>
  <si>
    <t>Blackheath Public School</t>
  </si>
  <si>
    <t>Blackheath</t>
  </si>
  <si>
    <t>Blue Mountains</t>
  </si>
  <si>
    <t>Sydney - Outer West and Blue Mountains</t>
  </si>
  <si>
    <t>1247</t>
  </si>
  <si>
    <t>Black Hill Public School</t>
  </si>
  <si>
    <t>Black Hill</t>
  </si>
  <si>
    <t>1249</t>
  </si>
  <si>
    <t>Black Mountain Public School</t>
  </si>
  <si>
    <t>Black Mountain</t>
  </si>
  <si>
    <t>1252</t>
  </si>
  <si>
    <t>Blackville Public School</t>
  </si>
  <si>
    <t>Blackville</t>
  </si>
  <si>
    <t>Liverpool Plains</t>
  </si>
  <si>
    <t>1254</t>
  </si>
  <si>
    <t>Blakebrook Public School</t>
  </si>
  <si>
    <t>Blakebrook</t>
  </si>
  <si>
    <t>1255</t>
  </si>
  <si>
    <t>Blakehurst Public School</t>
  </si>
  <si>
    <t>Blakehurst</t>
  </si>
  <si>
    <t>1256</t>
  </si>
  <si>
    <t>Blandford Public School</t>
  </si>
  <si>
    <t>Blandford</t>
  </si>
  <si>
    <t>1257</t>
  </si>
  <si>
    <t>Blaxcell Street Public School</t>
  </si>
  <si>
    <t>Granville</t>
  </si>
  <si>
    <t>1258</t>
  </si>
  <si>
    <t>Blaxland Public School</t>
  </si>
  <si>
    <t>Blaxland</t>
  </si>
  <si>
    <t>1260</t>
  </si>
  <si>
    <t>Blayney Public School</t>
  </si>
  <si>
    <t>Blayney</t>
  </si>
  <si>
    <t>1261</t>
  </si>
  <si>
    <t>Blighty Public School</t>
  </si>
  <si>
    <t>Blighty</t>
  </si>
  <si>
    <t>Edward River</t>
  </si>
  <si>
    <t>1266</t>
  </si>
  <si>
    <t>Boambee Public School</t>
  </si>
  <si>
    <t>Boambee</t>
  </si>
  <si>
    <t>Coffs Harbour</t>
  </si>
  <si>
    <t>1269</t>
  </si>
  <si>
    <t>Bobin Public School</t>
  </si>
  <si>
    <t>Bobin</t>
  </si>
  <si>
    <t>1271</t>
  </si>
  <si>
    <t>Bobs Farm Public School</t>
  </si>
  <si>
    <t>Bobs Farm</t>
  </si>
  <si>
    <t>1272</t>
  </si>
  <si>
    <t>Bodalla Public School</t>
  </si>
  <si>
    <t>Bodalla</t>
  </si>
  <si>
    <t>1274</t>
  </si>
  <si>
    <t>Bogan Gate Public School</t>
  </si>
  <si>
    <t>Bogan Gate</t>
  </si>
  <si>
    <t>Parkes</t>
  </si>
  <si>
    <t>1275</t>
  </si>
  <si>
    <t>Boggabilla Central School</t>
  </si>
  <si>
    <t>Boggabilla</t>
  </si>
  <si>
    <t>Moree Plains</t>
  </si>
  <si>
    <t>1276</t>
  </si>
  <si>
    <t>Boggabri Public School</t>
  </si>
  <si>
    <t>Boggabri</t>
  </si>
  <si>
    <t>1286</t>
  </si>
  <si>
    <t>Bolwarra Public School</t>
  </si>
  <si>
    <t>Bolwarra</t>
  </si>
  <si>
    <t>Maitland</t>
  </si>
  <si>
    <t>1287</t>
  </si>
  <si>
    <t>Bomaderry Public School</t>
  </si>
  <si>
    <t>Bomaderry</t>
  </si>
  <si>
    <t>1288</t>
  </si>
  <si>
    <t>Bombala Public School</t>
  </si>
  <si>
    <t>Bombala</t>
  </si>
  <si>
    <t>1290</t>
  </si>
  <si>
    <t>Bonalbo Central School</t>
  </si>
  <si>
    <t>Bonalbo</t>
  </si>
  <si>
    <t>1292</t>
  </si>
  <si>
    <t>Bondi Beach Public School</t>
  </si>
  <si>
    <t>Bondi Beach</t>
  </si>
  <si>
    <t>Waverley</t>
  </si>
  <si>
    <t>1293</t>
  </si>
  <si>
    <t>Bongongo Public School</t>
  </si>
  <si>
    <t>Adjungbilly</t>
  </si>
  <si>
    <t>Cootamundra-Gundagai</t>
  </si>
  <si>
    <t>1296</t>
  </si>
  <si>
    <t>Bonshaw Public School</t>
  </si>
  <si>
    <t>Bonshaw</t>
  </si>
  <si>
    <t>1297</t>
  </si>
  <si>
    <t>Bonville Public School</t>
  </si>
  <si>
    <t>BONVILLE</t>
  </si>
  <si>
    <t>1302</t>
  </si>
  <si>
    <t>Boolaroo Public School</t>
  </si>
  <si>
    <t>Boolaroo</t>
  </si>
  <si>
    <t>1307</t>
  </si>
  <si>
    <t>Boomi Public School</t>
  </si>
  <si>
    <t>Boomi</t>
  </si>
  <si>
    <t>1311</t>
  </si>
  <si>
    <t>Booral Public School</t>
  </si>
  <si>
    <t>Booral</t>
  </si>
  <si>
    <t>1313</t>
  </si>
  <si>
    <t>Boorowa Central School</t>
  </si>
  <si>
    <t>Boorowa</t>
  </si>
  <si>
    <t>Hilltops</t>
  </si>
  <si>
    <t>1318</t>
  </si>
  <si>
    <t>Boree Creek Public School</t>
  </si>
  <si>
    <t>Boree Creek</t>
  </si>
  <si>
    <t>Federation</t>
  </si>
  <si>
    <t>1320</t>
  </si>
  <si>
    <t>Boronia Park Public School</t>
  </si>
  <si>
    <t>HUNTERS HILL</t>
  </si>
  <si>
    <t>Hunters Hill</t>
  </si>
  <si>
    <t>1321</t>
  </si>
  <si>
    <t>Bossley Park Public School</t>
  </si>
  <si>
    <t>Bossley Park</t>
  </si>
  <si>
    <t>Fairfield</t>
  </si>
  <si>
    <t>1323</t>
  </si>
  <si>
    <t>Botany Public School</t>
  </si>
  <si>
    <t>1326</t>
  </si>
  <si>
    <t>Bourke Public School</t>
  </si>
  <si>
    <t>BOURKE</t>
  </si>
  <si>
    <t>Bourke</t>
  </si>
  <si>
    <t>Very Remote Australia</t>
  </si>
  <si>
    <t>1334</t>
  </si>
  <si>
    <t>Bowning Public School</t>
  </si>
  <si>
    <t>Bowning</t>
  </si>
  <si>
    <t>1335</t>
  </si>
  <si>
    <t>Bowral Public School</t>
  </si>
  <si>
    <t>BOWRAL</t>
  </si>
  <si>
    <t>1336</t>
  </si>
  <si>
    <t>Bowraville Central School</t>
  </si>
  <si>
    <t>BOWRAVILLE</t>
  </si>
  <si>
    <t>Nambucca Valley</t>
  </si>
  <si>
    <t>1340</t>
  </si>
  <si>
    <t>Braidwood Central School</t>
  </si>
  <si>
    <t>Braidwood</t>
  </si>
  <si>
    <t>Queanbeyan-Palerang</t>
  </si>
  <si>
    <t>1341</t>
  </si>
  <si>
    <t>Branxton Public School</t>
  </si>
  <si>
    <t>BRANXTON</t>
  </si>
  <si>
    <t>1345</t>
  </si>
  <si>
    <t>Breadalbane Public School</t>
  </si>
  <si>
    <t>BREADALBANE</t>
  </si>
  <si>
    <t>1346</t>
  </si>
  <si>
    <t>Colo Heights Public School</t>
  </si>
  <si>
    <t>Colo Heights</t>
  </si>
  <si>
    <t>1347</t>
  </si>
  <si>
    <t>Bredbo Public School</t>
  </si>
  <si>
    <t>Bredbo</t>
  </si>
  <si>
    <t>1350</t>
  </si>
  <si>
    <t>Brewarrina Central School</t>
  </si>
  <si>
    <t>BREWARRINA</t>
  </si>
  <si>
    <t>Brewarrina</t>
  </si>
  <si>
    <t>1354</t>
  </si>
  <si>
    <t>Bribbaree Public School</t>
  </si>
  <si>
    <t>Bribbaree</t>
  </si>
  <si>
    <t>1358</t>
  </si>
  <si>
    <t>Brighton-Le-Sands Public School</t>
  </si>
  <si>
    <t>BRIGHTON-LE-SANDS</t>
  </si>
  <si>
    <t>1360</t>
  </si>
  <si>
    <t>Bringelly Public School</t>
  </si>
  <si>
    <t>BRINGELLY</t>
  </si>
  <si>
    <t>1361</t>
  </si>
  <si>
    <t>Broadwater Public School</t>
  </si>
  <si>
    <t>Broadwater</t>
  </si>
  <si>
    <t>Richmond Valley</t>
  </si>
  <si>
    <t>1363</t>
  </si>
  <si>
    <t>Brocklesby Public School</t>
  </si>
  <si>
    <t>Brocklesby</t>
  </si>
  <si>
    <t>Greater Hume</t>
  </si>
  <si>
    <t>1367</t>
  </si>
  <si>
    <t>Broke Public School</t>
  </si>
  <si>
    <t>Broke</t>
  </si>
  <si>
    <t>Singleton</t>
  </si>
  <si>
    <t>1369</t>
  </si>
  <si>
    <t>Broken Hill Public School</t>
  </si>
  <si>
    <t>1371</t>
  </si>
  <si>
    <t>Broken Hill North Public School</t>
  </si>
  <si>
    <t>1372</t>
  </si>
  <si>
    <t>Bronte Public School</t>
  </si>
  <si>
    <t>BRONTE</t>
  </si>
  <si>
    <t>1377</t>
  </si>
  <si>
    <t>Brooklyn Public School</t>
  </si>
  <si>
    <t>Brooklyn</t>
  </si>
  <si>
    <t>1379</t>
  </si>
  <si>
    <t>Brookvale Public School</t>
  </si>
  <si>
    <t>Brookvale</t>
  </si>
  <si>
    <t>1387</t>
  </si>
  <si>
    <t>Brungle Public School</t>
  </si>
  <si>
    <t>Brungle</t>
  </si>
  <si>
    <t>1389</t>
  </si>
  <si>
    <t>Brunswick Heads Public School</t>
  </si>
  <si>
    <t>Brunswick Heads</t>
  </si>
  <si>
    <t>1402</t>
  </si>
  <si>
    <t>Bulahdelah Central School</t>
  </si>
  <si>
    <t>Bulahdelah</t>
  </si>
  <si>
    <t>1411</t>
  </si>
  <si>
    <t>Bulli Public School</t>
  </si>
  <si>
    <t>Bulli</t>
  </si>
  <si>
    <t>1414</t>
  </si>
  <si>
    <t>Bundanoon Public School</t>
  </si>
  <si>
    <t>Bundanoon</t>
  </si>
  <si>
    <t>1415</t>
  </si>
  <si>
    <t>Bundarra Central School</t>
  </si>
  <si>
    <t>BUNDARRA</t>
  </si>
  <si>
    <t>Uralla</t>
  </si>
  <si>
    <t>1421</t>
  </si>
  <si>
    <t>Bungendore Public School</t>
  </si>
  <si>
    <t>Bungendore</t>
  </si>
  <si>
    <t>1424</t>
  </si>
  <si>
    <t>Bungwahl Public School</t>
  </si>
  <si>
    <t>BUNGWAHL</t>
  </si>
  <si>
    <t>1425</t>
  </si>
  <si>
    <t>Bunnaloo Public School</t>
  </si>
  <si>
    <t>Bunnaloo</t>
  </si>
  <si>
    <t>1432</t>
  </si>
  <si>
    <t>Burke Ward Public School</t>
  </si>
  <si>
    <t>1433</t>
  </si>
  <si>
    <t>Burnside Public School</t>
  </si>
  <si>
    <t>North Parramatta</t>
  </si>
  <si>
    <t>Parramatta</t>
  </si>
  <si>
    <t>1445</t>
  </si>
  <si>
    <t>Burrawang Public School</t>
  </si>
  <si>
    <t>Burrawang</t>
  </si>
  <si>
    <t>1447</t>
  </si>
  <si>
    <t>Burren Junction Public School</t>
  </si>
  <si>
    <t>Burren Junction</t>
  </si>
  <si>
    <t>Walgett</t>
  </si>
  <si>
    <t>1449</t>
  </si>
  <si>
    <t>Burringbar Public School</t>
  </si>
  <si>
    <t>Burringbar</t>
  </si>
  <si>
    <t>1453</t>
  </si>
  <si>
    <t>Burrumbuttock Public School</t>
  </si>
  <si>
    <t>Burrumbuttock</t>
  </si>
  <si>
    <t>1455</t>
  </si>
  <si>
    <t>Burwood Public School</t>
  </si>
  <si>
    <t>BURWOOD</t>
  </si>
  <si>
    <t>Burwood</t>
  </si>
  <si>
    <t>1460</t>
  </si>
  <si>
    <t>Buxton Public School</t>
  </si>
  <si>
    <t>Buxton</t>
  </si>
  <si>
    <t>1470</t>
  </si>
  <si>
    <t>Byron Bay Public School</t>
  </si>
  <si>
    <t>Byron Bay</t>
  </si>
  <si>
    <t>1471</t>
  </si>
  <si>
    <t>Cabbage Tree Island Public School</t>
  </si>
  <si>
    <t>Wardell</t>
  </si>
  <si>
    <t>1472</t>
  </si>
  <si>
    <t>Cabramatta Public School</t>
  </si>
  <si>
    <t>Cabramatta</t>
  </si>
  <si>
    <t>1481</t>
  </si>
  <si>
    <t>Cambewarra Public School</t>
  </si>
  <si>
    <t>CAMBEWARRA</t>
  </si>
  <si>
    <t>1482</t>
  </si>
  <si>
    <t>Camden Public School</t>
  </si>
  <si>
    <t>CAMDEN</t>
  </si>
  <si>
    <t>Camden</t>
  </si>
  <si>
    <t>1483</t>
  </si>
  <si>
    <t>Camdenville Public School</t>
  </si>
  <si>
    <t>Newtown</t>
  </si>
  <si>
    <t>1485</t>
  </si>
  <si>
    <t>Cammeray Public School</t>
  </si>
  <si>
    <t>Cammeray</t>
  </si>
  <si>
    <t>North Sydney</t>
  </si>
  <si>
    <t>1486</t>
  </si>
  <si>
    <t>Campbelltown Public School</t>
  </si>
  <si>
    <t>Campbelltown</t>
  </si>
  <si>
    <t>Campbelltown (NSW)</t>
  </si>
  <si>
    <t>1488</t>
  </si>
  <si>
    <t>Campsie Public School</t>
  </si>
  <si>
    <t>Campsie</t>
  </si>
  <si>
    <t>1490</t>
  </si>
  <si>
    <t>Candelo Public School</t>
  </si>
  <si>
    <t>Candelo</t>
  </si>
  <si>
    <t>1492</t>
  </si>
  <si>
    <t>Caniaba Public School</t>
  </si>
  <si>
    <t>1494</t>
  </si>
  <si>
    <t>Canley Vale Public School</t>
  </si>
  <si>
    <t>Canley Vale</t>
  </si>
  <si>
    <t>1495</t>
  </si>
  <si>
    <t>Canobolas Public School</t>
  </si>
  <si>
    <t>Orange</t>
  </si>
  <si>
    <t>1497</t>
  </si>
  <si>
    <t>Canterbury Public School</t>
  </si>
  <si>
    <t>Canterbury</t>
  </si>
  <si>
    <t>1498</t>
  </si>
  <si>
    <t>Brisbania Public School</t>
  </si>
  <si>
    <t>Saratoga</t>
  </si>
  <si>
    <t>1499</t>
  </si>
  <si>
    <t>Uranquinty Public School</t>
  </si>
  <si>
    <t>URANQUINTY</t>
  </si>
  <si>
    <t>Wagga Wagga</t>
  </si>
  <si>
    <t>1502</t>
  </si>
  <si>
    <t>Captains Flat Public School</t>
  </si>
  <si>
    <t>CAPTAINS FLAT</t>
  </si>
  <si>
    <t>1503</t>
  </si>
  <si>
    <t>Caragabal Public School</t>
  </si>
  <si>
    <t>Caragabal</t>
  </si>
  <si>
    <t>Weddin</t>
  </si>
  <si>
    <t>1504</t>
  </si>
  <si>
    <t>Carcoar Public School</t>
  </si>
  <si>
    <t>Carcoar</t>
  </si>
  <si>
    <t>1505</t>
  </si>
  <si>
    <t>Cardiff Public School</t>
  </si>
  <si>
    <t>Cardiff</t>
  </si>
  <si>
    <t>1506</t>
  </si>
  <si>
    <t>Cargo Public School</t>
  </si>
  <si>
    <t>Cargo</t>
  </si>
  <si>
    <t>Cabonne</t>
  </si>
  <si>
    <t>1507</t>
  </si>
  <si>
    <t>Carinda Public School</t>
  </si>
  <si>
    <t>Carinda</t>
  </si>
  <si>
    <t>1508</t>
  </si>
  <si>
    <t>Caringbah Public School</t>
  </si>
  <si>
    <t>Caringbah</t>
  </si>
  <si>
    <t>Sutherland</t>
  </si>
  <si>
    <t>Sydney - Sutherland</t>
  </si>
  <si>
    <t>1512</t>
  </si>
  <si>
    <t>Carlton Public School</t>
  </si>
  <si>
    <t>Bexley</t>
  </si>
  <si>
    <t>1513</t>
  </si>
  <si>
    <t>Carlton South Public School</t>
  </si>
  <si>
    <t>CARLTON</t>
  </si>
  <si>
    <t>1518</t>
  </si>
  <si>
    <t>Carrington Public School</t>
  </si>
  <si>
    <t>Carrington</t>
  </si>
  <si>
    <t>1520</t>
  </si>
  <si>
    <t>Carroll Public School</t>
  </si>
  <si>
    <t>Carroll</t>
  </si>
  <si>
    <t>Gunnedah</t>
  </si>
  <si>
    <t>1526</t>
  </si>
  <si>
    <t>Casino Public School</t>
  </si>
  <si>
    <t>Casino</t>
  </si>
  <si>
    <t>1527</t>
  </si>
  <si>
    <t>Cassilis Public School</t>
  </si>
  <si>
    <t>Cassilis</t>
  </si>
  <si>
    <t>1529</t>
  </si>
  <si>
    <t>Castle Hill Public School</t>
  </si>
  <si>
    <t>Castle Hill</t>
  </si>
  <si>
    <t>The Hills</t>
  </si>
  <si>
    <t>1535</t>
  </si>
  <si>
    <t>Cattai Public School</t>
  </si>
  <si>
    <t>Cattai</t>
  </si>
  <si>
    <t>1537</t>
  </si>
  <si>
    <t>Cawdor Public School</t>
  </si>
  <si>
    <t>CAWDOR</t>
  </si>
  <si>
    <t>1542</t>
  </si>
  <si>
    <t>Cessnock Public School</t>
  </si>
  <si>
    <t>1543</t>
  </si>
  <si>
    <t>Cessnock East Public School</t>
  </si>
  <si>
    <t>1545</t>
  </si>
  <si>
    <t>Cessnock West Public School</t>
  </si>
  <si>
    <t>1547</t>
  </si>
  <si>
    <t>Chandler Public School</t>
  </si>
  <si>
    <t>Wollomombi</t>
  </si>
  <si>
    <t>1548</t>
  </si>
  <si>
    <t>The Channon Public School</t>
  </si>
  <si>
    <t>The Channon</t>
  </si>
  <si>
    <t>1550</t>
  </si>
  <si>
    <t>Charlestown Public School</t>
  </si>
  <si>
    <t>Charlestown</t>
  </si>
  <si>
    <t>1551</t>
  </si>
  <si>
    <t>Pacific Palms Public School</t>
  </si>
  <si>
    <t>BOOMERANG BEACH</t>
  </si>
  <si>
    <t>1553</t>
  </si>
  <si>
    <t>Chatsworth Island Public School</t>
  </si>
  <si>
    <t>CHATSWORTH</t>
  </si>
  <si>
    <t>1558</t>
  </si>
  <si>
    <t>Chillingham Public School</t>
  </si>
  <si>
    <t>Chillingham</t>
  </si>
  <si>
    <t>1560</t>
  </si>
  <si>
    <t>Chipping Norton Public School</t>
  </si>
  <si>
    <t>Chipping Norton</t>
  </si>
  <si>
    <t>1564</t>
  </si>
  <si>
    <t>Clarence Town Public School</t>
  </si>
  <si>
    <t>CLARENCE TOWN</t>
  </si>
  <si>
    <t>Dungog</t>
  </si>
  <si>
    <t>1566</t>
  </si>
  <si>
    <t>Clemton Park Public School</t>
  </si>
  <si>
    <t>Earlwood</t>
  </si>
  <si>
    <t>1573</t>
  </si>
  <si>
    <t>Clovelly Public School</t>
  </si>
  <si>
    <t>1574</t>
  </si>
  <si>
    <t>Clunes Public School</t>
  </si>
  <si>
    <t>Clunes</t>
  </si>
  <si>
    <t>1578</t>
  </si>
  <si>
    <t>Cobar Public School</t>
  </si>
  <si>
    <t>Cobar</t>
  </si>
  <si>
    <t>1579</t>
  </si>
  <si>
    <t>Cobargo Public School</t>
  </si>
  <si>
    <t>Cobargo</t>
  </si>
  <si>
    <t>1580</t>
  </si>
  <si>
    <t>Cobbitty Public School</t>
  </si>
  <si>
    <t>COBBITTY</t>
  </si>
  <si>
    <t>1583</t>
  </si>
  <si>
    <t>Coffee Camp Public School</t>
  </si>
  <si>
    <t>Coffee Camp</t>
  </si>
  <si>
    <t>1584</t>
  </si>
  <si>
    <t>Coffs Harbour Public School</t>
  </si>
  <si>
    <t>COFFS HARBOUR</t>
  </si>
  <si>
    <t>1587</t>
  </si>
  <si>
    <t>Coledale Public School</t>
  </si>
  <si>
    <t>Coledale</t>
  </si>
  <si>
    <t>1589</t>
  </si>
  <si>
    <t>Collarenebri Central School</t>
  </si>
  <si>
    <t>COLLARENEBRI</t>
  </si>
  <si>
    <t>1590</t>
  </si>
  <si>
    <t>Collector Public School</t>
  </si>
  <si>
    <t>Collector</t>
  </si>
  <si>
    <t>1593</t>
  </si>
  <si>
    <t>Collins Creek Public School</t>
  </si>
  <si>
    <t>Collins Creek</t>
  </si>
  <si>
    <t>1596</t>
  </si>
  <si>
    <t>Colyton Public School</t>
  </si>
  <si>
    <t>Mount Druitt</t>
  </si>
  <si>
    <t>Blacktown</t>
  </si>
  <si>
    <t>Sydney - Blacktown</t>
  </si>
  <si>
    <t>1601</t>
  </si>
  <si>
    <t>Comboyne Public School</t>
  </si>
  <si>
    <t>Comboyne</t>
  </si>
  <si>
    <t>1604</t>
  </si>
  <si>
    <t>Comleroy Road Public School</t>
  </si>
  <si>
    <t>Kurrajong</t>
  </si>
  <si>
    <t>1605</t>
  </si>
  <si>
    <t>Como Public School</t>
  </si>
  <si>
    <t>Como</t>
  </si>
  <si>
    <t>1606</t>
  </si>
  <si>
    <t>Conargo Public School</t>
  </si>
  <si>
    <t>Conargo</t>
  </si>
  <si>
    <t>1607</t>
  </si>
  <si>
    <t>Concord Public School</t>
  </si>
  <si>
    <t>Concord</t>
  </si>
  <si>
    <t>1608</t>
  </si>
  <si>
    <t>Concord West Public School</t>
  </si>
  <si>
    <t>Concord West</t>
  </si>
  <si>
    <t>1609</t>
  </si>
  <si>
    <t>Condobolin Public School</t>
  </si>
  <si>
    <t>CONDOBOLIN</t>
  </si>
  <si>
    <t>Lachlan</t>
  </si>
  <si>
    <t>1611</t>
  </si>
  <si>
    <t>Condong Public School</t>
  </si>
  <si>
    <t>Condong</t>
  </si>
  <si>
    <t>1612</t>
  </si>
  <si>
    <t>Coniston Public School</t>
  </si>
  <si>
    <t>CONISTON</t>
  </si>
  <si>
    <t>1613</t>
  </si>
  <si>
    <t>Connells Point Public School</t>
  </si>
  <si>
    <t>Connells Point</t>
  </si>
  <si>
    <t>1615</t>
  </si>
  <si>
    <t>Cooerwull Public School</t>
  </si>
  <si>
    <t>Lithgow</t>
  </si>
  <si>
    <t>1616</t>
  </si>
  <si>
    <t>Coogee Public School</t>
  </si>
  <si>
    <t>Coogee</t>
  </si>
  <si>
    <t>Randwick</t>
  </si>
  <si>
    <t>1621</t>
  </si>
  <si>
    <t>Coolah Central School</t>
  </si>
  <si>
    <t>Coolah</t>
  </si>
  <si>
    <t>1624</t>
  </si>
  <si>
    <t>Coolamon Central School</t>
  </si>
  <si>
    <t>1625</t>
  </si>
  <si>
    <t>Shoalhaven Heads Public School</t>
  </si>
  <si>
    <t>Shoalhaven Heads</t>
  </si>
  <si>
    <t>1627</t>
  </si>
  <si>
    <t>Coolongolook Public School</t>
  </si>
  <si>
    <t>Coolongolook</t>
  </si>
  <si>
    <t>1628</t>
  </si>
  <si>
    <t>Cooma Public School</t>
  </si>
  <si>
    <t>Cooma</t>
  </si>
  <si>
    <t>1630</t>
  </si>
  <si>
    <t>Coonabarabran Public School</t>
  </si>
  <si>
    <t>Coonabarabran</t>
  </si>
  <si>
    <t>1631</t>
  </si>
  <si>
    <t>Coonamble Public School</t>
  </si>
  <si>
    <t>COONAMBLE</t>
  </si>
  <si>
    <t>Coonamble</t>
  </si>
  <si>
    <t>1632</t>
  </si>
  <si>
    <t>Coopernook Public School</t>
  </si>
  <si>
    <t>Coopernook</t>
  </si>
  <si>
    <t>1634</t>
  </si>
  <si>
    <t>Coorabell Public School</t>
  </si>
  <si>
    <t>Coorabell</t>
  </si>
  <si>
    <t>1635</t>
  </si>
  <si>
    <t>Cooranbong Public School</t>
  </si>
  <si>
    <t>Cooranbong</t>
  </si>
  <si>
    <t>1636</t>
  </si>
  <si>
    <t>Cootamundra Public School</t>
  </si>
  <si>
    <t>Cootamundra</t>
  </si>
  <si>
    <t>1642</t>
  </si>
  <si>
    <t>Copmanhurst Public School</t>
  </si>
  <si>
    <t>COPMANHURST</t>
  </si>
  <si>
    <t>1644</t>
  </si>
  <si>
    <t>Coraki Public School</t>
  </si>
  <si>
    <t>Coraki</t>
  </si>
  <si>
    <t>1647</t>
  </si>
  <si>
    <t>Coramba Public School</t>
  </si>
  <si>
    <t>Coramba</t>
  </si>
  <si>
    <t>1654</t>
  </si>
  <si>
    <t>Corindi Public School</t>
  </si>
  <si>
    <t>Corindi Beach</t>
  </si>
  <si>
    <t>1656</t>
  </si>
  <si>
    <t>Corndale Public School</t>
  </si>
  <si>
    <t>Corndale</t>
  </si>
  <si>
    <t>1658</t>
  </si>
  <si>
    <t>Corowa Public School</t>
  </si>
  <si>
    <t>Corowa</t>
  </si>
  <si>
    <t>1659</t>
  </si>
  <si>
    <t>Corowa South Public School</t>
  </si>
  <si>
    <t>1661</t>
  </si>
  <si>
    <t>Corrimal Public School</t>
  </si>
  <si>
    <t>Corrimal</t>
  </si>
  <si>
    <t>1666</t>
  </si>
  <si>
    <t>Coutts Crossing Public School</t>
  </si>
  <si>
    <t>COUTTS CROSSING</t>
  </si>
  <si>
    <t>1668</t>
  </si>
  <si>
    <t>Cowan Public School</t>
  </si>
  <si>
    <t>Cowan</t>
  </si>
  <si>
    <t>1670</t>
  </si>
  <si>
    <t>Cowper Public School</t>
  </si>
  <si>
    <t>Cowper</t>
  </si>
  <si>
    <t>1671</t>
  </si>
  <si>
    <t>Cowra Public School</t>
  </si>
  <si>
    <t>Cowra</t>
  </si>
  <si>
    <t>1674</t>
  </si>
  <si>
    <t>Crabbes Creek Public School</t>
  </si>
  <si>
    <t>Crabbes Creek</t>
  </si>
  <si>
    <t>1681</t>
  </si>
  <si>
    <t>Crescent Head Public School</t>
  </si>
  <si>
    <t>Crescent Head</t>
  </si>
  <si>
    <t>1682</t>
  </si>
  <si>
    <t>Cronulla Public School</t>
  </si>
  <si>
    <t>Cronulla</t>
  </si>
  <si>
    <t>1684</t>
  </si>
  <si>
    <t>Crookwell Public School</t>
  </si>
  <si>
    <t>Crookwell</t>
  </si>
  <si>
    <t>1685</t>
  </si>
  <si>
    <t>Crossmaglen Public School</t>
  </si>
  <si>
    <t>Bonville</t>
  </si>
  <si>
    <t>1688</t>
  </si>
  <si>
    <t>Buronga Public School</t>
  </si>
  <si>
    <t>BURONGA</t>
  </si>
  <si>
    <t>Wentworth</t>
  </si>
  <si>
    <t>1690</t>
  </si>
  <si>
    <t>Crystal Creek Public School</t>
  </si>
  <si>
    <t>CRYSTAL CREEK</t>
  </si>
  <si>
    <t>1695</t>
  </si>
  <si>
    <t>Cudal Public School</t>
  </si>
  <si>
    <t>Cudal</t>
  </si>
  <si>
    <t>1696</t>
  </si>
  <si>
    <t>Cudgen Public School</t>
  </si>
  <si>
    <t>CUDGEN</t>
  </si>
  <si>
    <t>1698</t>
  </si>
  <si>
    <t>Culcairn Public School</t>
  </si>
  <si>
    <t>CULCAIRN</t>
  </si>
  <si>
    <t>1700</t>
  </si>
  <si>
    <t>Cullen Bullen Public School</t>
  </si>
  <si>
    <t>Cullen Bullen</t>
  </si>
  <si>
    <t>1707</t>
  </si>
  <si>
    <t>Cumnock Public School</t>
  </si>
  <si>
    <t>Cumnock</t>
  </si>
  <si>
    <t>1708</t>
  </si>
  <si>
    <t>Cundletown Public School</t>
  </si>
  <si>
    <t>CUNDLETOWN</t>
  </si>
  <si>
    <t>1712</t>
  </si>
  <si>
    <t>Curlewis Public School</t>
  </si>
  <si>
    <t>Curlewis</t>
  </si>
  <si>
    <t>1714</t>
  </si>
  <si>
    <t>Currabubula Public School</t>
  </si>
  <si>
    <t>Currabubula</t>
  </si>
  <si>
    <t>1723</t>
  </si>
  <si>
    <t>Dalton Public School</t>
  </si>
  <si>
    <t>Dalton</t>
  </si>
  <si>
    <t>1727</t>
  </si>
  <si>
    <t>Dapto Public School</t>
  </si>
  <si>
    <t>HORSLEY</t>
  </si>
  <si>
    <t>1732</t>
  </si>
  <si>
    <t>Dareton Public School</t>
  </si>
  <si>
    <t>Dareton</t>
  </si>
  <si>
    <t>1735</t>
  </si>
  <si>
    <t>Darlington Public School</t>
  </si>
  <si>
    <t>Chippendale</t>
  </si>
  <si>
    <t>Sydney</t>
  </si>
  <si>
    <t>1736</t>
  </si>
  <si>
    <t>Darlington Point Public School</t>
  </si>
  <si>
    <t>DARLINGTON POINT</t>
  </si>
  <si>
    <t>Murrumbidgee</t>
  </si>
  <si>
    <t>1740</t>
  </si>
  <si>
    <t>Leeville Public School</t>
  </si>
  <si>
    <t>Leeville</t>
  </si>
  <si>
    <t>1742</t>
  </si>
  <si>
    <t>Deepwater Public School</t>
  </si>
  <si>
    <t>Deepwater</t>
  </si>
  <si>
    <t>Glen Innes Severn</t>
  </si>
  <si>
    <t>1744</t>
  </si>
  <si>
    <t>Dee Why Public School</t>
  </si>
  <si>
    <t>Dee Why</t>
  </si>
  <si>
    <t>1745</t>
  </si>
  <si>
    <t>Delegate Public School</t>
  </si>
  <si>
    <t>Delegate</t>
  </si>
  <si>
    <t>1747</t>
  </si>
  <si>
    <t>Delungra Public School</t>
  </si>
  <si>
    <t>Delungra</t>
  </si>
  <si>
    <t>1749</t>
  </si>
  <si>
    <t>Denman Public School</t>
  </si>
  <si>
    <t>Denman</t>
  </si>
  <si>
    <t>Muswellbrook</t>
  </si>
  <si>
    <t>1760</t>
  </si>
  <si>
    <t>Doonside Public School</t>
  </si>
  <si>
    <t>DOONSIDE</t>
  </si>
  <si>
    <t>1762</t>
  </si>
  <si>
    <t>Dora Creek Public School</t>
  </si>
  <si>
    <t>Dora Creek</t>
  </si>
  <si>
    <t>1768</t>
  </si>
  <si>
    <t>Double Bay Public School</t>
  </si>
  <si>
    <t>Double Bay</t>
  </si>
  <si>
    <t>1770</t>
  </si>
  <si>
    <t>Douglas Park Public School</t>
  </si>
  <si>
    <t>Douglas Park</t>
  </si>
  <si>
    <t>1771</t>
  </si>
  <si>
    <t>Drake Public School</t>
  </si>
  <si>
    <t>Drake</t>
  </si>
  <si>
    <t>Tenterfield</t>
  </si>
  <si>
    <t>1774</t>
  </si>
  <si>
    <t>Drummoyne Public School</t>
  </si>
  <si>
    <t>Drummoyne</t>
  </si>
  <si>
    <t>1775</t>
  </si>
  <si>
    <t>Dubbo Public School</t>
  </si>
  <si>
    <t>1776</t>
  </si>
  <si>
    <t>Dubbo North Public School</t>
  </si>
  <si>
    <t>1778</t>
  </si>
  <si>
    <t>Dudley Public School</t>
  </si>
  <si>
    <t>Dudley</t>
  </si>
  <si>
    <t>1780</t>
  </si>
  <si>
    <t>Lismore Public School</t>
  </si>
  <si>
    <t>1788</t>
  </si>
  <si>
    <t>Dundurrabin Public School</t>
  </si>
  <si>
    <t>Dundurrabin</t>
  </si>
  <si>
    <t>1789</t>
  </si>
  <si>
    <t>Dunedoo Central School</t>
  </si>
  <si>
    <t>Dunedoo</t>
  </si>
  <si>
    <t>1791</t>
  </si>
  <si>
    <t>Dungay Public School</t>
  </si>
  <si>
    <t>Dungay</t>
  </si>
  <si>
    <t>1792</t>
  </si>
  <si>
    <t>Dungog Public School</t>
  </si>
  <si>
    <t>1793</t>
  </si>
  <si>
    <t>Dungowan Public School</t>
  </si>
  <si>
    <t>Dungowan</t>
  </si>
  <si>
    <t>1797</t>
  </si>
  <si>
    <t>Dunoon Public School</t>
  </si>
  <si>
    <t>Dunoon</t>
  </si>
  <si>
    <t>1799</t>
  </si>
  <si>
    <t>Dural Public School</t>
  </si>
  <si>
    <t>Dural</t>
  </si>
  <si>
    <t>1801</t>
  </si>
  <si>
    <t>Duranbah Public School</t>
  </si>
  <si>
    <t>Duranbah</t>
  </si>
  <si>
    <t>1802</t>
  </si>
  <si>
    <t>Duri Public School</t>
  </si>
  <si>
    <t>Duri</t>
  </si>
  <si>
    <t>1807</t>
  </si>
  <si>
    <t>Earlwood Public School</t>
  </si>
  <si>
    <t>1808</t>
  </si>
  <si>
    <t>Eastern Creek Public School</t>
  </si>
  <si>
    <t>EASTERN CREEK</t>
  </si>
  <si>
    <t>1809</t>
  </si>
  <si>
    <t>Panania Public School</t>
  </si>
  <si>
    <t>PANANIA</t>
  </si>
  <si>
    <t>1811</t>
  </si>
  <si>
    <t>Dubbo South Public School</t>
  </si>
  <si>
    <t>1813</t>
  </si>
  <si>
    <t>Ebenezer Public School</t>
  </si>
  <si>
    <t>EBENEZER</t>
  </si>
  <si>
    <t>1814</t>
  </si>
  <si>
    <t>Ebor Public School</t>
  </si>
  <si>
    <t>Ebor</t>
  </si>
  <si>
    <t>1816</t>
  </si>
  <si>
    <t>Eden Public School</t>
  </si>
  <si>
    <t>Eden</t>
  </si>
  <si>
    <t>1822</t>
  </si>
  <si>
    <t>Congewai Public School</t>
  </si>
  <si>
    <t>CONGEWAI</t>
  </si>
  <si>
    <t>1823</t>
  </si>
  <si>
    <t>Eglinton Public School</t>
  </si>
  <si>
    <t>Eglinton</t>
  </si>
  <si>
    <t>1824</t>
  </si>
  <si>
    <t>Elands Public School</t>
  </si>
  <si>
    <t>Elands</t>
  </si>
  <si>
    <t>1826</t>
  </si>
  <si>
    <t>Ellalong Public School</t>
  </si>
  <si>
    <t>ELLALONG</t>
  </si>
  <si>
    <t>1830</t>
  </si>
  <si>
    <t>Ellerston Public School</t>
  </si>
  <si>
    <t>Ellerston</t>
  </si>
  <si>
    <t>1835</t>
  </si>
  <si>
    <t>Eltham Public School</t>
  </si>
  <si>
    <t>Eltham</t>
  </si>
  <si>
    <t>1838</t>
  </si>
  <si>
    <t>Emmaville Central School</t>
  </si>
  <si>
    <t>Emmaville</t>
  </si>
  <si>
    <t>1839</t>
  </si>
  <si>
    <t>Empire Bay Public School</t>
  </si>
  <si>
    <t>EMPIRE BAY</t>
  </si>
  <si>
    <t>1840</t>
  </si>
  <si>
    <t>Empire Vale Public School</t>
  </si>
  <si>
    <t>Empire Vale</t>
  </si>
  <si>
    <t>1841</t>
  </si>
  <si>
    <t>Emu Plains Public School</t>
  </si>
  <si>
    <t>Emu Plains</t>
  </si>
  <si>
    <t>Penrith</t>
  </si>
  <si>
    <t>1844</t>
  </si>
  <si>
    <t>Enfield Public School</t>
  </si>
  <si>
    <t>Enfield</t>
  </si>
  <si>
    <t>1845</t>
  </si>
  <si>
    <t>Engadine Public School</t>
  </si>
  <si>
    <t>Engadine</t>
  </si>
  <si>
    <t>1849</t>
  </si>
  <si>
    <t>The Entrance Public School</t>
  </si>
  <si>
    <t>The Entrance</t>
  </si>
  <si>
    <t>1850</t>
  </si>
  <si>
    <t>Epping Public School</t>
  </si>
  <si>
    <t>EPPING</t>
  </si>
  <si>
    <t>1851</t>
  </si>
  <si>
    <t>Epping West Public School</t>
  </si>
  <si>
    <t>1856</t>
  </si>
  <si>
    <t>Erina Heights Public School</t>
  </si>
  <si>
    <t>Erina Heights</t>
  </si>
  <si>
    <t>1857</t>
  </si>
  <si>
    <t>Woodport Public School</t>
  </si>
  <si>
    <t>Erina</t>
  </si>
  <si>
    <t>1860</t>
  </si>
  <si>
    <t>Ermington Public School</t>
  </si>
  <si>
    <t>West Ryde</t>
  </si>
  <si>
    <t>Ryde</t>
  </si>
  <si>
    <t>1864</t>
  </si>
  <si>
    <t>Ettalong Public School</t>
  </si>
  <si>
    <t>Ettalong Beach</t>
  </si>
  <si>
    <t>1867</t>
  </si>
  <si>
    <t>Euabalong West Public School</t>
  </si>
  <si>
    <t>EUABALONG WEST</t>
  </si>
  <si>
    <t>1870</t>
  </si>
  <si>
    <t>Eugowra Public School</t>
  </si>
  <si>
    <t>Eugowra</t>
  </si>
  <si>
    <t>1873</t>
  </si>
  <si>
    <t>Eumungerie Public School</t>
  </si>
  <si>
    <t>Eumungerie</t>
  </si>
  <si>
    <t>1874</t>
  </si>
  <si>
    <t>Eungai Public School</t>
  </si>
  <si>
    <t>Eungai Creek</t>
  </si>
  <si>
    <t>1879</t>
  </si>
  <si>
    <t>Eureka Public School</t>
  </si>
  <si>
    <t>Eureka</t>
  </si>
  <si>
    <t>1883</t>
  </si>
  <si>
    <t>Eurongilly Public School</t>
  </si>
  <si>
    <t>EURONGILLY</t>
  </si>
  <si>
    <t>Junee</t>
  </si>
  <si>
    <t>1885</t>
  </si>
  <si>
    <t>Euston Public School</t>
  </si>
  <si>
    <t>Euston</t>
  </si>
  <si>
    <t>1886</t>
  </si>
  <si>
    <t>Evans River Community School</t>
  </si>
  <si>
    <t>EVANS HEAD</t>
  </si>
  <si>
    <t>1890</t>
  </si>
  <si>
    <t>Excelsior Public School</t>
  </si>
  <si>
    <t>1891</t>
  </si>
  <si>
    <t>Exeter Public School</t>
  </si>
  <si>
    <t>Exeter</t>
  </si>
  <si>
    <t>1894</t>
  </si>
  <si>
    <t>Fairfax Public School</t>
  </si>
  <si>
    <t>Maules Creek</t>
  </si>
  <si>
    <t>1895</t>
  </si>
  <si>
    <t>Fairfield Public School</t>
  </si>
  <si>
    <t>1896</t>
  </si>
  <si>
    <t>Fairfield West Public School</t>
  </si>
  <si>
    <t>Fairfield West</t>
  </si>
  <si>
    <t>1898</t>
  </si>
  <si>
    <t>Fairy Meadow Public School</t>
  </si>
  <si>
    <t>Fairy Meadow</t>
  </si>
  <si>
    <t>1901</t>
  </si>
  <si>
    <t>Falls Creek Public School</t>
  </si>
  <si>
    <t>Falls Creek</t>
  </si>
  <si>
    <t>1904</t>
  </si>
  <si>
    <t>Fassifern Public School</t>
  </si>
  <si>
    <t>FASSIFERN</t>
  </si>
  <si>
    <t>1915</t>
  </si>
  <si>
    <t>Fingal Head Public School</t>
  </si>
  <si>
    <t>Fingal Head</t>
  </si>
  <si>
    <t>1920</t>
  </si>
  <si>
    <t>Five Dock Public School</t>
  </si>
  <si>
    <t>Five Dock</t>
  </si>
  <si>
    <t>1921</t>
  </si>
  <si>
    <t>Lord Howe Island Central School</t>
  </si>
  <si>
    <t>Lord Howe Island</t>
  </si>
  <si>
    <t>Unincorporated NSW</t>
  </si>
  <si>
    <t>1926</t>
  </si>
  <si>
    <t>Forbes Public School</t>
  </si>
  <si>
    <t>FORBES</t>
  </si>
  <si>
    <t>1930</t>
  </si>
  <si>
    <t>Forest Hill Public School</t>
  </si>
  <si>
    <t>Forest Hill</t>
  </si>
  <si>
    <t>1932</t>
  </si>
  <si>
    <t>Forest Lodge Public School</t>
  </si>
  <si>
    <t>Forest Lodge</t>
  </si>
  <si>
    <t>1936</t>
  </si>
  <si>
    <t>Forster Public School</t>
  </si>
  <si>
    <t>Forster</t>
  </si>
  <si>
    <t>1937</t>
  </si>
  <si>
    <t>Fort Street Public School</t>
  </si>
  <si>
    <t>Millers Point</t>
  </si>
  <si>
    <t>1943</t>
  </si>
  <si>
    <t>Frederickton Public School</t>
  </si>
  <si>
    <t>Frederickton</t>
  </si>
  <si>
    <t>1944</t>
  </si>
  <si>
    <t>Freemans Reach Public School</t>
  </si>
  <si>
    <t>FREEMANS REACH</t>
  </si>
  <si>
    <t>1946</t>
  </si>
  <si>
    <t>Frenchs Forest Public School</t>
  </si>
  <si>
    <t>Frenchs Forest</t>
  </si>
  <si>
    <t>1952</t>
  </si>
  <si>
    <t>Galston Public School</t>
  </si>
  <si>
    <t>Galston</t>
  </si>
  <si>
    <t>1954</t>
  </si>
  <si>
    <t>Ganmain Public School</t>
  </si>
  <si>
    <t>Ganmain</t>
  </si>
  <si>
    <t>1956</t>
  </si>
  <si>
    <t>Garah Public School</t>
  </si>
  <si>
    <t>Garah</t>
  </si>
  <si>
    <t>1969</t>
  </si>
  <si>
    <t>Gerogery Public School</t>
  </si>
  <si>
    <t>GEROGERY</t>
  </si>
  <si>
    <t>1971</t>
  </si>
  <si>
    <t>Gerringong Public School</t>
  </si>
  <si>
    <t>Gerringong</t>
  </si>
  <si>
    <t>Kiama</t>
  </si>
  <si>
    <t>1972</t>
  </si>
  <si>
    <t>Geurie Public School</t>
  </si>
  <si>
    <t>GEURIE</t>
  </si>
  <si>
    <t>1974</t>
  </si>
  <si>
    <t>Sandy Hollow Public School</t>
  </si>
  <si>
    <t>Sandy Hollow</t>
  </si>
  <si>
    <t>1978</t>
  </si>
  <si>
    <t>Gilgai Public School</t>
  </si>
  <si>
    <t>Gilgai</t>
  </si>
  <si>
    <t>1979</t>
  </si>
  <si>
    <t>Gilgandra Public School</t>
  </si>
  <si>
    <t>Gilgandra</t>
  </si>
  <si>
    <t>1982</t>
  </si>
  <si>
    <t>Gillieston Public School</t>
  </si>
  <si>
    <t>Gillieston Heights</t>
  </si>
  <si>
    <t>1986</t>
  </si>
  <si>
    <t>Girilambone Public School</t>
  </si>
  <si>
    <t>Girilambone</t>
  </si>
  <si>
    <t>Bogan</t>
  </si>
  <si>
    <t>1988</t>
  </si>
  <si>
    <t>Girraween Public School</t>
  </si>
  <si>
    <t>Girraween</t>
  </si>
  <si>
    <t>1990</t>
  </si>
  <si>
    <t>Gladesville Public School</t>
  </si>
  <si>
    <t>Gladesville</t>
  </si>
  <si>
    <t>1991</t>
  </si>
  <si>
    <t>Gladstone Public School</t>
  </si>
  <si>
    <t>Gladstone</t>
  </si>
  <si>
    <t>1992</t>
  </si>
  <si>
    <t>Windang Public School</t>
  </si>
  <si>
    <t>Windang</t>
  </si>
  <si>
    <t>1994</t>
  </si>
  <si>
    <t>Glenbrook Public School</t>
  </si>
  <si>
    <t>Glenbrook</t>
  </si>
  <si>
    <t>2001</t>
  </si>
  <si>
    <t>Glenfield Public School</t>
  </si>
  <si>
    <t>Glenfield</t>
  </si>
  <si>
    <t>2003</t>
  </si>
  <si>
    <t>Glenhaven Public School</t>
  </si>
  <si>
    <t>Glenhaven</t>
  </si>
  <si>
    <t>2005</t>
  </si>
  <si>
    <t>Glen Innes Public School</t>
  </si>
  <si>
    <t>Glen Innes</t>
  </si>
  <si>
    <t>2009</t>
  </si>
  <si>
    <t>Glenmore Road Public School</t>
  </si>
  <si>
    <t>Paddington</t>
  </si>
  <si>
    <t>2012</t>
  </si>
  <si>
    <t>Glenorie Public School</t>
  </si>
  <si>
    <t>Glenorie</t>
  </si>
  <si>
    <t>2015</t>
  </si>
  <si>
    <t>Glenquarry Public School</t>
  </si>
  <si>
    <t>Glenquarry</t>
  </si>
  <si>
    <t>2016</t>
  </si>
  <si>
    <t>Glenreagh Public School</t>
  </si>
  <si>
    <t>Glenreagh</t>
  </si>
  <si>
    <t>2020</t>
  </si>
  <si>
    <t>Glen William Public School</t>
  </si>
  <si>
    <t>Clarence Town</t>
  </si>
  <si>
    <t>2021</t>
  </si>
  <si>
    <t>Glossodia Public School</t>
  </si>
  <si>
    <t>Glossodia</t>
  </si>
  <si>
    <t>2027</t>
  </si>
  <si>
    <t>Gol Gol Public School</t>
  </si>
  <si>
    <t>Gol Gol</t>
  </si>
  <si>
    <t>2033</t>
  </si>
  <si>
    <t>Goodooga Central School</t>
  </si>
  <si>
    <t>GOODOOGA</t>
  </si>
  <si>
    <t>2035</t>
  </si>
  <si>
    <t>Goolgowi Public School</t>
  </si>
  <si>
    <t>Goolgowi</t>
  </si>
  <si>
    <t>Carrathool</t>
  </si>
  <si>
    <t>2038</t>
  </si>
  <si>
    <t>Gooloogong Public School</t>
  </si>
  <si>
    <t>Gooloogong</t>
  </si>
  <si>
    <t>2041</t>
  </si>
  <si>
    <t>Goonellabah Public School</t>
  </si>
  <si>
    <t>Goonellabah</t>
  </si>
  <si>
    <t>2042</t>
  </si>
  <si>
    <t>Goonengerry Public School</t>
  </si>
  <si>
    <t>GOONENGERRY</t>
  </si>
  <si>
    <t>2049</t>
  </si>
  <si>
    <t>Gosford Public School</t>
  </si>
  <si>
    <t>West Gosford</t>
  </si>
  <si>
    <t>2053</t>
  </si>
  <si>
    <t>Goulburn Public School</t>
  </si>
  <si>
    <t>Goulburn</t>
  </si>
  <si>
    <t>Goulburn Mulwaree</t>
  </si>
  <si>
    <t>2054</t>
  </si>
  <si>
    <t>Goulburn East Public School</t>
  </si>
  <si>
    <t>2055</t>
  </si>
  <si>
    <t>Goulburn North Public School</t>
  </si>
  <si>
    <t>Goulburn North</t>
  </si>
  <si>
    <t>2056</t>
  </si>
  <si>
    <t>Goulburn South Public School</t>
  </si>
  <si>
    <t>2060</t>
  </si>
  <si>
    <t>Grafton Public School</t>
  </si>
  <si>
    <t>Grafton</t>
  </si>
  <si>
    <t>2061</t>
  </si>
  <si>
    <t>South Grafton Public School</t>
  </si>
  <si>
    <t>South Grafton</t>
  </si>
  <si>
    <t>2064</t>
  </si>
  <si>
    <t>Granville Public School</t>
  </si>
  <si>
    <t>2066</t>
  </si>
  <si>
    <t>Granville South Public School</t>
  </si>
  <si>
    <t>Guildford</t>
  </si>
  <si>
    <t>2068</t>
  </si>
  <si>
    <t>Gravesend Public School</t>
  </si>
  <si>
    <t>Gravesend</t>
  </si>
  <si>
    <t>2070</t>
  </si>
  <si>
    <t>Greenethorpe Public School</t>
  </si>
  <si>
    <t>Greenethorpe</t>
  </si>
  <si>
    <t>2071</t>
  </si>
  <si>
    <t>Green Hill Public School</t>
  </si>
  <si>
    <t>West Kempsey</t>
  </si>
  <si>
    <t>2075</t>
  </si>
  <si>
    <t>Green Valley Public School</t>
  </si>
  <si>
    <t>GREEN VALLEY</t>
  </si>
  <si>
    <t>2076</t>
  </si>
  <si>
    <t>Greenwich Public School</t>
  </si>
  <si>
    <t>Greenwich</t>
  </si>
  <si>
    <t>Lane Cove</t>
  </si>
  <si>
    <t>2082</t>
  </si>
  <si>
    <t>Grenfell Public School</t>
  </si>
  <si>
    <t>GRENFELL</t>
  </si>
  <si>
    <t>2083</t>
  </si>
  <si>
    <t>Gresford Public School</t>
  </si>
  <si>
    <t>Gresford</t>
  </si>
  <si>
    <t>2084</t>
  </si>
  <si>
    <t>Greta Public School</t>
  </si>
  <si>
    <t>GRETA</t>
  </si>
  <si>
    <t>2086</t>
  </si>
  <si>
    <t>Greystanes Public School</t>
  </si>
  <si>
    <t>Greystanes</t>
  </si>
  <si>
    <t>2087</t>
  </si>
  <si>
    <t>Griffith Public School</t>
  </si>
  <si>
    <t>2093</t>
  </si>
  <si>
    <t>Guildford Public School</t>
  </si>
  <si>
    <t>2094</t>
  </si>
  <si>
    <t>Gulargambone Central School</t>
  </si>
  <si>
    <t>GULARGAMBONE</t>
  </si>
  <si>
    <t>2097</t>
  </si>
  <si>
    <t>Gulgong Public School</t>
  </si>
  <si>
    <t>GULGONG</t>
  </si>
  <si>
    <t>Mid-Western</t>
  </si>
  <si>
    <t>2099</t>
  </si>
  <si>
    <t>Gulmarrad Public School</t>
  </si>
  <si>
    <t>GULMARRAD</t>
  </si>
  <si>
    <t>2100</t>
  </si>
  <si>
    <t>Gum Flat Public School</t>
  </si>
  <si>
    <t>Gum Flat</t>
  </si>
  <si>
    <t>2102</t>
  </si>
  <si>
    <t>Gundagai Public School</t>
  </si>
  <si>
    <t>Gundagai</t>
  </si>
  <si>
    <t>2103</t>
  </si>
  <si>
    <t>Gundagai South Public School</t>
  </si>
  <si>
    <t>SOUTH GUNDAGAI</t>
  </si>
  <si>
    <t>2104</t>
  </si>
  <si>
    <t>Gundaroo Public School</t>
  </si>
  <si>
    <t>Gundaroo</t>
  </si>
  <si>
    <t>2109</t>
  </si>
  <si>
    <t>Gunnedah Public School</t>
  </si>
  <si>
    <t>2111</t>
  </si>
  <si>
    <t>Gunning Public School</t>
  </si>
  <si>
    <t>Gunning</t>
  </si>
  <si>
    <t>2114</t>
  </si>
  <si>
    <t>Guyra Central School</t>
  </si>
  <si>
    <t>2115</t>
  </si>
  <si>
    <t>Gwabegar Public School</t>
  </si>
  <si>
    <t>Gwabegar</t>
  </si>
  <si>
    <t>2116</t>
  </si>
  <si>
    <t>Gymea Bay Public School</t>
  </si>
  <si>
    <t>Gymea Bay</t>
  </si>
  <si>
    <t>2117</t>
  </si>
  <si>
    <t>Haberfield Public School</t>
  </si>
  <si>
    <t>Haberfield</t>
  </si>
  <si>
    <t>2128</t>
  </si>
  <si>
    <t>Hammondville Public School</t>
  </si>
  <si>
    <t>Hammondville</t>
  </si>
  <si>
    <t>2129</t>
  </si>
  <si>
    <t>Hampton Public School</t>
  </si>
  <si>
    <t>Hampton</t>
  </si>
  <si>
    <t>2131</t>
  </si>
  <si>
    <t>Hannam Vale Public School</t>
  </si>
  <si>
    <t>Hannam Vale</t>
  </si>
  <si>
    <t>2132</t>
  </si>
  <si>
    <t>Hanwood Public School</t>
  </si>
  <si>
    <t>Hanwood</t>
  </si>
  <si>
    <t>2133</t>
  </si>
  <si>
    <t>Harbord Public School</t>
  </si>
  <si>
    <t>Freshwater</t>
  </si>
  <si>
    <t>2136</t>
  </si>
  <si>
    <t>Hargraves Public School</t>
  </si>
  <si>
    <t>Hargraves</t>
  </si>
  <si>
    <t>2139</t>
  </si>
  <si>
    <t>Harrington Public School</t>
  </si>
  <si>
    <t>Harrington</t>
  </si>
  <si>
    <t>2142</t>
  </si>
  <si>
    <t>Harwood Island Public School</t>
  </si>
  <si>
    <t>HARWOOD</t>
  </si>
  <si>
    <t>2145</t>
  </si>
  <si>
    <t>Hay Public School</t>
  </si>
  <si>
    <t>HAY</t>
  </si>
  <si>
    <t>Hay</t>
  </si>
  <si>
    <t>2149</t>
  </si>
  <si>
    <t>Heathcote Public School</t>
  </si>
  <si>
    <t>Heathcote</t>
  </si>
  <si>
    <t>2153</t>
  </si>
  <si>
    <t>Helensburgh Public School</t>
  </si>
  <si>
    <t>Helensburgh</t>
  </si>
  <si>
    <t>2154</t>
  </si>
  <si>
    <t>Henty Public School</t>
  </si>
  <si>
    <t>Henty</t>
  </si>
  <si>
    <t>2155</t>
  </si>
  <si>
    <t>Hermidale Public School</t>
  </si>
  <si>
    <t>Hermidale</t>
  </si>
  <si>
    <t>2156</t>
  </si>
  <si>
    <t>Hernani Public School</t>
  </si>
  <si>
    <t>Dorrigo</t>
  </si>
  <si>
    <t>2157</t>
  </si>
  <si>
    <t>Herons Creek Public School</t>
  </si>
  <si>
    <t>HERONS CREEK</t>
  </si>
  <si>
    <t>2161</t>
  </si>
  <si>
    <t>Hill End Public School</t>
  </si>
  <si>
    <t>Hill End</t>
  </si>
  <si>
    <t>2164</t>
  </si>
  <si>
    <t>Hillside Public School</t>
  </si>
  <si>
    <t>2165</t>
  </si>
  <si>
    <t>Hillston Central School</t>
  </si>
  <si>
    <t>Hillston</t>
  </si>
  <si>
    <t>2166</t>
  </si>
  <si>
    <t>Hill Top Public School</t>
  </si>
  <si>
    <t>Hill Top</t>
  </si>
  <si>
    <t>2167</t>
  </si>
  <si>
    <t>Hinton Public School</t>
  </si>
  <si>
    <t>Hinton</t>
  </si>
  <si>
    <t>2170</t>
  </si>
  <si>
    <t>Holbrook Public School</t>
  </si>
  <si>
    <t>HOLBROOK</t>
  </si>
  <si>
    <t>2171</t>
  </si>
  <si>
    <t>Holgate Public School</t>
  </si>
  <si>
    <t>Holgate</t>
  </si>
  <si>
    <t>2172</t>
  </si>
  <si>
    <t>Holmwood Public School</t>
  </si>
  <si>
    <t>2173</t>
  </si>
  <si>
    <t>Homebush Public School</t>
  </si>
  <si>
    <t>Homebush</t>
  </si>
  <si>
    <t>Strathfield</t>
  </si>
  <si>
    <t>2177</t>
  </si>
  <si>
    <t>Telarah Public School</t>
  </si>
  <si>
    <t>2182</t>
  </si>
  <si>
    <t>Horsley Park Public School</t>
  </si>
  <si>
    <t>HORSLEY PARK</t>
  </si>
  <si>
    <t>2186</t>
  </si>
  <si>
    <t>Howlong Public School</t>
  </si>
  <si>
    <t>HOWLONG</t>
  </si>
  <si>
    <t>2187</t>
  </si>
  <si>
    <t>Hoxton Park Public School</t>
  </si>
  <si>
    <t>HOXTON PARK</t>
  </si>
  <si>
    <t>2188</t>
  </si>
  <si>
    <t>Humula Public School</t>
  </si>
  <si>
    <t>Humula</t>
  </si>
  <si>
    <t>2189</t>
  </si>
  <si>
    <t>Hunters Hill Public School</t>
  </si>
  <si>
    <t>2190</t>
  </si>
  <si>
    <t>Huntingdon Public School</t>
  </si>
  <si>
    <t>2193</t>
  </si>
  <si>
    <t>Rathmines Public School</t>
  </si>
  <si>
    <t>Rathmines</t>
  </si>
  <si>
    <t>2197</t>
  </si>
  <si>
    <t>Hurstville Public School</t>
  </si>
  <si>
    <t>HURSTVILLE</t>
  </si>
  <si>
    <t>2198</t>
  </si>
  <si>
    <t>Hurstville South Public School</t>
  </si>
  <si>
    <t>Hurstville</t>
  </si>
  <si>
    <t>2199</t>
  </si>
  <si>
    <t>Huskisson Public School</t>
  </si>
  <si>
    <t>Huskisson</t>
  </si>
  <si>
    <t>2201</t>
  </si>
  <si>
    <t>Ilford Public School</t>
  </si>
  <si>
    <t>Ilford</t>
  </si>
  <si>
    <t>2203</t>
  </si>
  <si>
    <t>Illabo Public School</t>
  </si>
  <si>
    <t>Illabo</t>
  </si>
  <si>
    <t>2204</t>
  </si>
  <si>
    <t>Iluka Public School</t>
  </si>
  <si>
    <t>ILUKA</t>
  </si>
  <si>
    <t>2206</t>
  </si>
  <si>
    <t>Ingleburn Public School</t>
  </si>
  <si>
    <t>Ingleburn</t>
  </si>
  <si>
    <t>2209</t>
  </si>
  <si>
    <t>Inverell Public School</t>
  </si>
  <si>
    <t>2211</t>
  </si>
  <si>
    <t>Iona Public School</t>
  </si>
  <si>
    <t>Woodville</t>
  </si>
  <si>
    <t>2212</t>
  </si>
  <si>
    <t>Islington Public School</t>
  </si>
  <si>
    <t>Islington</t>
  </si>
  <si>
    <t>2213</t>
  </si>
  <si>
    <t>Ivanhoe Central School</t>
  </si>
  <si>
    <t>Ivanhoe</t>
  </si>
  <si>
    <t>Central Darling</t>
  </si>
  <si>
    <t>2214</t>
  </si>
  <si>
    <t>Fernleigh Public School</t>
  </si>
  <si>
    <t>Fernleigh</t>
  </si>
  <si>
    <t>2218</t>
  </si>
  <si>
    <t>Jamberoo Public School</t>
  </si>
  <si>
    <t>Jamberoo</t>
  </si>
  <si>
    <t>2223</t>
  </si>
  <si>
    <t>Jennings Public School</t>
  </si>
  <si>
    <t>JENNINGS</t>
  </si>
  <si>
    <t>2226</t>
  </si>
  <si>
    <t>Jerilderie Public School</t>
  </si>
  <si>
    <t>Jerilderie</t>
  </si>
  <si>
    <t>2231</t>
  </si>
  <si>
    <t>Jerrys Plains Public School</t>
  </si>
  <si>
    <t>Jerrys Plains</t>
  </si>
  <si>
    <t>2234</t>
  </si>
  <si>
    <t>Jesmond Public School</t>
  </si>
  <si>
    <t>Jesmond</t>
  </si>
  <si>
    <t>2235</t>
  </si>
  <si>
    <t>Jiggi Public School</t>
  </si>
  <si>
    <t>Jiggi</t>
  </si>
  <si>
    <t>2236</t>
  </si>
  <si>
    <t>Jilliby Public School</t>
  </si>
  <si>
    <t>Wyong</t>
  </si>
  <si>
    <t>2239</t>
  </si>
  <si>
    <t>Jindera Public School</t>
  </si>
  <si>
    <t>Jindera</t>
  </si>
  <si>
    <t>2245</t>
  </si>
  <si>
    <t>Jugiong Public School</t>
  </si>
  <si>
    <t>Jugiong</t>
  </si>
  <si>
    <t>2246</t>
  </si>
  <si>
    <t>The Junction Public School</t>
  </si>
  <si>
    <t>Merewether</t>
  </si>
  <si>
    <t>2247</t>
  </si>
  <si>
    <t>Junee Public School</t>
  </si>
  <si>
    <t>2248</t>
  </si>
  <si>
    <t>Junee North Public School</t>
  </si>
  <si>
    <t>2254</t>
  </si>
  <si>
    <t>Kandos Public School</t>
  </si>
  <si>
    <t>Kandos</t>
  </si>
  <si>
    <t>2255</t>
  </si>
  <si>
    <t>Kangaloon Public School</t>
  </si>
  <si>
    <t>Kangaloon</t>
  </si>
  <si>
    <t>2256</t>
  </si>
  <si>
    <t>Kangaroo Valley Public School</t>
  </si>
  <si>
    <t>Kangaroo Valley</t>
  </si>
  <si>
    <t>2259</t>
  </si>
  <si>
    <t>Kanwal Public School</t>
  </si>
  <si>
    <t>Kanwal</t>
  </si>
  <si>
    <t>2260</t>
  </si>
  <si>
    <t>Karangi Public School</t>
  </si>
  <si>
    <t>Karangi</t>
  </si>
  <si>
    <t>2263</t>
  </si>
  <si>
    <t>Karuah Public School</t>
  </si>
  <si>
    <t>Karuah</t>
  </si>
  <si>
    <t>2267</t>
  </si>
  <si>
    <t>Kearsley Public School</t>
  </si>
  <si>
    <t>KEARSLEY</t>
  </si>
  <si>
    <t>2270</t>
  </si>
  <si>
    <t>Kegworth Public School</t>
  </si>
  <si>
    <t>Leichhardt</t>
  </si>
  <si>
    <t>2271</t>
  </si>
  <si>
    <t>Keiraville Public School</t>
  </si>
  <si>
    <t>Keiraville</t>
  </si>
  <si>
    <t>2273</t>
  </si>
  <si>
    <t>Kellys Plains Public School</t>
  </si>
  <si>
    <t>2274</t>
  </si>
  <si>
    <t>Kellyville Public School</t>
  </si>
  <si>
    <t>KELLYVILLE</t>
  </si>
  <si>
    <t>2275</t>
  </si>
  <si>
    <t>Kelso Public School</t>
  </si>
  <si>
    <t>Kelso</t>
  </si>
  <si>
    <t>2278</t>
  </si>
  <si>
    <t>Kempsey East Public School</t>
  </si>
  <si>
    <t>2279</t>
  </si>
  <si>
    <t>Kempsey West Public School</t>
  </si>
  <si>
    <t>WEST KEMPSEY</t>
  </si>
  <si>
    <t>2280</t>
  </si>
  <si>
    <t>Kendall Public School</t>
  </si>
  <si>
    <t>Kendall</t>
  </si>
  <si>
    <t>2283</t>
  </si>
  <si>
    <t>Kensington Public School</t>
  </si>
  <si>
    <t>KENSINGTON</t>
  </si>
  <si>
    <t>2284</t>
  </si>
  <si>
    <t>Kenthurst Public School</t>
  </si>
  <si>
    <t>KENTHURST</t>
  </si>
  <si>
    <t>2285</t>
  </si>
  <si>
    <t>Kentlyn Public School</t>
  </si>
  <si>
    <t>2286</t>
  </si>
  <si>
    <t>Kentucky Public School</t>
  </si>
  <si>
    <t>Kentucky</t>
  </si>
  <si>
    <t>2293</t>
  </si>
  <si>
    <t>Kiama Public School</t>
  </si>
  <si>
    <t>KIAMA</t>
  </si>
  <si>
    <t>2303</t>
  </si>
  <si>
    <t>Kinchela Public School</t>
  </si>
  <si>
    <t>Kinchela</t>
  </si>
  <si>
    <t>2304</t>
  </si>
  <si>
    <t>Kincumber Public School</t>
  </si>
  <si>
    <t>Kincumber</t>
  </si>
  <si>
    <t>2307</t>
  </si>
  <si>
    <t>Kingsgrove Public School</t>
  </si>
  <si>
    <t>Kingsgrove</t>
  </si>
  <si>
    <t>2308</t>
  </si>
  <si>
    <t>Bexley North Public School</t>
  </si>
  <si>
    <t>2310</t>
  </si>
  <si>
    <t>Kingstown Public School</t>
  </si>
  <si>
    <t>KINGSTOWN</t>
  </si>
  <si>
    <t>2312</t>
  </si>
  <si>
    <t>Kingswood Public School</t>
  </si>
  <si>
    <t>Kingswood</t>
  </si>
  <si>
    <t>2314</t>
  </si>
  <si>
    <t>Kirkton Public School</t>
  </si>
  <si>
    <t>BELFORD</t>
  </si>
  <si>
    <t>2315</t>
  </si>
  <si>
    <t>Kitchener Public School</t>
  </si>
  <si>
    <t>KITCHENER</t>
  </si>
  <si>
    <t>2319</t>
  </si>
  <si>
    <t>Kogarah Public School</t>
  </si>
  <si>
    <t>Kogarah</t>
  </si>
  <si>
    <t>2327</t>
  </si>
  <si>
    <t>Kootingal Public School</t>
  </si>
  <si>
    <t>KOOTINGAL</t>
  </si>
  <si>
    <t>2330</t>
  </si>
  <si>
    <t>Kororo Public School</t>
  </si>
  <si>
    <t>KORORA</t>
  </si>
  <si>
    <t>2333</t>
  </si>
  <si>
    <t>Krambach Public School</t>
  </si>
  <si>
    <t>Krambach</t>
  </si>
  <si>
    <t>2334</t>
  </si>
  <si>
    <t>Kulnura Public School</t>
  </si>
  <si>
    <t>Kulnura</t>
  </si>
  <si>
    <t>2340</t>
  </si>
  <si>
    <t>Kurmond Public School</t>
  </si>
  <si>
    <t>Kurmond</t>
  </si>
  <si>
    <t>2341</t>
  </si>
  <si>
    <t>Kurnell Public School</t>
  </si>
  <si>
    <t>Kurnell</t>
  </si>
  <si>
    <t>2342</t>
  </si>
  <si>
    <t>Kurrajong Public School</t>
  </si>
  <si>
    <t>2343</t>
  </si>
  <si>
    <t>Kurrajong East Public School</t>
  </si>
  <si>
    <t>EAST KURRAJONG</t>
  </si>
  <si>
    <t>2344</t>
  </si>
  <si>
    <t>Kurrajong North Public School</t>
  </si>
  <si>
    <t>KURRAJONG HILLS</t>
  </si>
  <si>
    <t>2349</t>
  </si>
  <si>
    <t>Kyogle Public School</t>
  </si>
  <si>
    <t>2353</t>
  </si>
  <si>
    <t>Ladysmith Public School</t>
  </si>
  <si>
    <t>Ladysmith</t>
  </si>
  <si>
    <t>2354</t>
  </si>
  <si>
    <t>Laggan Public School</t>
  </si>
  <si>
    <t>Laggan</t>
  </si>
  <si>
    <t>2356</t>
  </si>
  <si>
    <t>Laguna Public School</t>
  </si>
  <si>
    <t>Laguna</t>
  </si>
  <si>
    <t>2357</t>
  </si>
  <si>
    <t>Lake Albert Public School</t>
  </si>
  <si>
    <t>Lake Albert</t>
  </si>
  <si>
    <t>2359</t>
  </si>
  <si>
    <t>Lake Cargelligo Central School</t>
  </si>
  <si>
    <t>LAKE CARGELLIGO</t>
  </si>
  <si>
    <t>2360</t>
  </si>
  <si>
    <t>Lakemba Public School</t>
  </si>
  <si>
    <t>Lakemba</t>
  </si>
  <si>
    <t>2362</t>
  </si>
  <si>
    <t>Lake Munmorah Public School</t>
  </si>
  <si>
    <t>Lake Munmorah</t>
  </si>
  <si>
    <t>2363</t>
  </si>
  <si>
    <t>Lake Wyangan Public School</t>
  </si>
  <si>
    <t>Lake Wyangan</t>
  </si>
  <si>
    <t>2366</t>
  </si>
  <si>
    <t>Lambton Public School</t>
  </si>
  <si>
    <t>LAMBTON</t>
  </si>
  <si>
    <t>2368</t>
  </si>
  <si>
    <t>Lane Cove Public School</t>
  </si>
  <si>
    <t>2370</t>
  </si>
  <si>
    <t>Lansdowne Public School</t>
  </si>
  <si>
    <t>Lansdowne</t>
  </si>
  <si>
    <t>2372</t>
  </si>
  <si>
    <t>Upper Lansdowne Public School</t>
  </si>
  <si>
    <t>Upper Lansdowne</t>
  </si>
  <si>
    <t>2373</t>
  </si>
  <si>
    <t>La Perouse Public School</t>
  </si>
  <si>
    <t>La Perouse</t>
  </si>
  <si>
    <t>2374</t>
  </si>
  <si>
    <t>Largs Public School</t>
  </si>
  <si>
    <t>Largs</t>
  </si>
  <si>
    <t>2375</t>
  </si>
  <si>
    <t>Larnook Public School</t>
  </si>
  <si>
    <t>LARNOOK</t>
  </si>
  <si>
    <t>2377</t>
  </si>
  <si>
    <t>Laurieton Public School</t>
  </si>
  <si>
    <t>Laurieton</t>
  </si>
  <si>
    <t>2378</t>
  </si>
  <si>
    <t>Lavington Public School</t>
  </si>
  <si>
    <t>Lavington</t>
  </si>
  <si>
    <t>2379</t>
  </si>
  <si>
    <t>Lawrence Public School</t>
  </si>
  <si>
    <t>Lawrence</t>
  </si>
  <si>
    <t>2381</t>
  </si>
  <si>
    <t>Lawson Public School</t>
  </si>
  <si>
    <t>Lawson</t>
  </si>
  <si>
    <t>2386</t>
  </si>
  <si>
    <t>Leeton Public School</t>
  </si>
  <si>
    <t>Leeton</t>
  </si>
  <si>
    <t>2391</t>
  </si>
  <si>
    <t>Leura Public School</t>
  </si>
  <si>
    <t>Leura</t>
  </si>
  <si>
    <t>2394</t>
  </si>
  <si>
    <t>Lidcombe Public School</t>
  </si>
  <si>
    <t>Lidcombe</t>
  </si>
  <si>
    <t>2395</t>
  </si>
  <si>
    <t>Lightning Ridge Central School</t>
  </si>
  <si>
    <t>LIGHTNING RIDGE</t>
  </si>
  <si>
    <t>2403</t>
  </si>
  <si>
    <t>Lindfield Public School</t>
  </si>
  <si>
    <t>LINDFIELD</t>
  </si>
  <si>
    <t>Ku-ring-gai</t>
  </si>
  <si>
    <t>2404</t>
  </si>
  <si>
    <t>Lindfield East Public School</t>
  </si>
  <si>
    <t>EAST LINDFIELD</t>
  </si>
  <si>
    <t>2407</t>
  </si>
  <si>
    <t>Lisarow Public School</t>
  </si>
  <si>
    <t>LISAROW</t>
  </si>
  <si>
    <t>2409</t>
  </si>
  <si>
    <t>Lismore South Public School</t>
  </si>
  <si>
    <t>South Lismore</t>
  </si>
  <si>
    <t>2410</t>
  </si>
  <si>
    <t>Lithgow Public School</t>
  </si>
  <si>
    <t>2413</t>
  </si>
  <si>
    <t>Llandilo Public School</t>
  </si>
  <si>
    <t>Llandilo</t>
  </si>
  <si>
    <t>2417</t>
  </si>
  <si>
    <t>Lochinvar Public School</t>
  </si>
  <si>
    <t>Lochinvar</t>
  </si>
  <si>
    <t>2418</t>
  </si>
  <si>
    <t>Lockhart Central School</t>
  </si>
  <si>
    <t>Lockhart</t>
  </si>
  <si>
    <t>2421</t>
  </si>
  <si>
    <t>Londonderry Public School</t>
  </si>
  <si>
    <t>Londonderry</t>
  </si>
  <si>
    <t>2423</t>
  </si>
  <si>
    <t>Long Flat Public School</t>
  </si>
  <si>
    <t>LONG FLAT</t>
  </si>
  <si>
    <t>2428</t>
  </si>
  <si>
    <t>Lowanna Public School</t>
  </si>
  <si>
    <t>Lowanna</t>
  </si>
  <si>
    <t>2429</t>
  </si>
  <si>
    <t>Lowesdale Public School</t>
  </si>
  <si>
    <t>Lowesdale</t>
  </si>
  <si>
    <t>2431</t>
  </si>
  <si>
    <t>Luddenham Public School</t>
  </si>
  <si>
    <t>LUDDENHAM</t>
  </si>
  <si>
    <t>2432</t>
  </si>
  <si>
    <t>Lue Public School</t>
  </si>
  <si>
    <t>Lue</t>
  </si>
  <si>
    <t>2436</t>
  </si>
  <si>
    <t>Lyndhurst Public School</t>
  </si>
  <si>
    <t>Lyndhurst</t>
  </si>
  <si>
    <t>2439</t>
  </si>
  <si>
    <t>Macdonald Valley Public School</t>
  </si>
  <si>
    <t>CENTRAL MACDONALD</t>
  </si>
  <si>
    <t>2444</t>
  </si>
  <si>
    <t>Macksville Public School</t>
  </si>
  <si>
    <t>Macksville</t>
  </si>
  <si>
    <t>2448</t>
  </si>
  <si>
    <t>Maimuru Public School</t>
  </si>
  <si>
    <t>Maimuru</t>
  </si>
  <si>
    <t>2451</t>
  </si>
  <si>
    <t>Maitland East Public School</t>
  </si>
  <si>
    <t>EAST MAITLAND</t>
  </si>
  <si>
    <t>2454</t>
  </si>
  <si>
    <t>Malabar Public School</t>
  </si>
  <si>
    <t>MALABAR</t>
  </si>
  <si>
    <t>2464</t>
  </si>
  <si>
    <t>Manifold Public School</t>
  </si>
  <si>
    <t>Bentley</t>
  </si>
  <si>
    <t>2465</t>
  </si>
  <si>
    <t>Manildra Public School</t>
  </si>
  <si>
    <t>MANILDRA</t>
  </si>
  <si>
    <t>2469</t>
  </si>
  <si>
    <t>Manly West Public School</t>
  </si>
  <si>
    <t>Balgowlah</t>
  </si>
  <si>
    <t>2472</t>
  </si>
  <si>
    <t>Maraylya Public School</t>
  </si>
  <si>
    <t>Maraylya</t>
  </si>
  <si>
    <t>2476</t>
  </si>
  <si>
    <t>Pelican Flat Public School</t>
  </si>
  <si>
    <t>PELICAN</t>
  </si>
  <si>
    <t>2480</t>
  </si>
  <si>
    <t>Maroota Public School</t>
  </si>
  <si>
    <t>MAROOTA</t>
  </si>
  <si>
    <t>2482</t>
  </si>
  <si>
    <t>Maroubra Bay Public School</t>
  </si>
  <si>
    <t>Maroubra</t>
  </si>
  <si>
    <t>2485</t>
  </si>
  <si>
    <t>Marrar Public School</t>
  </si>
  <si>
    <t>Marrar</t>
  </si>
  <si>
    <t>2489</t>
  </si>
  <si>
    <t>Marsden Park Public School</t>
  </si>
  <si>
    <t>MARSDEN PARK</t>
  </si>
  <si>
    <t>2492</t>
  </si>
  <si>
    <t>Martindale Public School</t>
  </si>
  <si>
    <t>Martindale</t>
  </si>
  <si>
    <t>2493</t>
  </si>
  <si>
    <t>Martins Creek Public School</t>
  </si>
  <si>
    <t>Martins Creek</t>
  </si>
  <si>
    <t>2494</t>
  </si>
  <si>
    <t>Martins Gully Public School</t>
  </si>
  <si>
    <t>2496</t>
  </si>
  <si>
    <t>Marulan Public School</t>
  </si>
  <si>
    <t>Marulan</t>
  </si>
  <si>
    <t>2499</t>
  </si>
  <si>
    <t>Mascot Public School</t>
  </si>
  <si>
    <t>Mascot</t>
  </si>
  <si>
    <t>2500</t>
  </si>
  <si>
    <t>Mathoura Public School</t>
  </si>
  <si>
    <t>Mathoura</t>
  </si>
  <si>
    <t>2501</t>
  </si>
  <si>
    <t>Matong Public School</t>
  </si>
  <si>
    <t>MATONG</t>
  </si>
  <si>
    <t>2502</t>
  </si>
  <si>
    <t>Matraville Public School</t>
  </si>
  <si>
    <t>MATRAVILLE</t>
  </si>
  <si>
    <t>2506</t>
  </si>
  <si>
    <t>Mayfield East Public School</t>
  </si>
  <si>
    <t>Mayfield East</t>
  </si>
  <si>
    <t>2507</t>
  </si>
  <si>
    <t>Mayfield West Public School</t>
  </si>
  <si>
    <t>Mayfield</t>
  </si>
  <si>
    <t>2508</t>
  </si>
  <si>
    <t>Mayrung Public School</t>
  </si>
  <si>
    <t>Deniliquin</t>
  </si>
  <si>
    <t>2509</t>
  </si>
  <si>
    <t>Meadow Flat Public School</t>
  </si>
  <si>
    <t>MEADOW FLAT</t>
  </si>
  <si>
    <t>2510</t>
  </si>
  <si>
    <t>The Meadows Public School</t>
  </si>
  <si>
    <t>Seven Hills</t>
  </si>
  <si>
    <t>2511</t>
  </si>
  <si>
    <t>Medlow Public School</t>
  </si>
  <si>
    <t>UPPER TAYLORS ARM</t>
  </si>
  <si>
    <t>2512</t>
  </si>
  <si>
    <t>Medowie Public School</t>
  </si>
  <si>
    <t>Medowie</t>
  </si>
  <si>
    <t>2515</t>
  </si>
  <si>
    <t>Megalong Public School</t>
  </si>
  <si>
    <t>Megalong</t>
  </si>
  <si>
    <t>2520</t>
  </si>
  <si>
    <t>Menai Public School</t>
  </si>
  <si>
    <t>Menai</t>
  </si>
  <si>
    <t>2522</t>
  </si>
  <si>
    <t>Mendooran Central School</t>
  </si>
  <si>
    <t>MENDOORAN</t>
  </si>
  <si>
    <t>2523</t>
  </si>
  <si>
    <t>Menindee Central School</t>
  </si>
  <si>
    <t>MENINDEE</t>
  </si>
  <si>
    <t>2525</t>
  </si>
  <si>
    <t>Merewether Public School</t>
  </si>
  <si>
    <t>MEREWETHER</t>
  </si>
  <si>
    <t>2526</t>
  </si>
  <si>
    <t>Merimbula Public School</t>
  </si>
  <si>
    <t>MERIMBULA</t>
  </si>
  <si>
    <t>2528</t>
  </si>
  <si>
    <t>Merriwa Central School</t>
  </si>
  <si>
    <t>MERRIWA</t>
  </si>
  <si>
    <t>2531</t>
  </si>
  <si>
    <t>Merrylands Public School</t>
  </si>
  <si>
    <t>Merrylands</t>
  </si>
  <si>
    <t>2532</t>
  </si>
  <si>
    <t>Bonnells Bay Public School</t>
  </si>
  <si>
    <t>Bonnells Bay</t>
  </si>
  <si>
    <t>2540</t>
  </si>
  <si>
    <t>Michelago Public School</t>
  </si>
  <si>
    <t>Michelago</t>
  </si>
  <si>
    <t>2542</t>
  </si>
  <si>
    <t>Middle Dural Public School</t>
  </si>
  <si>
    <t>Middle Dural</t>
  </si>
  <si>
    <t>2543</t>
  </si>
  <si>
    <t>Middle Harbour Public School</t>
  </si>
  <si>
    <t>Mosman</t>
  </si>
  <si>
    <t>2550</t>
  </si>
  <si>
    <t>Milbrodale Public School</t>
  </si>
  <si>
    <t>MILBRODALE</t>
  </si>
  <si>
    <t>2554</t>
  </si>
  <si>
    <t>Millers Forest Public School</t>
  </si>
  <si>
    <t>MILLERS FOREST</t>
  </si>
  <si>
    <t>2555</t>
  </si>
  <si>
    <t>Millfield Public School</t>
  </si>
  <si>
    <t>Millfield</t>
  </si>
  <si>
    <t>2558</t>
  </si>
  <si>
    <t>Millthorpe Public School</t>
  </si>
  <si>
    <t>Millthorpe</t>
  </si>
  <si>
    <t>2560</t>
  </si>
  <si>
    <t>Milperra Public School</t>
  </si>
  <si>
    <t>Milperra</t>
  </si>
  <si>
    <t>2565</t>
  </si>
  <si>
    <t>Milton Public School</t>
  </si>
  <si>
    <t>Milton</t>
  </si>
  <si>
    <t>2571</t>
  </si>
  <si>
    <t>Minmi Public School</t>
  </si>
  <si>
    <t>Minmi</t>
  </si>
  <si>
    <t>2572</t>
  </si>
  <si>
    <t>Minto Public School</t>
  </si>
  <si>
    <t>MINTO</t>
  </si>
  <si>
    <t>2574</t>
  </si>
  <si>
    <t>Miranda Public School</t>
  </si>
  <si>
    <t>MIRANDA</t>
  </si>
  <si>
    <t>2580</t>
  </si>
  <si>
    <t>Mitchells Island Public School</t>
  </si>
  <si>
    <t>Mitchells Island</t>
  </si>
  <si>
    <t>2581</t>
  </si>
  <si>
    <t>Mittagong Public School</t>
  </si>
  <si>
    <t>Mittagong</t>
  </si>
  <si>
    <t>2584</t>
  </si>
  <si>
    <t>Moama Public School</t>
  </si>
  <si>
    <t>Moama</t>
  </si>
  <si>
    <t>2585</t>
  </si>
  <si>
    <t>Modanville Public School</t>
  </si>
  <si>
    <t>2586</t>
  </si>
  <si>
    <t>Mogo Public School</t>
  </si>
  <si>
    <t>Mogo</t>
  </si>
  <si>
    <t>2590</t>
  </si>
  <si>
    <t>Molong Central School</t>
  </si>
  <si>
    <t>Molong</t>
  </si>
  <si>
    <t>2593</t>
  </si>
  <si>
    <t>Mona Vale Public School</t>
  </si>
  <si>
    <t>Mona Vale</t>
  </si>
  <si>
    <t>2599</t>
  </si>
  <si>
    <t>Monteagle Public School</t>
  </si>
  <si>
    <t>Monteagle</t>
  </si>
  <si>
    <t>2608</t>
  </si>
  <si>
    <t>Moonbi Public School</t>
  </si>
  <si>
    <t>Moonbi</t>
  </si>
  <si>
    <t>2616</t>
  </si>
  <si>
    <t>Moorland Public School</t>
  </si>
  <si>
    <t>MOORLAND</t>
  </si>
  <si>
    <t>2618</t>
  </si>
  <si>
    <t>Moree Public School</t>
  </si>
  <si>
    <t>Moree</t>
  </si>
  <si>
    <t>2621</t>
  </si>
  <si>
    <t>Morisset Public School</t>
  </si>
  <si>
    <t>MORISSET</t>
  </si>
  <si>
    <t>2623</t>
  </si>
  <si>
    <t>Morpeth Public School</t>
  </si>
  <si>
    <t>Morpeth</t>
  </si>
  <si>
    <t>2624</t>
  </si>
  <si>
    <t>Mortdale Public School</t>
  </si>
  <si>
    <t>Mortdale</t>
  </si>
  <si>
    <t>2625</t>
  </si>
  <si>
    <t>Mortlake Public School</t>
  </si>
  <si>
    <t>2628</t>
  </si>
  <si>
    <t>Moruya Public School</t>
  </si>
  <si>
    <t>Moruya</t>
  </si>
  <si>
    <t>2631</t>
  </si>
  <si>
    <t>Moss Vale Public School</t>
  </si>
  <si>
    <t>Moss Vale</t>
  </si>
  <si>
    <t>2632</t>
  </si>
  <si>
    <t>Moulamein Public School</t>
  </si>
  <si>
    <t>Moulamein</t>
  </si>
  <si>
    <t>2637</t>
  </si>
  <si>
    <t>Mount George Public School</t>
  </si>
  <si>
    <t>Mount George</t>
  </si>
  <si>
    <t>2640</t>
  </si>
  <si>
    <t>Mount Hunter Public School</t>
  </si>
  <si>
    <t>2641</t>
  </si>
  <si>
    <t>Mount Kanwary Public School</t>
  </si>
  <si>
    <t>Osterley</t>
  </si>
  <si>
    <t>2642</t>
  </si>
  <si>
    <t>Mount Keira Public School</t>
  </si>
  <si>
    <t>Mount Keira</t>
  </si>
  <si>
    <t>2643</t>
  </si>
  <si>
    <t>Mount Kembla Public School</t>
  </si>
  <si>
    <t>Mount Kembla</t>
  </si>
  <si>
    <t>2647</t>
  </si>
  <si>
    <t>Mount Pleasant Public School</t>
  </si>
  <si>
    <t>SINGLETON</t>
  </si>
  <si>
    <t>2648</t>
  </si>
  <si>
    <t>Mount Pritchard Public School</t>
  </si>
  <si>
    <t>Mount Pritchard</t>
  </si>
  <si>
    <t>2652</t>
  </si>
  <si>
    <t>Mount Victoria Public School</t>
  </si>
  <si>
    <t>Mount Victoria</t>
  </si>
  <si>
    <t>2656</t>
  </si>
  <si>
    <t>Mudgee Public School</t>
  </si>
  <si>
    <t>Mudgee</t>
  </si>
  <si>
    <t>2658</t>
  </si>
  <si>
    <t>Mulbring Public School</t>
  </si>
  <si>
    <t>Mulbring</t>
  </si>
  <si>
    <t>2659</t>
  </si>
  <si>
    <t>Mulgoa Public School</t>
  </si>
  <si>
    <t>Mulgoa</t>
  </si>
  <si>
    <t>2660</t>
  </si>
  <si>
    <t>Mullaley Public School</t>
  </si>
  <si>
    <t>Mullaley</t>
  </si>
  <si>
    <t>2664</t>
  </si>
  <si>
    <t>Mullion Creek Public School</t>
  </si>
  <si>
    <t>Mullion Creek</t>
  </si>
  <si>
    <t>2665</t>
  </si>
  <si>
    <t>Mullumbimby Public School</t>
  </si>
  <si>
    <t>Mullumbimby</t>
  </si>
  <si>
    <t>2667</t>
  </si>
  <si>
    <t>Mulwala Public School</t>
  </si>
  <si>
    <t>MULWALA</t>
  </si>
  <si>
    <t>2668</t>
  </si>
  <si>
    <t>Clergate Public School</t>
  </si>
  <si>
    <t>Clergate</t>
  </si>
  <si>
    <t>2669</t>
  </si>
  <si>
    <t>Mumbil Public School</t>
  </si>
  <si>
    <t>Mumbil</t>
  </si>
  <si>
    <t>2671</t>
  </si>
  <si>
    <t>Mummulgum Public School</t>
  </si>
  <si>
    <t>Mummulgum</t>
  </si>
  <si>
    <t>2675</t>
  </si>
  <si>
    <t>Mungindi Central School</t>
  </si>
  <si>
    <t>MUNGINDI</t>
  </si>
  <si>
    <t>2681</t>
  </si>
  <si>
    <t>Murringo Public School</t>
  </si>
  <si>
    <t>MURRINGO</t>
  </si>
  <si>
    <t>2685</t>
  </si>
  <si>
    <t>Murrumburrah Public School</t>
  </si>
  <si>
    <t>MURRUMBURRAH</t>
  </si>
  <si>
    <t>2686</t>
  </si>
  <si>
    <t>Murrurundi Public School</t>
  </si>
  <si>
    <t>Murrurundi</t>
  </si>
  <si>
    <t>2687</t>
  </si>
  <si>
    <t>Murwillumbah Public School</t>
  </si>
  <si>
    <t>Murwillumbah</t>
  </si>
  <si>
    <t>2688</t>
  </si>
  <si>
    <t>Muswellbrook Public School</t>
  </si>
  <si>
    <t>2695</t>
  </si>
  <si>
    <t>Nabiac Public School</t>
  </si>
  <si>
    <t>NABIAC</t>
  </si>
  <si>
    <t>2696</t>
  </si>
  <si>
    <t>Nambucca Heads Public School</t>
  </si>
  <si>
    <t>Nambucca Heads</t>
  </si>
  <si>
    <t>2698</t>
  </si>
  <si>
    <t>Nana Glen Public School</t>
  </si>
  <si>
    <t>Nana Glen</t>
  </si>
  <si>
    <t>2699</t>
  </si>
  <si>
    <t>Nangus Public School</t>
  </si>
  <si>
    <t>NANGUS</t>
  </si>
  <si>
    <t>2701</t>
  </si>
  <si>
    <t>Naradhan Public School</t>
  </si>
  <si>
    <t>Naradhan</t>
  </si>
  <si>
    <t>2703</t>
  </si>
  <si>
    <t>Narara Public School</t>
  </si>
  <si>
    <t>Lisarow</t>
  </si>
  <si>
    <t>2704</t>
  </si>
  <si>
    <t>Narellan Public School</t>
  </si>
  <si>
    <t>Narellan</t>
  </si>
  <si>
    <t>2706</t>
  </si>
  <si>
    <t>Narrabeen Lakes Public School</t>
  </si>
  <si>
    <t>Narrabeen</t>
  </si>
  <si>
    <t>2708</t>
  </si>
  <si>
    <t>Narrabri Public School</t>
  </si>
  <si>
    <t>2709</t>
  </si>
  <si>
    <t>Narrabri West Public School</t>
  </si>
  <si>
    <t>2710</t>
  </si>
  <si>
    <t>Narrandera Public School</t>
  </si>
  <si>
    <t>2713</t>
  </si>
  <si>
    <t>Narromine Public School</t>
  </si>
  <si>
    <t>Narromine</t>
  </si>
  <si>
    <t>2714</t>
  </si>
  <si>
    <t>Nashdale Public School</t>
  </si>
  <si>
    <t>Nashdale</t>
  </si>
  <si>
    <t>2723</t>
  </si>
  <si>
    <t>Tomaree Public School</t>
  </si>
  <si>
    <t>Salamander Bay</t>
  </si>
  <si>
    <t>2725</t>
  </si>
  <si>
    <t>Nemingha Public School</t>
  </si>
  <si>
    <t>Nemingha</t>
  </si>
  <si>
    <t>2730</t>
  </si>
  <si>
    <t>Neutral Bay Public School</t>
  </si>
  <si>
    <t>Neutral Bay</t>
  </si>
  <si>
    <t>2732</t>
  </si>
  <si>
    <t>Neville Public School</t>
  </si>
  <si>
    <t>Neville</t>
  </si>
  <si>
    <t>2736</t>
  </si>
  <si>
    <t>Newcastle East Public School</t>
  </si>
  <si>
    <t>2738</t>
  </si>
  <si>
    <t>New Lambton Public School</t>
  </si>
  <si>
    <t>New Lambton</t>
  </si>
  <si>
    <t>2740</t>
  </si>
  <si>
    <t>Newport Public School</t>
  </si>
  <si>
    <t>Newport</t>
  </si>
  <si>
    <t>2741</t>
  </si>
  <si>
    <t>Newrybar Public School</t>
  </si>
  <si>
    <t>Newrybar</t>
  </si>
  <si>
    <t>2744</t>
  </si>
  <si>
    <t>Newtown North Public School</t>
  </si>
  <si>
    <t>2748</t>
  </si>
  <si>
    <t>Niangala Public School</t>
  </si>
  <si>
    <t>Niangala</t>
  </si>
  <si>
    <t>2749</t>
  </si>
  <si>
    <t>Nicholson Street Public School</t>
  </si>
  <si>
    <t>Balmain East</t>
  </si>
  <si>
    <t>2751</t>
  </si>
  <si>
    <t>Nimbin Central School</t>
  </si>
  <si>
    <t>Nimbin</t>
  </si>
  <si>
    <t>2752</t>
  </si>
  <si>
    <t>Nimmitabel Public School</t>
  </si>
  <si>
    <t>NIMMITABEL</t>
  </si>
  <si>
    <t>2758</t>
  </si>
  <si>
    <t>Narooma Public School</t>
  </si>
  <si>
    <t>Narooma</t>
  </si>
  <si>
    <t>2759</t>
  </si>
  <si>
    <t>Nords Wharf Public School</t>
  </si>
  <si>
    <t>NORDS WHARF</t>
  </si>
  <si>
    <t>2760</t>
  </si>
  <si>
    <t>Normanhurst Public School</t>
  </si>
  <si>
    <t>Normanhurst</t>
  </si>
  <si>
    <t>2761</t>
  </si>
  <si>
    <t>Northbridge Public School</t>
  </si>
  <si>
    <t>Northbridge</t>
  </si>
  <si>
    <t>2763</t>
  </si>
  <si>
    <t>Northmead Public School</t>
  </si>
  <si>
    <t>NORTHMEAD</t>
  </si>
  <si>
    <t>2764</t>
  </si>
  <si>
    <t>North Rocks Public School</t>
  </si>
  <si>
    <t>North Rocks</t>
  </si>
  <si>
    <t>2765</t>
  </si>
  <si>
    <t>North Star Public School</t>
  </si>
  <si>
    <t>North Star</t>
  </si>
  <si>
    <t>2766</t>
  </si>
  <si>
    <t>North Sydney Public School</t>
  </si>
  <si>
    <t>Waverton</t>
  </si>
  <si>
    <t>2769</t>
  </si>
  <si>
    <t>Nowra Public School</t>
  </si>
  <si>
    <t>NOWRA</t>
  </si>
  <si>
    <t>2771</t>
  </si>
  <si>
    <t>Nulkaba Public School</t>
  </si>
  <si>
    <t>NULKABA</t>
  </si>
  <si>
    <t>2781</t>
  </si>
  <si>
    <t>Nundle Public School</t>
  </si>
  <si>
    <t>Nundle</t>
  </si>
  <si>
    <t>2784</t>
  </si>
  <si>
    <t>Nymboida Public School</t>
  </si>
  <si>
    <t>Nymboida</t>
  </si>
  <si>
    <t>2785</t>
  </si>
  <si>
    <t>Nyngan Public School</t>
  </si>
  <si>
    <t>Nyngan</t>
  </si>
  <si>
    <t>2789</t>
  </si>
  <si>
    <t>Oakdale Public School</t>
  </si>
  <si>
    <t>Oakdale</t>
  </si>
  <si>
    <t>2791</t>
  </si>
  <si>
    <t>Oaklands Central School</t>
  </si>
  <si>
    <t>Oaklands</t>
  </si>
  <si>
    <t>2793</t>
  </si>
  <si>
    <t>The Oaks Public School</t>
  </si>
  <si>
    <t>THE OAKS</t>
  </si>
  <si>
    <t>2794</t>
  </si>
  <si>
    <t>Oakville Public School</t>
  </si>
  <si>
    <t>Oakville</t>
  </si>
  <si>
    <t>2796</t>
  </si>
  <si>
    <t>Oatley Public School</t>
  </si>
  <si>
    <t>OATLEY</t>
  </si>
  <si>
    <t>2797</t>
  </si>
  <si>
    <t>Oberon Public School</t>
  </si>
  <si>
    <t>OBERON</t>
  </si>
  <si>
    <t>Oberon</t>
  </si>
  <si>
    <t>2798</t>
  </si>
  <si>
    <t>O'Connell Public School</t>
  </si>
  <si>
    <t>O'Connell</t>
  </si>
  <si>
    <t>2799</t>
  </si>
  <si>
    <t>Old Bar Public School</t>
  </si>
  <si>
    <t>OLD BAR</t>
  </si>
  <si>
    <t>2800</t>
  </si>
  <si>
    <t>Old Bonalbo Public School</t>
  </si>
  <si>
    <t>OLD BONALBO</t>
  </si>
  <si>
    <t>2801</t>
  </si>
  <si>
    <t>Old Guildford Public School</t>
  </si>
  <si>
    <t>2811</t>
  </si>
  <si>
    <t>Orange East Public School</t>
  </si>
  <si>
    <t>2812</t>
  </si>
  <si>
    <t>Orange Grove Public School</t>
  </si>
  <si>
    <t>2814</t>
  </si>
  <si>
    <t>Orara Upper Public School</t>
  </si>
  <si>
    <t>UPPER ORARA</t>
  </si>
  <si>
    <t>2815</t>
  </si>
  <si>
    <t>Orchard Hills Public School</t>
  </si>
  <si>
    <t>Orchard Hills</t>
  </si>
  <si>
    <t>2818</t>
  </si>
  <si>
    <t>Otford Public School</t>
  </si>
  <si>
    <t>Otford</t>
  </si>
  <si>
    <t>2820</t>
  </si>
  <si>
    <t>Ourimbah Public School</t>
  </si>
  <si>
    <t>Ourimbah</t>
  </si>
  <si>
    <t>2826</t>
  </si>
  <si>
    <t>Padstow Park Public School</t>
  </si>
  <si>
    <t>Padstow</t>
  </si>
  <si>
    <t>2827</t>
  </si>
  <si>
    <t>Pallamallawa Public School</t>
  </si>
  <si>
    <t>PALLAMALLAWA</t>
  </si>
  <si>
    <t>2829</t>
  </si>
  <si>
    <t>Palmers Island Public School</t>
  </si>
  <si>
    <t>Palmers Island</t>
  </si>
  <si>
    <t>2831</t>
  </si>
  <si>
    <t>Pambula Public School</t>
  </si>
  <si>
    <t>Pambula</t>
  </si>
  <si>
    <t>2835</t>
  </si>
  <si>
    <t>Parkes Public School</t>
  </si>
  <si>
    <t>2838</t>
  </si>
  <si>
    <t>Parklea Public School</t>
  </si>
  <si>
    <t>GLENWOOD</t>
  </si>
  <si>
    <t>2840</t>
  </si>
  <si>
    <t>Parramatta Public School</t>
  </si>
  <si>
    <t>PARRAMATTA</t>
  </si>
  <si>
    <t>2841</t>
  </si>
  <si>
    <t>Wooli Public School</t>
  </si>
  <si>
    <t>Wooli</t>
  </si>
  <si>
    <t>2842</t>
  </si>
  <si>
    <t>Parramatta North Public School</t>
  </si>
  <si>
    <t>NORTH PARRAMATTA</t>
  </si>
  <si>
    <t>2843</t>
  </si>
  <si>
    <t>Parramatta West Public School</t>
  </si>
  <si>
    <t>2844</t>
  </si>
  <si>
    <t>Paterson Public School</t>
  </si>
  <si>
    <t>Paterson</t>
  </si>
  <si>
    <t>2846</t>
  </si>
  <si>
    <t>Paxton Public School</t>
  </si>
  <si>
    <t>Paxton</t>
  </si>
  <si>
    <t>2848</t>
  </si>
  <si>
    <t>Peak Hill Central School</t>
  </si>
  <si>
    <t>Peak Hill</t>
  </si>
  <si>
    <t>2849</t>
  </si>
  <si>
    <t>Peakhurst Public School</t>
  </si>
  <si>
    <t>PEAKHURST</t>
  </si>
  <si>
    <t>2852</t>
  </si>
  <si>
    <t>Peats Ridge Public School</t>
  </si>
  <si>
    <t>PEATS RIDGE</t>
  </si>
  <si>
    <t>2855</t>
  </si>
  <si>
    <t>Pelaw Main Public School</t>
  </si>
  <si>
    <t>Pelaw Main</t>
  </si>
  <si>
    <t>2857</t>
  </si>
  <si>
    <t>Pennant Hills Public School</t>
  </si>
  <si>
    <t>Pennant Hills</t>
  </si>
  <si>
    <t>2858</t>
  </si>
  <si>
    <t>West Pennant Hills Public School</t>
  </si>
  <si>
    <t>West Pennant Hills</t>
  </si>
  <si>
    <t>2859</t>
  </si>
  <si>
    <t>Penrith Public School</t>
  </si>
  <si>
    <t>2861</t>
  </si>
  <si>
    <t>Penshurst Public School</t>
  </si>
  <si>
    <t>Penshurst</t>
  </si>
  <si>
    <t>2862</t>
  </si>
  <si>
    <t>Perthville Public School</t>
  </si>
  <si>
    <t>PERTHVILLE</t>
  </si>
  <si>
    <t>2867</t>
  </si>
  <si>
    <t>Picton Public School</t>
  </si>
  <si>
    <t>Picton</t>
  </si>
  <si>
    <t>2870</t>
  </si>
  <si>
    <t>Pilliga Public School</t>
  </si>
  <si>
    <t>Pilliga</t>
  </si>
  <si>
    <t>2884</t>
  </si>
  <si>
    <t>Pitt Town Public School</t>
  </si>
  <si>
    <t>Pitt Town</t>
  </si>
  <si>
    <t>2886</t>
  </si>
  <si>
    <t>Pleasant Hills Public School</t>
  </si>
  <si>
    <t>Pleasant Hills</t>
  </si>
  <si>
    <t>2887</t>
  </si>
  <si>
    <t>Plumpton Public School</t>
  </si>
  <si>
    <t>Plumpton</t>
  </si>
  <si>
    <t>2890</t>
  </si>
  <si>
    <t>The Pocket Public School</t>
  </si>
  <si>
    <t>The Pocket</t>
  </si>
  <si>
    <t>2893</t>
  </si>
  <si>
    <t>Pomona Public School</t>
  </si>
  <si>
    <t>Pomona</t>
  </si>
  <si>
    <t>2895</t>
  </si>
  <si>
    <t>Pooncarie Public School</t>
  </si>
  <si>
    <t>Pooncarie</t>
  </si>
  <si>
    <t>2896</t>
  </si>
  <si>
    <t>Port Kembla Public School</t>
  </si>
  <si>
    <t>Port Kembla</t>
  </si>
  <si>
    <t>2897</t>
  </si>
  <si>
    <t>Portland Central School</t>
  </si>
  <si>
    <t>PORTLAND</t>
  </si>
  <si>
    <t>2899</t>
  </si>
  <si>
    <t>Port Macquarie Public School</t>
  </si>
  <si>
    <t>Port Macquarie</t>
  </si>
  <si>
    <t>2900</t>
  </si>
  <si>
    <t>Premer Public School</t>
  </si>
  <si>
    <t>Premer</t>
  </si>
  <si>
    <t>2901</t>
  </si>
  <si>
    <t>Prestons Public School</t>
  </si>
  <si>
    <t>Prestons</t>
  </si>
  <si>
    <t>2902</t>
  </si>
  <si>
    <t>Pretty Beach Public School</t>
  </si>
  <si>
    <t>PRETTY BEACH</t>
  </si>
  <si>
    <t>2904</t>
  </si>
  <si>
    <t>Primbee Public School</t>
  </si>
  <si>
    <t>Primbee</t>
  </si>
  <si>
    <t>2910</t>
  </si>
  <si>
    <t>Punchbowl Public School</t>
  </si>
  <si>
    <t>PUNCHBOWL</t>
  </si>
  <si>
    <t>2913</t>
  </si>
  <si>
    <t>Putney Public School</t>
  </si>
  <si>
    <t>2917</t>
  </si>
  <si>
    <t>Quaama Public School</t>
  </si>
  <si>
    <t>Quaama</t>
  </si>
  <si>
    <t>2918</t>
  </si>
  <si>
    <t>Quakers Hill Public School</t>
  </si>
  <si>
    <t>Quakers Hill</t>
  </si>
  <si>
    <t>2919</t>
  </si>
  <si>
    <t>Quambone Public School</t>
  </si>
  <si>
    <t>Quambone</t>
  </si>
  <si>
    <t>2920</t>
  </si>
  <si>
    <t>Quandialla Public School</t>
  </si>
  <si>
    <t>Quandialla</t>
  </si>
  <si>
    <t>2922</t>
  </si>
  <si>
    <t>Queanbeyan Public School</t>
  </si>
  <si>
    <t>Queanbeyan</t>
  </si>
  <si>
    <t>2926</t>
  </si>
  <si>
    <t>Leppington Public School</t>
  </si>
  <si>
    <t>Leppington</t>
  </si>
  <si>
    <t>2927</t>
  </si>
  <si>
    <t>Raglan Public School</t>
  </si>
  <si>
    <t>Raglan</t>
  </si>
  <si>
    <t>2930</t>
  </si>
  <si>
    <t>Rainbow Street Public School</t>
  </si>
  <si>
    <t>RANDWICK</t>
  </si>
  <si>
    <t>2931</t>
  </si>
  <si>
    <t>Raleigh Public School</t>
  </si>
  <si>
    <t>RALEIGH</t>
  </si>
  <si>
    <t>2933</t>
  </si>
  <si>
    <t>Rand Public School</t>
  </si>
  <si>
    <t>Rand</t>
  </si>
  <si>
    <t>2935</t>
  </si>
  <si>
    <t>Rankins Springs Public School</t>
  </si>
  <si>
    <t>Rankins Springs</t>
  </si>
  <si>
    <t>2937</t>
  </si>
  <si>
    <t>Rappville Public School</t>
  </si>
  <si>
    <t>RAPPVILLE</t>
  </si>
  <si>
    <t>2943</t>
  </si>
  <si>
    <t>Raymond Terrace Public School</t>
  </si>
  <si>
    <t>Raymond Terrace</t>
  </si>
  <si>
    <t>2946</t>
  </si>
  <si>
    <t>Redhead Public School</t>
  </si>
  <si>
    <t>Redhead</t>
  </si>
  <si>
    <t>2948</t>
  </si>
  <si>
    <t>Red Range Public School</t>
  </si>
  <si>
    <t>RED RANGE</t>
  </si>
  <si>
    <t>2950</t>
  </si>
  <si>
    <t>Regents Park Public School</t>
  </si>
  <si>
    <t>Regents Park</t>
  </si>
  <si>
    <t>2951</t>
  </si>
  <si>
    <t>Regentville Public School</t>
  </si>
  <si>
    <t>Regentville</t>
  </si>
  <si>
    <t>2955</t>
  </si>
  <si>
    <t>Repton Public School</t>
  </si>
  <si>
    <t>REPTON</t>
  </si>
  <si>
    <t>2958</t>
  </si>
  <si>
    <t>Revesby Public School</t>
  </si>
  <si>
    <t>Revesby</t>
  </si>
  <si>
    <t>2965</t>
  </si>
  <si>
    <t>Richmond North Public School</t>
  </si>
  <si>
    <t>NORTH RICHMOND</t>
  </si>
  <si>
    <t>2968</t>
  </si>
  <si>
    <t>The Risk Public School</t>
  </si>
  <si>
    <t>THE RISK</t>
  </si>
  <si>
    <t>2970</t>
  </si>
  <si>
    <t>Riverstone Public School</t>
  </si>
  <si>
    <t>Riverstone</t>
  </si>
  <si>
    <t>2971</t>
  </si>
  <si>
    <t>Robertson Public School</t>
  </si>
  <si>
    <t>ROBERTSON</t>
  </si>
  <si>
    <t>2973</t>
  </si>
  <si>
    <t>Rockdale Public School</t>
  </si>
  <si>
    <t>Rockdale</t>
  </si>
  <si>
    <t>2974</t>
  </si>
  <si>
    <t>Rockley Public School</t>
  </si>
  <si>
    <t>Rockley</t>
  </si>
  <si>
    <t>2976</t>
  </si>
  <si>
    <t>The Rock Central School</t>
  </si>
  <si>
    <t>The Rock</t>
  </si>
  <si>
    <t>2980</t>
  </si>
  <si>
    <t>Whian Whian Public School</t>
  </si>
  <si>
    <t>Whian Whian</t>
  </si>
  <si>
    <t>2983</t>
  </si>
  <si>
    <t>Rocky River Public School</t>
  </si>
  <si>
    <t>2985</t>
  </si>
  <si>
    <t>Rollands Plains Upper Public School</t>
  </si>
  <si>
    <t>Rollands Plains</t>
  </si>
  <si>
    <t>2987</t>
  </si>
  <si>
    <t>Rosebank Public School</t>
  </si>
  <si>
    <t>Rosebank</t>
  </si>
  <si>
    <t>2988</t>
  </si>
  <si>
    <t>Rose Bay Public School</t>
  </si>
  <si>
    <t>ROSE BAY</t>
  </si>
  <si>
    <t>2994</t>
  </si>
  <si>
    <t>Roseville Public School</t>
  </si>
  <si>
    <t>Roseville</t>
  </si>
  <si>
    <t>2996</t>
  </si>
  <si>
    <t>Rosewood Public School</t>
  </si>
  <si>
    <t>ROSEWOOD</t>
  </si>
  <si>
    <t>2997</t>
  </si>
  <si>
    <t>Ross Hill Public School</t>
  </si>
  <si>
    <t>2999</t>
  </si>
  <si>
    <t>Rossmore Public School</t>
  </si>
  <si>
    <t>ROSSMORE</t>
  </si>
  <si>
    <t>3006</t>
  </si>
  <si>
    <t>Rous Public School</t>
  </si>
  <si>
    <t>3008</t>
  </si>
  <si>
    <t>Rouse Hill Public School</t>
  </si>
  <si>
    <t>Rouse Hill</t>
  </si>
  <si>
    <t>3020</t>
  </si>
  <si>
    <t>Rydalmere Public School</t>
  </si>
  <si>
    <t>RYDALMERE</t>
  </si>
  <si>
    <t>3021</t>
  </si>
  <si>
    <t>Ryde Public School</t>
  </si>
  <si>
    <t>3022</t>
  </si>
  <si>
    <t>North Ryde Public School</t>
  </si>
  <si>
    <t>North Ryde</t>
  </si>
  <si>
    <t>3023</t>
  </si>
  <si>
    <t>West Ryde Public School</t>
  </si>
  <si>
    <t>3025</t>
  </si>
  <si>
    <t>Rylstone Public School</t>
  </si>
  <si>
    <t>RYLSTONE</t>
  </si>
  <si>
    <t>3029</t>
  </si>
  <si>
    <t>St Johns Park Public School</t>
  </si>
  <si>
    <t>St Johns Park</t>
  </si>
  <si>
    <t>3031</t>
  </si>
  <si>
    <t>St Marys Public School</t>
  </si>
  <si>
    <t>St Marys</t>
  </si>
  <si>
    <t>3032</t>
  </si>
  <si>
    <t>St Peters Public School</t>
  </si>
  <si>
    <t>St Peters</t>
  </si>
  <si>
    <t>3035</t>
  </si>
  <si>
    <t>Salt Ash Public School</t>
  </si>
  <si>
    <t>SALT ASH</t>
  </si>
  <si>
    <t>3038</t>
  </si>
  <si>
    <t>Sans Souci Public School</t>
  </si>
  <si>
    <t>Sans Souci</t>
  </si>
  <si>
    <t>3042</t>
  </si>
  <si>
    <t>Sawtell Public School</t>
  </si>
  <si>
    <t>Sawtell</t>
  </si>
  <si>
    <t>3045</t>
  </si>
  <si>
    <t>Scarborough Public School</t>
  </si>
  <si>
    <t>Scarborough</t>
  </si>
  <si>
    <t>3046</t>
  </si>
  <si>
    <t>Schofields Public School</t>
  </si>
  <si>
    <t>SCHOFIELDS</t>
  </si>
  <si>
    <t>3048</t>
  </si>
  <si>
    <t>Seaham Public School</t>
  </si>
  <si>
    <t>Seaham</t>
  </si>
  <si>
    <t>3053</t>
  </si>
  <si>
    <t>Seven Hills North Public School</t>
  </si>
  <si>
    <t>3060</t>
  </si>
  <si>
    <t>Shellharbour Public School</t>
  </si>
  <si>
    <t>3065</t>
  </si>
  <si>
    <t>Shortland Public School</t>
  </si>
  <si>
    <t>Shortland</t>
  </si>
  <si>
    <t>3070</t>
  </si>
  <si>
    <t>Singleton Public School</t>
  </si>
  <si>
    <t>3073</t>
  </si>
  <si>
    <t>Smithfield Public School</t>
  </si>
  <si>
    <t>SMITHFIELD</t>
  </si>
  <si>
    <t>3075</t>
  </si>
  <si>
    <t>Smithtown Public School</t>
  </si>
  <si>
    <t>Smithtown</t>
  </si>
  <si>
    <t>3077</t>
  </si>
  <si>
    <t>Sofala Public School</t>
  </si>
  <si>
    <t>Sofala</t>
  </si>
  <si>
    <t>3078</t>
  </si>
  <si>
    <t>Somersby Public School</t>
  </si>
  <si>
    <t>Gosford</t>
  </si>
  <si>
    <t>3079</t>
  </si>
  <si>
    <t>Somerton Public School</t>
  </si>
  <si>
    <t>Somerton</t>
  </si>
  <si>
    <t>3083</t>
  </si>
  <si>
    <t>South West Rocks Public School</t>
  </si>
  <si>
    <t>SOUTH WEST ROCKS</t>
  </si>
  <si>
    <t>3089</t>
  </si>
  <si>
    <t>Spring Hill Public School</t>
  </si>
  <si>
    <t>Spring Hill</t>
  </si>
  <si>
    <t>3091</t>
  </si>
  <si>
    <t>Spring Ridge Public School</t>
  </si>
  <si>
    <t>Spring Ridge</t>
  </si>
  <si>
    <t>3093</t>
  </si>
  <si>
    <t>Spring Terrace Public School</t>
  </si>
  <si>
    <t>Spring Terrace</t>
  </si>
  <si>
    <t>3095</t>
  </si>
  <si>
    <t>Springwood Public School</t>
  </si>
  <si>
    <t>Springwood</t>
  </si>
  <si>
    <t>3103</t>
  </si>
  <si>
    <t>Stanwell Park Public School</t>
  </si>
  <si>
    <t>Stanwell Park</t>
  </si>
  <si>
    <t>3104</t>
  </si>
  <si>
    <t>Warrawong Public School</t>
  </si>
  <si>
    <t>WARRAWONG</t>
  </si>
  <si>
    <t>3109</t>
  </si>
  <si>
    <t>Stockinbingal Public School</t>
  </si>
  <si>
    <t>Stockinbingal</t>
  </si>
  <si>
    <t>3110</t>
  </si>
  <si>
    <t>Stockton Public School</t>
  </si>
  <si>
    <t>Stockton</t>
  </si>
  <si>
    <t>3112</t>
  </si>
  <si>
    <t>Stokers Siding Public School</t>
  </si>
  <si>
    <t>Stokers Siding</t>
  </si>
  <si>
    <t>3119</t>
  </si>
  <si>
    <t>Stratford Public School</t>
  </si>
  <si>
    <t>Stratford</t>
  </si>
  <si>
    <t>3122</t>
  </si>
  <si>
    <t>Stratheden Public School</t>
  </si>
  <si>
    <t>Stratheden</t>
  </si>
  <si>
    <t>3123</t>
  </si>
  <si>
    <t>Strathfield North Public School</t>
  </si>
  <si>
    <t>North Strathfield</t>
  </si>
  <si>
    <t>3124</t>
  </si>
  <si>
    <t>Strathfield South Public School</t>
  </si>
  <si>
    <t>STRATHFIELD</t>
  </si>
  <si>
    <t>3125</t>
  </si>
  <si>
    <t>Stroud Public School</t>
  </si>
  <si>
    <t>STROUD</t>
  </si>
  <si>
    <t>3126</t>
  </si>
  <si>
    <t>Stroud Road Public School</t>
  </si>
  <si>
    <t>Stroud Road</t>
  </si>
  <si>
    <t>3127</t>
  </si>
  <si>
    <t>Stuart Town Public School</t>
  </si>
  <si>
    <t>Stuart Town</t>
  </si>
  <si>
    <t>3129</t>
  </si>
  <si>
    <t>Summer Hill Public School</t>
  </si>
  <si>
    <t>Summer Hill</t>
  </si>
  <si>
    <t>3136</t>
  </si>
  <si>
    <t>Sutherland Public School</t>
  </si>
  <si>
    <t>3137</t>
  </si>
  <si>
    <t>Sutton Public School</t>
  </si>
  <si>
    <t>Sutton</t>
  </si>
  <si>
    <t>3141</t>
  </si>
  <si>
    <t>Swansea Public School</t>
  </si>
  <si>
    <t>Swansea</t>
  </si>
  <si>
    <t>3143</t>
  </si>
  <si>
    <t>Sylvania Public School</t>
  </si>
  <si>
    <t>SYLVANIA</t>
  </si>
  <si>
    <t>3145</t>
  </si>
  <si>
    <t>Tabulam Public School</t>
  </si>
  <si>
    <t>Tabulam</t>
  </si>
  <si>
    <t>3147</t>
  </si>
  <si>
    <t>Tacoma Public School</t>
  </si>
  <si>
    <t>Tacoma</t>
  </si>
  <si>
    <t>3148</t>
  </si>
  <si>
    <t>Tahmoor Public School</t>
  </si>
  <si>
    <t>Tahmoor</t>
  </si>
  <si>
    <t>3153</t>
  </si>
  <si>
    <t>Tallimba Public School</t>
  </si>
  <si>
    <t>Tallimba</t>
  </si>
  <si>
    <t>3154</t>
  </si>
  <si>
    <t>Tallong Public School</t>
  </si>
  <si>
    <t>TALLONG</t>
  </si>
  <si>
    <t>3157</t>
  </si>
  <si>
    <t>Tamworth Public School</t>
  </si>
  <si>
    <t>3158</t>
  </si>
  <si>
    <t>Tamworth West Public School</t>
  </si>
  <si>
    <t>West Tamworth</t>
  </si>
  <si>
    <t>3159</t>
  </si>
  <si>
    <t>Tanja Public School</t>
  </si>
  <si>
    <t>Tanja</t>
  </si>
  <si>
    <t>3162</t>
  </si>
  <si>
    <t>Tarago Public School</t>
  </si>
  <si>
    <t>Tarago</t>
  </si>
  <si>
    <t>3163</t>
  </si>
  <si>
    <t>Taralga Public School</t>
  </si>
  <si>
    <t>Taralga</t>
  </si>
  <si>
    <t>3165</t>
  </si>
  <si>
    <t>Tarcutta Public School</t>
  </si>
  <si>
    <t>Tarcutta</t>
  </si>
  <si>
    <t>3167</t>
  </si>
  <si>
    <t>Taree Public School</t>
  </si>
  <si>
    <t>Taree</t>
  </si>
  <si>
    <t>3168</t>
  </si>
  <si>
    <t>Taren Point Public School</t>
  </si>
  <si>
    <t>Taren Point</t>
  </si>
  <si>
    <t>3173</t>
  </si>
  <si>
    <t>Tathra Public School</t>
  </si>
  <si>
    <t>Tathra</t>
  </si>
  <si>
    <t>3175</t>
  </si>
  <si>
    <t>Tea Gardens Public School</t>
  </si>
  <si>
    <t>TEA GARDENS</t>
  </si>
  <si>
    <t>3176</t>
  </si>
  <si>
    <t>Telegraph Point Public School</t>
  </si>
  <si>
    <t>Telegraph Point</t>
  </si>
  <si>
    <t>3178</t>
  </si>
  <si>
    <t>Temora Public School</t>
  </si>
  <si>
    <t>TEMORA</t>
  </si>
  <si>
    <t>3180</t>
  </si>
  <si>
    <t>Tenambit Public School</t>
  </si>
  <si>
    <t>TENAMBIT</t>
  </si>
  <si>
    <t>3182</t>
  </si>
  <si>
    <t>The Sir Henry Parkes Memorial Public School</t>
  </si>
  <si>
    <t>TENTERFIELD</t>
  </si>
  <si>
    <t>3183</t>
  </si>
  <si>
    <t>Teralba Public School</t>
  </si>
  <si>
    <t>Teralba</t>
  </si>
  <si>
    <t>3185</t>
  </si>
  <si>
    <t>Terara Public School</t>
  </si>
  <si>
    <t>TERARA</t>
  </si>
  <si>
    <t>3189</t>
  </si>
  <si>
    <t>Terranora Public School</t>
  </si>
  <si>
    <t>Terranora</t>
  </si>
  <si>
    <t>3190</t>
  </si>
  <si>
    <t>Terrey Hills Public School</t>
  </si>
  <si>
    <t>Terrey Hills</t>
  </si>
  <si>
    <t>3191</t>
  </si>
  <si>
    <t>Terrigal Public School</t>
  </si>
  <si>
    <t>Terrigal</t>
  </si>
  <si>
    <t>3195</t>
  </si>
  <si>
    <t>Tharbogang Public School</t>
  </si>
  <si>
    <t>Tharbogang</t>
  </si>
  <si>
    <t>3200</t>
  </si>
  <si>
    <t>Thirlmere Public School</t>
  </si>
  <si>
    <t>Thirlmere</t>
  </si>
  <si>
    <t>3201</t>
  </si>
  <si>
    <t>Thirroul Public School</t>
  </si>
  <si>
    <t>Thirroul</t>
  </si>
  <si>
    <t>3204</t>
  </si>
  <si>
    <t>Thornton Public School</t>
  </si>
  <si>
    <t>Thornton</t>
  </si>
  <si>
    <t>3208</t>
  </si>
  <si>
    <t>Thurgoona Public School</t>
  </si>
  <si>
    <t>Thurgoona</t>
  </si>
  <si>
    <t>3211</t>
  </si>
  <si>
    <t>Tibooburra Outback Public School</t>
  </si>
  <si>
    <t>Tibooburra</t>
  </si>
  <si>
    <t>3213</t>
  </si>
  <si>
    <t>Tighes Hill Public School</t>
  </si>
  <si>
    <t>Tighes Hill</t>
  </si>
  <si>
    <t>3214</t>
  </si>
  <si>
    <t>Central Tilba Public School</t>
  </si>
  <si>
    <t>Central Tilba</t>
  </si>
  <si>
    <t>3218</t>
  </si>
  <si>
    <t>Tingha Public School</t>
  </si>
  <si>
    <t>Tingha</t>
  </si>
  <si>
    <t>3219</t>
  </si>
  <si>
    <t>Tinonee Public School</t>
  </si>
  <si>
    <t>TINONEE</t>
  </si>
  <si>
    <t>3221</t>
  </si>
  <si>
    <t>Tintinhull Public School</t>
  </si>
  <si>
    <t>Kootingal</t>
  </si>
  <si>
    <t>3225</t>
  </si>
  <si>
    <t>Tocumwal Public School</t>
  </si>
  <si>
    <t>Tocumwal</t>
  </si>
  <si>
    <t>3226</t>
  </si>
  <si>
    <t>Tomerong Public School</t>
  </si>
  <si>
    <t>Tomerong</t>
  </si>
  <si>
    <t>3235</t>
  </si>
  <si>
    <t>Tooleybuc Central School</t>
  </si>
  <si>
    <t>Tooleybuc</t>
  </si>
  <si>
    <t>3236</t>
  </si>
  <si>
    <t>Main Arm Upper Public School</t>
  </si>
  <si>
    <t>Upper Main Arm</t>
  </si>
  <si>
    <t>3239</t>
  </si>
  <si>
    <t>Toomelah Public School</t>
  </si>
  <si>
    <t>3240</t>
  </si>
  <si>
    <t>Toongabbie Public School</t>
  </si>
  <si>
    <t>Toongabbie</t>
  </si>
  <si>
    <t>3242</t>
  </si>
  <si>
    <t>Tooraweenah Public School</t>
  </si>
  <si>
    <t>TOORAWEENAH</t>
  </si>
  <si>
    <t>3247</t>
  </si>
  <si>
    <t>Toronto Public School</t>
  </si>
  <si>
    <t>Toronto</t>
  </si>
  <si>
    <t>3249</t>
  </si>
  <si>
    <t>Tottenham Central School</t>
  </si>
  <si>
    <t>Tottenham</t>
  </si>
  <si>
    <t>3250</t>
  </si>
  <si>
    <t>Toukley Public School</t>
  </si>
  <si>
    <t>Toukley</t>
  </si>
  <si>
    <t>3252</t>
  </si>
  <si>
    <t>Towamba Public School</t>
  </si>
  <si>
    <t>Towamba</t>
  </si>
  <si>
    <t>3254</t>
  </si>
  <si>
    <t>Trangie Central School</t>
  </si>
  <si>
    <t>Trangie</t>
  </si>
  <si>
    <t>3255</t>
  </si>
  <si>
    <t>Tregeagle Public School</t>
  </si>
  <si>
    <t>TREGEAGLE</t>
  </si>
  <si>
    <t>3259</t>
  </si>
  <si>
    <t>Trundle Central School</t>
  </si>
  <si>
    <t>Trundle</t>
  </si>
  <si>
    <t>3260</t>
  </si>
  <si>
    <t>Trunkey Public School</t>
  </si>
  <si>
    <t>Trunkey Creek</t>
  </si>
  <si>
    <t>3263</t>
  </si>
  <si>
    <t>Tucabia Public School</t>
  </si>
  <si>
    <t>Tucabia</t>
  </si>
  <si>
    <t>3269</t>
  </si>
  <si>
    <t>Tuggerah Public School</t>
  </si>
  <si>
    <t>Tuggerah</t>
  </si>
  <si>
    <t>3270</t>
  </si>
  <si>
    <t>Tullamore Central School</t>
  </si>
  <si>
    <t>TULLAMORE</t>
  </si>
  <si>
    <t>3272</t>
  </si>
  <si>
    <t>Tullibigeal Central School</t>
  </si>
  <si>
    <t>Tullibigeal</t>
  </si>
  <si>
    <t>3275</t>
  </si>
  <si>
    <t>Tumbarumba Public School</t>
  </si>
  <si>
    <t>Tumbarumba</t>
  </si>
  <si>
    <t>3277</t>
  </si>
  <si>
    <t>Tumbulgum Public School</t>
  </si>
  <si>
    <t>Tumbulgum</t>
  </si>
  <si>
    <t>3278</t>
  </si>
  <si>
    <t>Tumut Public School</t>
  </si>
  <si>
    <t>Tumut</t>
  </si>
  <si>
    <t>3288</t>
  </si>
  <si>
    <t>Turramurra North Public School</t>
  </si>
  <si>
    <t>North Turramurra</t>
  </si>
  <si>
    <t>3290</t>
  </si>
  <si>
    <t>Tweed Heads Public School</t>
  </si>
  <si>
    <t>Tweed Heads</t>
  </si>
  <si>
    <t>3293</t>
  </si>
  <si>
    <t>Tyalgum Public School</t>
  </si>
  <si>
    <t>Tyalgum</t>
  </si>
  <si>
    <t>3298</t>
  </si>
  <si>
    <t>Uki Public School</t>
  </si>
  <si>
    <t>UKI</t>
  </si>
  <si>
    <t>3302</t>
  </si>
  <si>
    <t>Ulladulla Public School</t>
  </si>
  <si>
    <t>Ulladulla</t>
  </si>
  <si>
    <t>3303</t>
  </si>
  <si>
    <t>Ulmarra Public School</t>
  </si>
  <si>
    <t>Ulmarra</t>
  </si>
  <si>
    <t>3304</t>
  </si>
  <si>
    <t>Ulong Public School</t>
  </si>
  <si>
    <t>Ulong</t>
  </si>
  <si>
    <t>3305</t>
  </si>
  <si>
    <t>Ultimo Public School</t>
  </si>
  <si>
    <t>Ultimo</t>
  </si>
  <si>
    <t>3308</t>
  </si>
  <si>
    <t>Unanderra Public School</t>
  </si>
  <si>
    <t>Cordeaux Heights</t>
  </si>
  <si>
    <t>3310</t>
  </si>
  <si>
    <t>Undercliffe Public School</t>
  </si>
  <si>
    <t>3311</t>
  </si>
  <si>
    <t>Ungarie Central School</t>
  </si>
  <si>
    <t>UNGARIE</t>
  </si>
  <si>
    <t>3314</t>
  </si>
  <si>
    <t>Urana Public School</t>
  </si>
  <si>
    <t>Urana</t>
  </si>
  <si>
    <t>3316</t>
  </si>
  <si>
    <t>Urbenville Public School</t>
  </si>
  <si>
    <t>Urbenville</t>
  </si>
  <si>
    <t>3318</t>
  </si>
  <si>
    <t>Urunga Public School</t>
  </si>
  <si>
    <t>Urunga</t>
  </si>
  <si>
    <t>3321</t>
  </si>
  <si>
    <t>Vacy Public School</t>
  </si>
  <si>
    <t>Vacy</t>
  </si>
  <si>
    <t>3325</t>
  </si>
  <si>
    <t>Vaucluse Public School</t>
  </si>
  <si>
    <t>Vaucluse</t>
  </si>
  <si>
    <t>3328</t>
  </si>
  <si>
    <t>Carramar Public School</t>
  </si>
  <si>
    <t>Carramar</t>
  </si>
  <si>
    <t>3329</t>
  </si>
  <si>
    <t>Vineyard Public School</t>
  </si>
  <si>
    <t>Vineyard</t>
  </si>
  <si>
    <t>3330</t>
  </si>
  <si>
    <t>Wagga Wagga Public School</t>
  </si>
  <si>
    <t>3332</t>
  </si>
  <si>
    <t>North Wagga Public School</t>
  </si>
  <si>
    <t>3333</t>
  </si>
  <si>
    <t>South Wagga Public School</t>
  </si>
  <si>
    <t>WAGGA WAGGA</t>
  </si>
  <si>
    <t>3334</t>
  </si>
  <si>
    <t>Waitara Public School</t>
  </si>
  <si>
    <t>WAHROONGA</t>
  </si>
  <si>
    <t>3336</t>
  </si>
  <si>
    <t>Wakool Burraboi Public School</t>
  </si>
  <si>
    <t>Wakool</t>
  </si>
  <si>
    <t>3338</t>
  </si>
  <si>
    <t>Walbundrie Public School</t>
  </si>
  <si>
    <t>WALBUNDRIE</t>
  </si>
  <si>
    <t>3340</t>
  </si>
  <si>
    <t>Walcha Central School</t>
  </si>
  <si>
    <t>Walcha</t>
  </si>
  <si>
    <t>3342</t>
  </si>
  <si>
    <t>Walgett Community College - Primary School</t>
  </si>
  <si>
    <t>3343</t>
  </si>
  <si>
    <t>Walhallow Public School</t>
  </si>
  <si>
    <t>CAROONA</t>
  </si>
  <si>
    <t>3345</t>
  </si>
  <si>
    <t>Wallabadah Public School</t>
  </si>
  <si>
    <t>Wallabadah</t>
  </si>
  <si>
    <t>3346</t>
  </si>
  <si>
    <t>Wallacia Public School</t>
  </si>
  <si>
    <t>Wallacia</t>
  </si>
  <si>
    <t>3352</t>
  </si>
  <si>
    <t>Walla Walla Public School</t>
  </si>
  <si>
    <t>Walla Walla</t>
  </si>
  <si>
    <t>3354</t>
  </si>
  <si>
    <t>Wallerawang Public School</t>
  </si>
  <si>
    <t>Wallerawang</t>
  </si>
  <si>
    <t>3357</t>
  </si>
  <si>
    <t>Wallsend Public School</t>
  </si>
  <si>
    <t>WALLSEND</t>
  </si>
  <si>
    <t>3358</t>
  </si>
  <si>
    <t>West Wallsend Public School</t>
  </si>
  <si>
    <t>West Wallsend</t>
  </si>
  <si>
    <t>3364</t>
  </si>
  <si>
    <t>Wamoon Public School</t>
  </si>
  <si>
    <t>Wamoon</t>
  </si>
  <si>
    <t>3365</t>
  </si>
  <si>
    <t>Wanaaring Public School</t>
  </si>
  <si>
    <t>Wanaaring</t>
  </si>
  <si>
    <t>3373</t>
  </si>
  <si>
    <t>Wangi Wangi Public School</t>
  </si>
  <si>
    <t>Wangi Wangi</t>
  </si>
  <si>
    <t>3377</t>
  </si>
  <si>
    <t>Waratah Public School</t>
  </si>
  <si>
    <t>WARATAH</t>
  </si>
  <si>
    <t>3378</t>
  </si>
  <si>
    <t>Wardell Public School</t>
  </si>
  <si>
    <t>3382</t>
  </si>
  <si>
    <t>Warialda Public School</t>
  </si>
  <si>
    <t>Warialda</t>
  </si>
  <si>
    <t>3384</t>
  </si>
  <si>
    <t>Warners Bay Public School</t>
  </si>
  <si>
    <t>WARNERS BAY</t>
  </si>
  <si>
    <t>3390</t>
  </si>
  <si>
    <t>Warrawee Public School</t>
  </si>
  <si>
    <t>Turramurra</t>
  </si>
  <si>
    <t>3392</t>
  </si>
  <si>
    <t>Warren Central School</t>
  </si>
  <si>
    <t>WARREN</t>
  </si>
  <si>
    <t>Warren</t>
  </si>
  <si>
    <t>3396</t>
  </si>
  <si>
    <t>Waterfall Public School</t>
  </si>
  <si>
    <t>Waterfall</t>
  </si>
  <si>
    <t>3402</t>
  </si>
  <si>
    <t>Wattle Flat Public School</t>
  </si>
  <si>
    <t>Wattle Flat</t>
  </si>
  <si>
    <t>3404</t>
  </si>
  <si>
    <t>Wauchope Public School</t>
  </si>
  <si>
    <t>3412</t>
  </si>
  <si>
    <t>Wee Jasper Public School</t>
  </si>
  <si>
    <t>Wee Jasper</t>
  </si>
  <si>
    <t>3415</t>
  </si>
  <si>
    <t>Weethalle Public School</t>
  </si>
  <si>
    <t>Weethalle</t>
  </si>
  <si>
    <t>3416</t>
  </si>
  <si>
    <t>Wee Waa Public School</t>
  </si>
  <si>
    <t>WEE WAA</t>
  </si>
  <si>
    <t>3420</t>
  </si>
  <si>
    <t>Wellington Public School</t>
  </si>
  <si>
    <t>Wellington</t>
  </si>
  <si>
    <t>3421</t>
  </si>
  <si>
    <t>Wentworth Public School</t>
  </si>
  <si>
    <t>WENTWORTH</t>
  </si>
  <si>
    <t>3422</t>
  </si>
  <si>
    <t>Wentworth Falls Public School</t>
  </si>
  <si>
    <t>Wentworth Falls</t>
  </si>
  <si>
    <t>3423</t>
  </si>
  <si>
    <t>Wentworthville Public School</t>
  </si>
  <si>
    <t>WENTWORTHVILLE</t>
  </si>
  <si>
    <t>3425</t>
  </si>
  <si>
    <t>Werris Creek Public School</t>
  </si>
  <si>
    <t>WERRIS CREEK</t>
  </si>
  <si>
    <t>3428</t>
  </si>
  <si>
    <t>Westdale Public School</t>
  </si>
  <si>
    <t>Westdale</t>
  </si>
  <si>
    <t>3431</t>
  </si>
  <si>
    <t>Weston Public School</t>
  </si>
  <si>
    <t>WESTON</t>
  </si>
  <si>
    <t>3435</t>
  </si>
  <si>
    <t>White Cliffs Public School</t>
  </si>
  <si>
    <t>White Cliffs</t>
  </si>
  <si>
    <t>3438</t>
  </si>
  <si>
    <t>Whitton-Murrami Public School</t>
  </si>
  <si>
    <t>Whitton</t>
  </si>
  <si>
    <t>3439</t>
  </si>
  <si>
    <t>Wiangaree Public School</t>
  </si>
  <si>
    <t>WIANGAREE</t>
  </si>
  <si>
    <t>3441</t>
  </si>
  <si>
    <t>Wilberforce Public School</t>
  </si>
  <si>
    <t>Wilberforce</t>
  </si>
  <si>
    <t>3442</t>
  </si>
  <si>
    <t>Wilcannia Central School</t>
  </si>
  <si>
    <t>Wilcannia</t>
  </si>
  <si>
    <t>3445</t>
  </si>
  <si>
    <t>Willawarrin Public School</t>
  </si>
  <si>
    <t>Willawarrin</t>
  </si>
  <si>
    <t>3449</t>
  </si>
  <si>
    <t>Willoughby Public School</t>
  </si>
  <si>
    <t>WILLOUGHBY</t>
  </si>
  <si>
    <t>3451</t>
  </si>
  <si>
    <t>Willow Tree Public School</t>
  </si>
  <si>
    <t>Willow Tree</t>
  </si>
  <si>
    <t>3453</t>
  </si>
  <si>
    <t>Athelstane Public School</t>
  </si>
  <si>
    <t>Arncliffe</t>
  </si>
  <si>
    <t>3454</t>
  </si>
  <si>
    <t>Wilsons Creek Public School</t>
  </si>
  <si>
    <t>3457</t>
  </si>
  <si>
    <t>Windellama Public School</t>
  </si>
  <si>
    <t>Windellama</t>
  </si>
  <si>
    <t>3459</t>
  </si>
  <si>
    <t>Windsor Public School</t>
  </si>
  <si>
    <t>Windsor</t>
  </si>
  <si>
    <t>3461</t>
  </si>
  <si>
    <t>Wingello Public School</t>
  </si>
  <si>
    <t>Wingello</t>
  </si>
  <si>
    <t>3470</t>
  </si>
  <si>
    <t>Wisemans Ferry Public School</t>
  </si>
  <si>
    <t>Wisemans Ferry</t>
  </si>
  <si>
    <t>3475</t>
  </si>
  <si>
    <t>Wollongbar Public School</t>
  </si>
  <si>
    <t>Wollongbar</t>
  </si>
  <si>
    <t>3477</t>
  </si>
  <si>
    <t>Wollongong West Public School</t>
  </si>
  <si>
    <t>3479</t>
  </si>
  <si>
    <t>Wolumla Public School</t>
  </si>
  <si>
    <t>WOLUMLA</t>
  </si>
  <si>
    <t>3482</t>
  </si>
  <si>
    <t>Wombat Public School</t>
  </si>
  <si>
    <t>Wombat</t>
  </si>
  <si>
    <t>3487</t>
  </si>
  <si>
    <t>Wongarbon Public School</t>
  </si>
  <si>
    <t>WONGARBON</t>
  </si>
  <si>
    <t>3490</t>
  </si>
  <si>
    <t>Woodburn Public School</t>
  </si>
  <si>
    <t>Woodburn</t>
  </si>
  <si>
    <t>3491</t>
  </si>
  <si>
    <t>Woodenbong Central School</t>
  </si>
  <si>
    <t>Woodenbong</t>
  </si>
  <si>
    <t>3499</t>
  </si>
  <si>
    <t>Woodstock Public School</t>
  </si>
  <si>
    <t>Woodstock</t>
  </si>
  <si>
    <t>3501</t>
  </si>
  <si>
    <t>Woolbrook Public School</t>
  </si>
  <si>
    <t>Woolbrook</t>
  </si>
  <si>
    <t>3503</t>
  </si>
  <si>
    <t>Woolgoolga Public School</t>
  </si>
  <si>
    <t>Woolgoolga</t>
  </si>
  <si>
    <t>3504</t>
  </si>
  <si>
    <t>Borenore Public School</t>
  </si>
  <si>
    <t>BORENORE</t>
  </si>
  <si>
    <t>3506</t>
  </si>
  <si>
    <t>Woolomin Public School</t>
  </si>
  <si>
    <t>Woolomin</t>
  </si>
  <si>
    <t>3510</t>
  </si>
  <si>
    <t>Woonona Public School</t>
  </si>
  <si>
    <t>Woonona</t>
  </si>
  <si>
    <t>3518</t>
  </si>
  <si>
    <t>Wyalong Public School</t>
  </si>
  <si>
    <t>Wyalong</t>
  </si>
  <si>
    <t>3519</t>
  </si>
  <si>
    <t>West Wyalong Public School</t>
  </si>
  <si>
    <t>West Wyalong</t>
  </si>
  <si>
    <t>3522</t>
  </si>
  <si>
    <t>Wyee Public School</t>
  </si>
  <si>
    <t>Wyee</t>
  </si>
  <si>
    <t>3525</t>
  </si>
  <si>
    <t>Wyndham Public School</t>
  </si>
  <si>
    <t>Wyndham</t>
  </si>
  <si>
    <t>3527</t>
  </si>
  <si>
    <t>Wyong Public School</t>
  </si>
  <si>
    <t>3528</t>
  </si>
  <si>
    <t>Wyong Creek Public School</t>
  </si>
  <si>
    <t>WYONG CREEK</t>
  </si>
  <si>
    <t>3529</t>
  </si>
  <si>
    <t>Wyrallah Public School</t>
  </si>
  <si>
    <t>Wyrallah</t>
  </si>
  <si>
    <t>3533</t>
  </si>
  <si>
    <t>Yamba Public School</t>
  </si>
  <si>
    <t>YAMBA</t>
  </si>
  <si>
    <t>3534</t>
  </si>
  <si>
    <t>Table Top Public School</t>
  </si>
  <si>
    <t>Table Top</t>
  </si>
  <si>
    <t>3536</t>
  </si>
  <si>
    <t>Yanco Public School</t>
  </si>
  <si>
    <t>Yanco</t>
  </si>
  <si>
    <t>3537</t>
  </si>
  <si>
    <t>Yanderra Public School</t>
  </si>
  <si>
    <t>Yanderra</t>
  </si>
  <si>
    <t>3547</t>
  </si>
  <si>
    <t>Yarrowitch Public School</t>
  </si>
  <si>
    <t>Yarrowitch</t>
  </si>
  <si>
    <t>3549</t>
  </si>
  <si>
    <t>Yass Public School</t>
  </si>
  <si>
    <t>Yass</t>
  </si>
  <si>
    <t>3554</t>
  </si>
  <si>
    <t>Yenda Public School</t>
  </si>
  <si>
    <t>Yenda</t>
  </si>
  <si>
    <t>3555</t>
  </si>
  <si>
    <t>Yeoval Central School</t>
  </si>
  <si>
    <t>Yeoval</t>
  </si>
  <si>
    <t>3556</t>
  </si>
  <si>
    <t>Yerong Creek Public School</t>
  </si>
  <si>
    <t>Yerong Creek</t>
  </si>
  <si>
    <t>3559</t>
  </si>
  <si>
    <t>Yetman Public School</t>
  </si>
  <si>
    <t>Yetman</t>
  </si>
  <si>
    <t>3561</t>
  </si>
  <si>
    <t>Yoogali Public School</t>
  </si>
  <si>
    <t>Yoogali</t>
  </si>
  <si>
    <t>3563</t>
  </si>
  <si>
    <t>Young Public School</t>
  </si>
  <si>
    <t>Young</t>
  </si>
  <si>
    <t>3564</t>
  </si>
  <si>
    <t>Edgeworth Public School</t>
  </si>
  <si>
    <t>Edgeworth</t>
  </si>
  <si>
    <t>3566</t>
  </si>
  <si>
    <t>Zig Zag Public School</t>
  </si>
  <si>
    <t>3578</t>
  </si>
  <si>
    <t>Pottsville Beach Public School</t>
  </si>
  <si>
    <t>Pottsville</t>
  </si>
  <si>
    <t>3580</t>
  </si>
  <si>
    <t>Rowena Public School</t>
  </si>
  <si>
    <t>Rowena</t>
  </si>
  <si>
    <t>3591</t>
  </si>
  <si>
    <t>Dubbo West Public School</t>
  </si>
  <si>
    <t>3593</t>
  </si>
  <si>
    <t>Oyster Bay Public School</t>
  </si>
  <si>
    <t>Oyster Bay</t>
  </si>
  <si>
    <t>3594</t>
  </si>
  <si>
    <t>Louth Public School</t>
  </si>
  <si>
    <t>Louth</t>
  </si>
  <si>
    <t>3615</t>
  </si>
  <si>
    <t>Kemps Creek Public School</t>
  </si>
  <si>
    <t>KEMPS CREEK</t>
  </si>
  <si>
    <t>3626</t>
  </si>
  <si>
    <t>Enngonia Public School</t>
  </si>
  <si>
    <t>Enngonia</t>
  </si>
  <si>
    <t>3632</t>
  </si>
  <si>
    <t>Fairfield Heights Public School</t>
  </si>
  <si>
    <t>FAIRFIELD</t>
  </si>
  <si>
    <t>3635</t>
  </si>
  <si>
    <t>Scotts Head Public School</t>
  </si>
  <si>
    <t>Scotts Head</t>
  </si>
  <si>
    <t>3643</t>
  </si>
  <si>
    <t>Stuarts Point Public School</t>
  </si>
  <si>
    <t>Stuarts Point</t>
  </si>
  <si>
    <t>3659</t>
  </si>
  <si>
    <t>Sussex Inlet Public School</t>
  </si>
  <si>
    <t>Sussex Inlet</t>
  </si>
  <si>
    <t>3668</t>
  </si>
  <si>
    <t>Cronulla South Public School</t>
  </si>
  <si>
    <t>3673</t>
  </si>
  <si>
    <t>St Georges Basin Public School</t>
  </si>
  <si>
    <t>Basin View</t>
  </si>
  <si>
    <t>3678</t>
  </si>
  <si>
    <t>Warwick Farm Public School</t>
  </si>
  <si>
    <t>Warwick Farm</t>
  </si>
  <si>
    <t>3690</t>
  </si>
  <si>
    <t>Oxley Vale Public School</t>
  </si>
  <si>
    <t>3696</t>
  </si>
  <si>
    <t>Soldiers Point Public School</t>
  </si>
  <si>
    <t>Soldiers Point</t>
  </si>
  <si>
    <t>3698</t>
  </si>
  <si>
    <t>Chester Hill Public School</t>
  </si>
  <si>
    <t>CHESTER HILL</t>
  </si>
  <si>
    <t>3702</t>
  </si>
  <si>
    <t>Georges Hall Public School</t>
  </si>
  <si>
    <t>Georges Hall</t>
  </si>
  <si>
    <t>3703</t>
  </si>
  <si>
    <t>South Coogee Public School</t>
  </si>
  <si>
    <t>South Coogee</t>
  </si>
  <si>
    <t>3717</t>
  </si>
  <si>
    <t>Croppa Creek Public School</t>
  </si>
  <si>
    <t>Croppa Creek</t>
  </si>
  <si>
    <t>3719</t>
  </si>
  <si>
    <t>Annangrove Public School</t>
  </si>
  <si>
    <t>Annangrove</t>
  </si>
  <si>
    <t>3735</t>
  </si>
  <si>
    <t>Woronora River Public School</t>
  </si>
  <si>
    <t>WORONORA</t>
  </si>
  <si>
    <t>3736</t>
  </si>
  <si>
    <t>Balgowlah Heights Public School</t>
  </si>
  <si>
    <t>3741</t>
  </si>
  <si>
    <t>Goulburn West Public School</t>
  </si>
  <si>
    <t>3743</t>
  </si>
  <si>
    <t>Riverwood Public School</t>
  </si>
  <si>
    <t>Riverwood</t>
  </si>
  <si>
    <t>3744</t>
  </si>
  <si>
    <t>Warragamba Public School</t>
  </si>
  <si>
    <t>WARRAGAMBA</t>
  </si>
  <si>
    <t>3748</t>
  </si>
  <si>
    <t>Belrose Public School</t>
  </si>
  <si>
    <t>Belrose</t>
  </si>
  <si>
    <t>3760</t>
  </si>
  <si>
    <t>Upper Coopers Creek Public School</t>
  </si>
  <si>
    <t>Upper Coopers Creek</t>
  </si>
  <si>
    <t>3762</t>
  </si>
  <si>
    <t>Wiripaang Public School</t>
  </si>
  <si>
    <t>Gateshead</t>
  </si>
  <si>
    <t>3765</t>
  </si>
  <si>
    <t>Bundeena Public School</t>
  </si>
  <si>
    <t>Bundeena</t>
  </si>
  <si>
    <t>3777</t>
  </si>
  <si>
    <t>Pymble Public School</t>
  </si>
  <si>
    <t>Pymble</t>
  </si>
  <si>
    <t>3789</t>
  </si>
  <si>
    <t>Condell Park Public School</t>
  </si>
  <si>
    <t>CONDELL PARK</t>
  </si>
  <si>
    <t>3792</t>
  </si>
  <si>
    <t>Avalon Public School</t>
  </si>
  <si>
    <t>Avalon Beach</t>
  </si>
  <si>
    <t>3794</t>
  </si>
  <si>
    <t>Bald Face Public School</t>
  </si>
  <si>
    <t>3795</t>
  </si>
  <si>
    <t>Hamilton South Public School</t>
  </si>
  <si>
    <t>3796</t>
  </si>
  <si>
    <t>Lugarno Public School</t>
  </si>
  <si>
    <t>Lugarno</t>
  </si>
  <si>
    <t>3797</t>
  </si>
  <si>
    <t>Oatley West Public School</t>
  </si>
  <si>
    <t>Oatley</t>
  </si>
  <si>
    <t>3798</t>
  </si>
  <si>
    <t>New Lambton South Public School</t>
  </si>
  <si>
    <t>3808</t>
  </si>
  <si>
    <t>Chullora Public School</t>
  </si>
  <si>
    <t>3820</t>
  </si>
  <si>
    <t>Tarrawanna Public School</t>
  </si>
  <si>
    <t>Tarrawanna</t>
  </si>
  <si>
    <t>3822</t>
  </si>
  <si>
    <t>Sutherland North Public School</t>
  </si>
  <si>
    <t>3824</t>
  </si>
  <si>
    <t>Bathurst West Public School</t>
  </si>
  <si>
    <t>3826</t>
  </si>
  <si>
    <t>Gwynneville Public School</t>
  </si>
  <si>
    <t>Gwynneville</t>
  </si>
  <si>
    <t>3827</t>
  </si>
  <si>
    <t>Narraweena Public School</t>
  </si>
  <si>
    <t>NARRAWEENA</t>
  </si>
  <si>
    <t>3829</t>
  </si>
  <si>
    <t>Jannali Public School</t>
  </si>
  <si>
    <t>JANNALI</t>
  </si>
  <si>
    <t>3830</t>
  </si>
  <si>
    <t>Ramsgate Public School</t>
  </si>
  <si>
    <t>Ramsgate</t>
  </si>
  <si>
    <t>3831</t>
  </si>
  <si>
    <t>Chalmers Road School</t>
  </si>
  <si>
    <t>Schools for Specific Purposes</t>
  </si>
  <si>
    <t>3833</t>
  </si>
  <si>
    <t>Wahroonga Public School</t>
  </si>
  <si>
    <t>Wahroonga</t>
  </si>
  <si>
    <t>3840</t>
  </si>
  <si>
    <t>Parramatta East Public School</t>
  </si>
  <si>
    <t>3846</t>
  </si>
  <si>
    <t>Melrose Park Public School</t>
  </si>
  <si>
    <t>3847</t>
  </si>
  <si>
    <t>Bathurst South Public School</t>
  </si>
  <si>
    <t>3851</t>
  </si>
  <si>
    <t>Wallsend South Public School</t>
  </si>
  <si>
    <t>Wallsend</t>
  </si>
  <si>
    <t>3854</t>
  </si>
  <si>
    <t>Hazelbrook Public School</t>
  </si>
  <si>
    <t>Hazelbrook</t>
  </si>
  <si>
    <t>3855</t>
  </si>
  <si>
    <t>Turramurra Public School</t>
  </si>
  <si>
    <t>3856</t>
  </si>
  <si>
    <t>Wyrallah Road Public School</t>
  </si>
  <si>
    <t>3860</t>
  </si>
  <si>
    <t>Oak Flats Public School</t>
  </si>
  <si>
    <t>Oak Flats</t>
  </si>
  <si>
    <t>3862</t>
  </si>
  <si>
    <t>Denistone East Public School</t>
  </si>
  <si>
    <t>Eastwood</t>
  </si>
  <si>
    <t>3863</t>
  </si>
  <si>
    <t>Meadowbank Public School</t>
  </si>
  <si>
    <t>MEADOWBANK</t>
  </si>
  <si>
    <t>3864</t>
  </si>
  <si>
    <t>Uralla Central School</t>
  </si>
  <si>
    <t>3866</t>
  </si>
  <si>
    <t>Towradgi Public School</t>
  </si>
  <si>
    <t>3867</t>
  </si>
  <si>
    <t>Lake Illawarra South Public School</t>
  </si>
  <si>
    <t>LAKE ILLAWARRA</t>
  </si>
  <si>
    <t>3869</t>
  </si>
  <si>
    <t>Yagoona Public School</t>
  </si>
  <si>
    <t>Yagoona</t>
  </si>
  <si>
    <t>3871</t>
  </si>
  <si>
    <t>Wattle Grove Public School</t>
  </si>
  <si>
    <t>Wattle Grove</t>
  </si>
  <si>
    <t>3872</t>
  </si>
  <si>
    <t>Greenwell Point Public School</t>
  </si>
  <si>
    <t>Greenwell Point</t>
  </si>
  <si>
    <t>3873</t>
  </si>
  <si>
    <t>Dobroyd Point Public School</t>
  </si>
  <si>
    <t>3874</t>
  </si>
  <si>
    <t>Kahibah Public School</t>
  </si>
  <si>
    <t>Kahibah</t>
  </si>
  <si>
    <t>3875</t>
  </si>
  <si>
    <t>Narwee Public School</t>
  </si>
  <si>
    <t>Narwee</t>
  </si>
  <si>
    <t>3876</t>
  </si>
  <si>
    <t>Muswellbrook South Public School</t>
  </si>
  <si>
    <t>3877</t>
  </si>
  <si>
    <t>Corrimal East Public School</t>
  </si>
  <si>
    <t>East Corrimal</t>
  </si>
  <si>
    <t>3881</t>
  </si>
  <si>
    <t>Mount St Thomas Public School</t>
  </si>
  <si>
    <t>3882</t>
  </si>
  <si>
    <t>Tamworth South Public School</t>
  </si>
  <si>
    <t>3883</t>
  </si>
  <si>
    <t>Westmead Public School</t>
  </si>
  <si>
    <t>Westmead</t>
  </si>
  <si>
    <t>3885</t>
  </si>
  <si>
    <t>Mount Colah Public School</t>
  </si>
  <si>
    <t>Mount Colah</t>
  </si>
  <si>
    <t>3886</t>
  </si>
  <si>
    <t>McCallums Hill Public School</t>
  </si>
  <si>
    <t>Roselands</t>
  </si>
  <si>
    <t>3890</t>
  </si>
  <si>
    <t>Cooma North Public School</t>
  </si>
  <si>
    <t>Cooma North</t>
  </si>
  <si>
    <t>3893</t>
  </si>
  <si>
    <t>Windale Public School</t>
  </si>
  <si>
    <t>Windale</t>
  </si>
  <si>
    <t>3895</t>
  </si>
  <si>
    <t>Cardiff South Public School</t>
  </si>
  <si>
    <t>Cardiff South</t>
  </si>
  <si>
    <t>3896</t>
  </si>
  <si>
    <t>Como West Public School</t>
  </si>
  <si>
    <t>3897</t>
  </si>
  <si>
    <t>Hamilton North Public School</t>
  </si>
  <si>
    <t>Hamilton North</t>
  </si>
  <si>
    <t>3898</t>
  </si>
  <si>
    <t>Marks Point Public School</t>
  </si>
  <si>
    <t>Marks Point</t>
  </si>
  <si>
    <t>3903</t>
  </si>
  <si>
    <t>Glen Alice Public School</t>
  </si>
  <si>
    <t>Glen Alice</t>
  </si>
  <si>
    <t>3904</t>
  </si>
  <si>
    <t>Argenton Public School</t>
  </si>
  <si>
    <t>ARGENTON</t>
  </si>
  <si>
    <t>3905</t>
  </si>
  <si>
    <t>Pagewood Public School</t>
  </si>
  <si>
    <t>3906</t>
  </si>
  <si>
    <t>Narrabeen North Public School</t>
  </si>
  <si>
    <t>NORTH NARRABEEN</t>
  </si>
  <si>
    <t>3908</t>
  </si>
  <si>
    <t>Lane Cove West Public School</t>
  </si>
  <si>
    <t>3909</t>
  </si>
  <si>
    <t>Taree West Public School</t>
  </si>
  <si>
    <t>3912</t>
  </si>
  <si>
    <t>Palinyewah Public School</t>
  </si>
  <si>
    <t>ELLERSLIE</t>
  </si>
  <si>
    <t>3914</t>
  </si>
  <si>
    <t>Grays Point Public School</t>
  </si>
  <si>
    <t>Grays Point</t>
  </si>
  <si>
    <t>3918</t>
  </si>
  <si>
    <t>Killara Public School</t>
  </si>
  <si>
    <t>Killara</t>
  </si>
  <si>
    <t>3919</t>
  </si>
  <si>
    <t>Castle Cove Public School</t>
  </si>
  <si>
    <t>Castle Cove</t>
  </si>
  <si>
    <t>3922</t>
  </si>
  <si>
    <t>Albury North Public School</t>
  </si>
  <si>
    <t>3923</t>
  </si>
  <si>
    <t>Kapooka Public School</t>
  </si>
  <si>
    <t>Kapooka</t>
  </si>
  <si>
    <t>3924</t>
  </si>
  <si>
    <t>East Hills Public School</t>
  </si>
  <si>
    <t>Panania</t>
  </si>
  <si>
    <t>3925</t>
  </si>
  <si>
    <t>Curl Curl North Public School</t>
  </si>
  <si>
    <t>North Curl Curl</t>
  </si>
  <si>
    <t>3927</t>
  </si>
  <si>
    <t>Belmont North Public School</t>
  </si>
  <si>
    <t>BELMONT NORTH</t>
  </si>
  <si>
    <t>3931</t>
  </si>
  <si>
    <t>Seven Hills Public School</t>
  </si>
  <si>
    <t>SEVEN HILLS</t>
  </si>
  <si>
    <t>3932</t>
  </si>
  <si>
    <t>Waratah West Public School</t>
  </si>
  <si>
    <t>Waratah West</t>
  </si>
  <si>
    <t>3935</t>
  </si>
  <si>
    <t>Crown Street Public School</t>
  </si>
  <si>
    <t>Surry Hills</t>
  </si>
  <si>
    <t>3939</t>
  </si>
  <si>
    <t>Mount Hutton Public School</t>
  </si>
  <si>
    <t>Mount Hutton</t>
  </si>
  <si>
    <t>3943</t>
  </si>
  <si>
    <t>Gordon West Public School</t>
  </si>
  <si>
    <t>3944</t>
  </si>
  <si>
    <t>Beverly Hills North Public School</t>
  </si>
  <si>
    <t>3945</t>
  </si>
  <si>
    <t>Finley Public School</t>
  </si>
  <si>
    <t>Finley</t>
  </si>
  <si>
    <t>3946</t>
  </si>
  <si>
    <t>Maclean Public School</t>
  </si>
  <si>
    <t>Maclean</t>
  </si>
  <si>
    <t>3947</t>
  </si>
  <si>
    <t>Quirindi Public School</t>
  </si>
  <si>
    <t>Quirindi</t>
  </si>
  <si>
    <t>3948</t>
  </si>
  <si>
    <t>Tempe Public School</t>
  </si>
  <si>
    <t>Tempe</t>
  </si>
  <si>
    <t>3949</t>
  </si>
  <si>
    <t>Maitland Public School</t>
  </si>
  <si>
    <t>MAITLAND</t>
  </si>
  <si>
    <t>3950</t>
  </si>
  <si>
    <t>Manly Village Public School</t>
  </si>
  <si>
    <t>Manly</t>
  </si>
  <si>
    <t>3951</t>
  </si>
  <si>
    <t>Marrickville West Public School</t>
  </si>
  <si>
    <t>Marrickville</t>
  </si>
  <si>
    <t>3952</t>
  </si>
  <si>
    <t>Marrickville Public School</t>
  </si>
  <si>
    <t>3953</t>
  </si>
  <si>
    <t>Waverley Public School</t>
  </si>
  <si>
    <t>3954</t>
  </si>
  <si>
    <t>Wollongong Public School</t>
  </si>
  <si>
    <t>WOLLONGONG</t>
  </si>
  <si>
    <t>3956</t>
  </si>
  <si>
    <t>Beaumont Road Public School</t>
  </si>
  <si>
    <t>3957</t>
  </si>
  <si>
    <t>Woolooware Public School</t>
  </si>
  <si>
    <t>3958</t>
  </si>
  <si>
    <t>Padstow Heights Public School</t>
  </si>
  <si>
    <t>3960</t>
  </si>
  <si>
    <t>Waniora Public School</t>
  </si>
  <si>
    <t>3964</t>
  </si>
  <si>
    <t>Figtree Public School</t>
  </si>
  <si>
    <t>FIGTREE</t>
  </si>
  <si>
    <t>3966</t>
  </si>
  <si>
    <t>Blackalls Park Public School</t>
  </si>
  <si>
    <t>Blackalls Park</t>
  </si>
  <si>
    <t>3968</t>
  </si>
  <si>
    <t>Speers Point Public School</t>
  </si>
  <si>
    <t>Speers Point</t>
  </si>
  <si>
    <t>3970</t>
  </si>
  <si>
    <t>Collaroy Plateau Public School</t>
  </si>
  <si>
    <t>Collaroy Plateau</t>
  </si>
  <si>
    <t>3971</t>
  </si>
  <si>
    <t>Beacon Hill Public School</t>
  </si>
  <si>
    <t>Beacon Hill</t>
  </si>
  <si>
    <t>3972</t>
  </si>
  <si>
    <t>Caringbah North Public School</t>
  </si>
  <si>
    <t>3973</t>
  </si>
  <si>
    <t>Russell Vale Public School</t>
  </si>
  <si>
    <t>Russell Vale</t>
  </si>
  <si>
    <t>3976</t>
  </si>
  <si>
    <t>Farmborough Road Public School</t>
  </si>
  <si>
    <t>Unanderra</t>
  </si>
  <si>
    <t>3977</t>
  </si>
  <si>
    <t>Villawood East Public School</t>
  </si>
  <si>
    <t>VILLAWOOD</t>
  </si>
  <si>
    <t>3979</t>
  </si>
  <si>
    <t>Bellambi Public School</t>
  </si>
  <si>
    <t>Bellambi</t>
  </si>
  <si>
    <t>3980</t>
  </si>
  <si>
    <t>Cabramatta West Public School</t>
  </si>
  <si>
    <t>3981</t>
  </si>
  <si>
    <t>Chester Hill North Public School</t>
  </si>
  <si>
    <t>Chester Hill</t>
  </si>
  <si>
    <t>3983</t>
  </si>
  <si>
    <t>Canley Heights Public School</t>
  </si>
  <si>
    <t>Canley Heights</t>
  </si>
  <si>
    <t>3984</t>
  </si>
  <si>
    <t>Balgowlah North Public School</t>
  </si>
  <si>
    <t>North Balgowlah</t>
  </si>
  <si>
    <t>3985</t>
  </si>
  <si>
    <t>Gordon East Public School</t>
  </si>
  <si>
    <t>Gordon</t>
  </si>
  <si>
    <t>3986</t>
  </si>
  <si>
    <t>Yennora Public School</t>
  </si>
  <si>
    <t>Yennora</t>
  </si>
  <si>
    <t>3987</t>
  </si>
  <si>
    <t>Katoomba North Public School</t>
  </si>
  <si>
    <t>Katoomba</t>
  </si>
  <si>
    <t>3988</t>
  </si>
  <si>
    <t>Biraban Public School</t>
  </si>
  <si>
    <t>3993</t>
  </si>
  <si>
    <t>Pendle Hill Public School</t>
  </si>
  <si>
    <t>Wentworthville</t>
  </si>
  <si>
    <t>3995</t>
  </si>
  <si>
    <t>Umina Beach Public School</t>
  </si>
  <si>
    <t>Umina Beach</t>
  </si>
  <si>
    <t>3996</t>
  </si>
  <si>
    <t>Fern Bay Public School</t>
  </si>
  <si>
    <t>Fern Bay</t>
  </si>
  <si>
    <t>3997</t>
  </si>
  <si>
    <t>Hilltop Road Public School</t>
  </si>
  <si>
    <t>3999</t>
  </si>
  <si>
    <t>Richmond Public School</t>
  </si>
  <si>
    <t>RICHMOND</t>
  </si>
  <si>
    <t>4000</t>
  </si>
  <si>
    <t>Guildford West Public School</t>
  </si>
  <si>
    <t>Guildford West</t>
  </si>
  <si>
    <t>4004</t>
  </si>
  <si>
    <t>Jannali East Public School</t>
  </si>
  <si>
    <t>Jannali</t>
  </si>
  <si>
    <t>4005</t>
  </si>
  <si>
    <t>Warilla Public School</t>
  </si>
  <si>
    <t>Warilla</t>
  </si>
  <si>
    <t>4009</t>
  </si>
  <si>
    <t>Fairvale Public School</t>
  </si>
  <si>
    <t>4011</t>
  </si>
  <si>
    <t>Lake Heights Public School</t>
  </si>
  <si>
    <t>LAKE HEIGHTS</t>
  </si>
  <si>
    <t>4012</t>
  </si>
  <si>
    <t>Panania North Public School</t>
  </si>
  <si>
    <t>4013</t>
  </si>
  <si>
    <t>Peakhurst West Public School</t>
  </si>
  <si>
    <t>Peakhurst</t>
  </si>
  <si>
    <t>4014</t>
  </si>
  <si>
    <t>Chatham Public School</t>
  </si>
  <si>
    <t>TAREE</t>
  </si>
  <si>
    <t>4015</t>
  </si>
  <si>
    <t>Mowbray Public School</t>
  </si>
  <si>
    <t>4016</t>
  </si>
  <si>
    <t>Revesby South Public School</t>
  </si>
  <si>
    <t>4017</t>
  </si>
  <si>
    <t>Booragul Public School</t>
  </si>
  <si>
    <t>BOORAGUL</t>
  </si>
  <si>
    <t>4018</t>
  </si>
  <si>
    <t>Gunnedah South Public School</t>
  </si>
  <si>
    <t>4019</t>
  </si>
  <si>
    <t>Forestville Public School</t>
  </si>
  <si>
    <t>Forestville</t>
  </si>
  <si>
    <t>4020</t>
  </si>
  <si>
    <t>Glenroi Heights Public School</t>
  </si>
  <si>
    <t>4021</t>
  </si>
  <si>
    <t>Manly Vale Public School</t>
  </si>
  <si>
    <t>Manly Vale</t>
  </si>
  <si>
    <t>4022</t>
  </si>
  <si>
    <t>Coal Point Public School</t>
  </si>
  <si>
    <t>Coal Point</t>
  </si>
  <si>
    <t>4024</t>
  </si>
  <si>
    <t>Sylvania Heights Public School</t>
  </si>
  <si>
    <t>4027</t>
  </si>
  <si>
    <t>Griffith North Public School</t>
  </si>
  <si>
    <t>4029</t>
  </si>
  <si>
    <t>Dundas Public School</t>
  </si>
  <si>
    <t>Dundas</t>
  </si>
  <si>
    <t>4034</t>
  </si>
  <si>
    <t>Eleebana Public School</t>
  </si>
  <si>
    <t>Eleebana</t>
  </si>
  <si>
    <t>4037</t>
  </si>
  <si>
    <t>Cringila Public School</t>
  </si>
  <si>
    <t>Cringila</t>
  </si>
  <si>
    <t>4038</t>
  </si>
  <si>
    <t>Epping Heights Public School</t>
  </si>
  <si>
    <t>Epping</t>
  </si>
  <si>
    <t>4041</t>
  </si>
  <si>
    <t>Eastwood Heights Public School</t>
  </si>
  <si>
    <t>4042</t>
  </si>
  <si>
    <t>Lindsay Park Public School</t>
  </si>
  <si>
    <t>4049</t>
  </si>
  <si>
    <t>Mount Kuring-gai Public School</t>
  </si>
  <si>
    <t>Mount Kuring-gai</t>
  </si>
  <si>
    <t>4050</t>
  </si>
  <si>
    <t>Point Clare Public School</t>
  </si>
  <si>
    <t>Point Clare</t>
  </si>
  <si>
    <t>4051</t>
  </si>
  <si>
    <t>Penshurst West Public School</t>
  </si>
  <si>
    <t>4054</t>
  </si>
  <si>
    <t>Kingscliff Public School</t>
  </si>
  <si>
    <t>KINGSCLIFF</t>
  </si>
  <si>
    <t>4055</t>
  </si>
  <si>
    <t>Oxley Park Public School</t>
  </si>
  <si>
    <t>4056</t>
  </si>
  <si>
    <t>Rooty Hill Public School</t>
  </si>
  <si>
    <t>Rooty Hill</t>
  </si>
  <si>
    <t>4057</t>
  </si>
  <si>
    <t>Birrong Public School</t>
  </si>
  <si>
    <t>Birrong</t>
  </si>
  <si>
    <t>4058</t>
  </si>
  <si>
    <t>Leumeah Public School</t>
  </si>
  <si>
    <t>Leumeah</t>
  </si>
  <si>
    <t>4059</t>
  </si>
  <si>
    <t>Wattawa Heights Public School</t>
  </si>
  <si>
    <t>4060</t>
  </si>
  <si>
    <t>Cambridge Park Public School</t>
  </si>
  <si>
    <t>Cambridge Park</t>
  </si>
  <si>
    <t>4061</t>
  </si>
  <si>
    <t>Blacktown North Public School</t>
  </si>
  <si>
    <t>4064</t>
  </si>
  <si>
    <t>Macquarie Fields Public School</t>
  </si>
  <si>
    <t>Macquarie Fields</t>
  </si>
  <si>
    <t>4065</t>
  </si>
  <si>
    <t>Villawood North Public School</t>
  </si>
  <si>
    <t>Fairfield East</t>
  </si>
  <si>
    <t>4066</t>
  </si>
  <si>
    <t>Windsor South Public School</t>
  </si>
  <si>
    <t>SOUTH WINDSOR</t>
  </si>
  <si>
    <t>4067</t>
  </si>
  <si>
    <t>Matraville Soldiers Settlement Public School</t>
  </si>
  <si>
    <t>Matraville</t>
  </si>
  <si>
    <t>4071</t>
  </si>
  <si>
    <t>Oatlands Public School</t>
  </si>
  <si>
    <t>Oatlands</t>
  </si>
  <si>
    <t>4075</t>
  </si>
  <si>
    <t>Kirrawee Public School</t>
  </si>
  <si>
    <t>KIRRAWEE</t>
  </si>
  <si>
    <t>4077</t>
  </si>
  <si>
    <t>Illawong Public School</t>
  </si>
  <si>
    <t>Illawong</t>
  </si>
  <si>
    <t>4083</t>
  </si>
  <si>
    <t>Kemblawarra Public School</t>
  </si>
  <si>
    <t>4084</t>
  </si>
  <si>
    <t>Lilli Pilli Public School</t>
  </si>
  <si>
    <t>Lilli Pilli</t>
  </si>
  <si>
    <t>4085</t>
  </si>
  <si>
    <t>Lismore Heights Public School</t>
  </si>
  <si>
    <t>Lismore Heights</t>
  </si>
  <si>
    <t>4088</t>
  </si>
  <si>
    <t>Padstow North Public School</t>
  </si>
  <si>
    <t>4089</t>
  </si>
  <si>
    <t>Middleton Public School</t>
  </si>
  <si>
    <t>4092</t>
  </si>
  <si>
    <t>Hannans Road Public School</t>
  </si>
  <si>
    <t>4095</t>
  </si>
  <si>
    <t>Mount Ousley Public School</t>
  </si>
  <si>
    <t>4097</t>
  </si>
  <si>
    <t>Tuggerawong Public School</t>
  </si>
  <si>
    <t>Tuggerawong</t>
  </si>
  <si>
    <t>4100</t>
  </si>
  <si>
    <t>Forbes North Public School</t>
  </si>
  <si>
    <t>4101</t>
  </si>
  <si>
    <t>Murwillumbah East Public School</t>
  </si>
  <si>
    <t>4103</t>
  </si>
  <si>
    <t>Telopea Public School</t>
  </si>
  <si>
    <t>Telopea</t>
  </si>
  <si>
    <t>4106</t>
  </si>
  <si>
    <t>Nowra Hill Public School</t>
  </si>
  <si>
    <t>Nowra</t>
  </si>
  <si>
    <t>4110</t>
  </si>
  <si>
    <t>Central Mangrove Public School</t>
  </si>
  <si>
    <t>Central Mangrove</t>
  </si>
  <si>
    <t>4111</t>
  </si>
  <si>
    <t>Tweed Heads South Public School</t>
  </si>
  <si>
    <t>Tweed Heads South</t>
  </si>
  <si>
    <t>4112</t>
  </si>
  <si>
    <t>Deniliquin South Public School</t>
  </si>
  <si>
    <t>4116</t>
  </si>
  <si>
    <t>Blacktown West Public School</t>
  </si>
  <si>
    <t>4117</t>
  </si>
  <si>
    <t>Warnervale Public School</t>
  </si>
  <si>
    <t>Hamlyn Terrace</t>
  </si>
  <si>
    <t>4118</t>
  </si>
  <si>
    <t>Moree East Public School</t>
  </si>
  <si>
    <t>4121</t>
  </si>
  <si>
    <t>Albion Park Rail Public School</t>
  </si>
  <si>
    <t>Albion Park Rail</t>
  </si>
  <si>
    <t>4122</t>
  </si>
  <si>
    <t>Miranda North Public School</t>
  </si>
  <si>
    <t>Miranda</t>
  </si>
  <si>
    <t>4123</t>
  </si>
  <si>
    <t>Rydalmere East Public School</t>
  </si>
  <si>
    <t>Ermington</t>
  </si>
  <si>
    <t>4124</t>
  </si>
  <si>
    <t>Yowie Bay Public School</t>
  </si>
  <si>
    <t>Yowie Bay</t>
  </si>
  <si>
    <t>4125</t>
  </si>
  <si>
    <t>Ermington West Public School</t>
  </si>
  <si>
    <t>4126</t>
  </si>
  <si>
    <t>Campbelltown North Public School</t>
  </si>
  <si>
    <t>4127</t>
  </si>
  <si>
    <t>Queanbeyan West Public School</t>
  </si>
  <si>
    <t>4129</t>
  </si>
  <si>
    <t>Heaton Public School</t>
  </si>
  <si>
    <t>4131</t>
  </si>
  <si>
    <t>Young North Public School</t>
  </si>
  <si>
    <t>4132</t>
  </si>
  <si>
    <t>Arcadia Vale Public School</t>
  </si>
  <si>
    <t>Arcadia Vale</t>
  </si>
  <si>
    <t>4136</t>
  </si>
  <si>
    <t>Garden Suburb Public School</t>
  </si>
  <si>
    <t>Garden Suburb</t>
  </si>
  <si>
    <t>4138</t>
  </si>
  <si>
    <t>Penrith South Public School</t>
  </si>
  <si>
    <t>4142</t>
  </si>
  <si>
    <t>Bankstown West Public School</t>
  </si>
  <si>
    <t>4144</t>
  </si>
  <si>
    <t>Turvey Park Public School</t>
  </si>
  <si>
    <t>4147</t>
  </si>
  <si>
    <t>Erskineville Public School</t>
  </si>
  <si>
    <t>Erskineville</t>
  </si>
  <si>
    <t>4148</t>
  </si>
  <si>
    <t>Castlereagh Public School</t>
  </si>
  <si>
    <t>Castlereagh</t>
  </si>
  <si>
    <t>4149</t>
  </si>
  <si>
    <t>North Haven Public School</t>
  </si>
  <si>
    <t>NORTH HAVEN</t>
  </si>
  <si>
    <t>4151</t>
  </si>
  <si>
    <t>Tower Street Public School</t>
  </si>
  <si>
    <t>4155</t>
  </si>
  <si>
    <t>Edgeworth Heights Public School</t>
  </si>
  <si>
    <t>4157</t>
  </si>
  <si>
    <t>Yates Avenue Public School</t>
  </si>
  <si>
    <t>Dundas Valley</t>
  </si>
  <si>
    <t>4160</t>
  </si>
  <si>
    <t>Kent Road Public School</t>
  </si>
  <si>
    <t>Marsfield</t>
  </si>
  <si>
    <t>4161</t>
  </si>
  <si>
    <t>Liverpool West Public School</t>
  </si>
  <si>
    <t>4162</t>
  </si>
  <si>
    <t>Seven Hills West Public School</t>
  </si>
  <si>
    <t>4163</t>
  </si>
  <si>
    <t>Elermore Vale Public School</t>
  </si>
  <si>
    <t>4164</t>
  </si>
  <si>
    <t>Truscott Street Public School</t>
  </si>
  <si>
    <t>4165</t>
  </si>
  <si>
    <t>Epping North Public School</t>
  </si>
  <si>
    <t>North Epping</t>
  </si>
  <si>
    <t>4166</t>
  </si>
  <si>
    <t>Marayong Public School</t>
  </si>
  <si>
    <t>4168</t>
  </si>
  <si>
    <t>Lavington East Public School</t>
  </si>
  <si>
    <t>4173</t>
  </si>
  <si>
    <t>Kooringal Public School</t>
  </si>
  <si>
    <t>4177</t>
  </si>
  <si>
    <t>Albert Park Public School</t>
  </si>
  <si>
    <t>East Lismore</t>
  </si>
  <si>
    <t>4180</t>
  </si>
  <si>
    <t>Berkeley West Public School</t>
  </si>
  <si>
    <t>Berkeley</t>
  </si>
  <si>
    <t>4183</t>
  </si>
  <si>
    <t>Budgewoi Public School</t>
  </si>
  <si>
    <t>Budgewoi</t>
  </si>
  <si>
    <t>4184</t>
  </si>
  <si>
    <t>Lennox Head Public School</t>
  </si>
  <si>
    <t>Lennox Head</t>
  </si>
  <si>
    <t>4185</t>
  </si>
  <si>
    <t>Valentine Public School</t>
  </si>
  <si>
    <t>VALENTINE</t>
  </si>
  <si>
    <t>4191</t>
  </si>
  <si>
    <t>Lalor Park Public School</t>
  </si>
  <si>
    <t>Lalor Park</t>
  </si>
  <si>
    <t>4192</t>
  </si>
  <si>
    <t>Bert Oldfield Public School</t>
  </si>
  <si>
    <t>4193</t>
  </si>
  <si>
    <t>Blacktown South Public School</t>
  </si>
  <si>
    <t>4194</t>
  </si>
  <si>
    <t>Charlestown East Public School</t>
  </si>
  <si>
    <t>4195</t>
  </si>
  <si>
    <t>Warrimoo Public School</t>
  </si>
  <si>
    <t>Warrimoo</t>
  </si>
  <si>
    <t>4196</t>
  </si>
  <si>
    <t>Kempsey South Public School</t>
  </si>
  <si>
    <t>4197</t>
  </si>
  <si>
    <t>Blacksmiths Public School</t>
  </si>
  <si>
    <t>Blacksmiths</t>
  </si>
  <si>
    <t>4198</t>
  </si>
  <si>
    <t>Casula Public School</t>
  </si>
  <si>
    <t>Casula</t>
  </si>
  <si>
    <t>4199</t>
  </si>
  <si>
    <t>Elanora Heights Public School</t>
  </si>
  <si>
    <t>Elanora Heights</t>
  </si>
  <si>
    <t>4200</t>
  </si>
  <si>
    <t>Allambie Heights Public School</t>
  </si>
  <si>
    <t>ALLAMBIE HEIGHTS</t>
  </si>
  <si>
    <t>4203</t>
  </si>
  <si>
    <t>Kotara South Public School</t>
  </si>
  <si>
    <t>KOTARA SOUTH</t>
  </si>
  <si>
    <t>4204</t>
  </si>
  <si>
    <t>Parkes East Public School</t>
  </si>
  <si>
    <t>4205</t>
  </si>
  <si>
    <t>St Marys North Public School</t>
  </si>
  <si>
    <t>North St Marys</t>
  </si>
  <si>
    <t>4206</t>
  </si>
  <si>
    <t>Biddabah Public School</t>
  </si>
  <si>
    <t>Warners Bay</t>
  </si>
  <si>
    <t>4207</t>
  </si>
  <si>
    <t>Glendale East Public School</t>
  </si>
  <si>
    <t>Glendale</t>
  </si>
  <si>
    <t>4208</t>
  </si>
  <si>
    <t>Fennell Bay Public School</t>
  </si>
  <si>
    <t>Fennell Bay</t>
  </si>
  <si>
    <t>4209</t>
  </si>
  <si>
    <t>Temora West Public School</t>
  </si>
  <si>
    <t>4210</t>
  </si>
  <si>
    <t>Mount Pritchard East Public School</t>
  </si>
  <si>
    <t>4212</t>
  </si>
  <si>
    <t>Quakers Hill East Public School</t>
  </si>
  <si>
    <t>Acacia Gardens</t>
  </si>
  <si>
    <t>4214</t>
  </si>
  <si>
    <t>Narrandera East Infants School</t>
  </si>
  <si>
    <t>Infants School</t>
  </si>
  <si>
    <t>4215</t>
  </si>
  <si>
    <t>Mount Austin Public School</t>
  </si>
  <si>
    <t>Mount Austin</t>
  </si>
  <si>
    <t>4217</t>
  </si>
  <si>
    <t>Banksia Road Public School</t>
  </si>
  <si>
    <t>4218</t>
  </si>
  <si>
    <t>Gosford East Public School</t>
  </si>
  <si>
    <t>EAST GOSFORD</t>
  </si>
  <si>
    <t>4221</t>
  </si>
  <si>
    <t>Loftus Public School</t>
  </si>
  <si>
    <t>Loftus</t>
  </si>
  <si>
    <t>4222</t>
  </si>
  <si>
    <t>Darcy Road Public School</t>
  </si>
  <si>
    <t>4225</t>
  </si>
  <si>
    <t>Tulloona Public School</t>
  </si>
  <si>
    <t>Tulloona</t>
  </si>
  <si>
    <t>4228</t>
  </si>
  <si>
    <t>Bullarah Public School</t>
  </si>
  <si>
    <t>BULLARAH</t>
  </si>
  <si>
    <t>4230</t>
  </si>
  <si>
    <t>Laguna Street Public School</t>
  </si>
  <si>
    <t>4232</t>
  </si>
  <si>
    <t>Morgan Street Public School</t>
  </si>
  <si>
    <t>4233</t>
  </si>
  <si>
    <t>Railway Town Public School</t>
  </si>
  <si>
    <t>4241</t>
  </si>
  <si>
    <t>Cromer Public School</t>
  </si>
  <si>
    <t>Cromer</t>
  </si>
  <si>
    <t>4246</t>
  </si>
  <si>
    <t>Illaroo Road Public School</t>
  </si>
  <si>
    <t>NORTH NOWRA</t>
  </si>
  <si>
    <t>4248</t>
  </si>
  <si>
    <t>Vardys Road Public School</t>
  </si>
  <si>
    <t>4249</t>
  </si>
  <si>
    <t>Wheeler Heights Public School</t>
  </si>
  <si>
    <t>4250</t>
  </si>
  <si>
    <t>Randwick Public School</t>
  </si>
  <si>
    <t>4256</t>
  </si>
  <si>
    <t>Nowra East Public School</t>
  </si>
  <si>
    <t>Nowra East</t>
  </si>
  <si>
    <t>4257</t>
  </si>
  <si>
    <t>Ryde East Public School</t>
  </si>
  <si>
    <t>4258</t>
  </si>
  <si>
    <t>Lynwood Park Public School</t>
  </si>
  <si>
    <t>BLACKTOWN</t>
  </si>
  <si>
    <t>4259</t>
  </si>
  <si>
    <t>Burraneer Bay Public School</t>
  </si>
  <si>
    <t>4262</t>
  </si>
  <si>
    <t>Mallawa Public School</t>
  </si>
  <si>
    <t>MOREE</t>
  </si>
  <si>
    <t>4263</t>
  </si>
  <si>
    <t>Tarro Public School</t>
  </si>
  <si>
    <t>Tarro</t>
  </si>
  <si>
    <t>4266</t>
  </si>
  <si>
    <t>Lakelands Public School</t>
  </si>
  <si>
    <t>Dapto</t>
  </si>
  <si>
    <t>4268</t>
  </si>
  <si>
    <t>Griffith East Public School</t>
  </si>
  <si>
    <t>4270</t>
  </si>
  <si>
    <t>Khancoban Public School</t>
  </si>
  <si>
    <t>Khancoban</t>
  </si>
  <si>
    <t>4274</t>
  </si>
  <si>
    <t>Hornsby Heights Public School</t>
  </si>
  <si>
    <t>4275</t>
  </si>
  <si>
    <t>Normanhurst West Public School</t>
  </si>
  <si>
    <t>Thornleigh</t>
  </si>
  <si>
    <t>4276</t>
  </si>
  <si>
    <t>Thornleigh West Public School</t>
  </si>
  <si>
    <t>4277</t>
  </si>
  <si>
    <t>Campbelltown East Public School</t>
  </si>
  <si>
    <t>4278</t>
  </si>
  <si>
    <t>Marsden Road Public School</t>
  </si>
  <si>
    <t>4279</t>
  </si>
  <si>
    <t>St Marys South Public School</t>
  </si>
  <si>
    <t>4281</t>
  </si>
  <si>
    <t>Deniliquin North Public School</t>
  </si>
  <si>
    <t>4282</t>
  </si>
  <si>
    <t>Marayong Heights Public School</t>
  </si>
  <si>
    <t>Marayong</t>
  </si>
  <si>
    <t>4283</t>
  </si>
  <si>
    <t>West Pymble Public School</t>
  </si>
  <si>
    <t>West Pymble</t>
  </si>
  <si>
    <t>4285</t>
  </si>
  <si>
    <t>Bennett Road Public School</t>
  </si>
  <si>
    <t>Colyton</t>
  </si>
  <si>
    <t>4286</t>
  </si>
  <si>
    <t>Camden South Public School</t>
  </si>
  <si>
    <t>4288</t>
  </si>
  <si>
    <t>Holsworthy Public School</t>
  </si>
  <si>
    <t>HOLSWORTHY</t>
  </si>
  <si>
    <t>4289</t>
  </si>
  <si>
    <t>Lurnea Public School</t>
  </si>
  <si>
    <t>Lurnea</t>
  </si>
  <si>
    <t>4290</t>
  </si>
  <si>
    <t>Mount Druitt Public School</t>
  </si>
  <si>
    <t>MOUNT DRUITT</t>
  </si>
  <si>
    <t>4291</t>
  </si>
  <si>
    <t>Balarang Public School</t>
  </si>
  <si>
    <t>4292</t>
  </si>
  <si>
    <t>Engadine West Public School</t>
  </si>
  <si>
    <t>4293</t>
  </si>
  <si>
    <t>St Ives North Public School</t>
  </si>
  <si>
    <t>St Ives</t>
  </si>
  <si>
    <t>4294</t>
  </si>
  <si>
    <t>Roselea Public School</t>
  </si>
  <si>
    <t>CARLINGFORD</t>
  </si>
  <si>
    <t>4296</t>
  </si>
  <si>
    <t>Woonona East Public School</t>
  </si>
  <si>
    <t>4298</t>
  </si>
  <si>
    <t>Yarrawarrah Public School</t>
  </si>
  <si>
    <t>4299</t>
  </si>
  <si>
    <t>Chifley Public School</t>
  </si>
  <si>
    <t>Malabar</t>
  </si>
  <si>
    <t>4305</t>
  </si>
  <si>
    <t>Weilmoringle Public School</t>
  </si>
  <si>
    <t>Weilmoringle</t>
  </si>
  <si>
    <t>4310</t>
  </si>
  <si>
    <t>Walters Road Public School</t>
  </si>
  <si>
    <t>4311</t>
  </si>
  <si>
    <t>Bardia Public School</t>
  </si>
  <si>
    <t>4312</t>
  </si>
  <si>
    <t>Ringrose Public School</t>
  </si>
  <si>
    <t>4313</t>
  </si>
  <si>
    <t>Blaxland East Public School</t>
  </si>
  <si>
    <t>4314</t>
  </si>
  <si>
    <t>Harrington Street Public School</t>
  </si>
  <si>
    <t>4316</t>
  </si>
  <si>
    <t>Mannering Park Public School</t>
  </si>
  <si>
    <t>Mannering Park</t>
  </si>
  <si>
    <t>4318</t>
  </si>
  <si>
    <t>Hillsborough Public School</t>
  </si>
  <si>
    <t>CHARLESTOWN</t>
  </si>
  <si>
    <t>4319</t>
  </si>
  <si>
    <t>Sadleir Public School</t>
  </si>
  <si>
    <t>Sadleir</t>
  </si>
  <si>
    <t>4320</t>
  </si>
  <si>
    <t>Gwandalan Public School</t>
  </si>
  <si>
    <t>Gwandalan</t>
  </si>
  <si>
    <t>4323</t>
  </si>
  <si>
    <t>Peakhurst South Public School</t>
  </si>
  <si>
    <t>PEAKHURST HEIGHTS</t>
  </si>
  <si>
    <t>4324</t>
  </si>
  <si>
    <t>Charlestown South Public School</t>
  </si>
  <si>
    <t>4327</t>
  </si>
  <si>
    <t>Marayong South Public School</t>
  </si>
  <si>
    <t>4328</t>
  </si>
  <si>
    <t>Sherwood Grange Public School</t>
  </si>
  <si>
    <t>4329</t>
  </si>
  <si>
    <t>Woy Woy South Public School</t>
  </si>
  <si>
    <t>Woy Woy</t>
  </si>
  <si>
    <t>4331</t>
  </si>
  <si>
    <t>St Ives Public School</t>
  </si>
  <si>
    <t>4333</t>
  </si>
  <si>
    <t>Warilla North Public School</t>
  </si>
  <si>
    <t>4336</t>
  </si>
  <si>
    <t>Heckenberg Public School</t>
  </si>
  <si>
    <t>HECKENBERG</t>
  </si>
  <si>
    <t>4337</t>
  </si>
  <si>
    <t>Busby Public School</t>
  </si>
  <si>
    <t>Busby</t>
  </si>
  <si>
    <t>4338</t>
  </si>
  <si>
    <t>Miller Public School</t>
  </si>
  <si>
    <t>Miller</t>
  </si>
  <si>
    <t>4339</t>
  </si>
  <si>
    <t>Kingswood South Public School</t>
  </si>
  <si>
    <t>4342</t>
  </si>
  <si>
    <t>Picnic Point Public School</t>
  </si>
  <si>
    <t>Picnic Point</t>
  </si>
  <si>
    <t>4344</t>
  </si>
  <si>
    <t>Ashcroft Public School</t>
  </si>
  <si>
    <t>Ashcroft</t>
  </si>
  <si>
    <t>4346</t>
  </si>
  <si>
    <t>Wadangali Public School</t>
  </si>
  <si>
    <t>4348</t>
  </si>
  <si>
    <t>Coleambally Central School</t>
  </si>
  <si>
    <t>Coleambally</t>
  </si>
  <si>
    <t>4354</t>
  </si>
  <si>
    <t>Faulconbridge Public School</t>
  </si>
  <si>
    <t>FAULCONBRIDGE</t>
  </si>
  <si>
    <t>4355</t>
  </si>
  <si>
    <t>Smithfield West Public School</t>
  </si>
  <si>
    <t>Wetherill Park</t>
  </si>
  <si>
    <t>4357</t>
  </si>
  <si>
    <t>Pleasant Heights Public School</t>
  </si>
  <si>
    <t>Mount Pleasant</t>
  </si>
  <si>
    <t>4359</t>
  </si>
  <si>
    <t>Bilgola Plateau Public School</t>
  </si>
  <si>
    <t>Bilgola Plateau</t>
  </si>
  <si>
    <t>4360</t>
  </si>
  <si>
    <t>Cartwright Public School</t>
  </si>
  <si>
    <t>Cartwright</t>
  </si>
  <si>
    <t>4364</t>
  </si>
  <si>
    <t>Toongabbie West Public School</t>
  </si>
  <si>
    <t>4365</t>
  </si>
  <si>
    <t>Hornsby North Public School</t>
  </si>
  <si>
    <t>4366</t>
  </si>
  <si>
    <t>Toongabbie East Public School</t>
  </si>
  <si>
    <t>Constitution Hill</t>
  </si>
  <si>
    <t>4367</t>
  </si>
  <si>
    <t>Caves Beach Public School</t>
  </si>
  <si>
    <t>Caves Beach</t>
  </si>
  <si>
    <t>4368</t>
  </si>
  <si>
    <t>Wakehurst Public School</t>
  </si>
  <si>
    <t>4369</t>
  </si>
  <si>
    <t>Lewisham Public School</t>
  </si>
  <si>
    <t>LEWISHAM</t>
  </si>
  <si>
    <t>4370</t>
  </si>
  <si>
    <t>Belair Public School</t>
  </si>
  <si>
    <t>4371</t>
  </si>
  <si>
    <t>Queanbeyan East Public School</t>
  </si>
  <si>
    <t>4372</t>
  </si>
  <si>
    <t>Irrawang Public School</t>
  </si>
  <si>
    <t>4374</t>
  </si>
  <si>
    <t>Talbingo Public School</t>
  </si>
  <si>
    <t>Talbingo</t>
  </si>
  <si>
    <t>4375</t>
  </si>
  <si>
    <t>Ashmont Public School</t>
  </si>
  <si>
    <t>4377</t>
  </si>
  <si>
    <t>Baulkham Hills North Public School</t>
  </si>
  <si>
    <t>Baulkham Hills</t>
  </si>
  <si>
    <t>4378</t>
  </si>
  <si>
    <t>Whalan Public School</t>
  </si>
  <si>
    <t>Whalan</t>
  </si>
  <si>
    <t>4379</t>
  </si>
  <si>
    <t>Floraville Public School</t>
  </si>
  <si>
    <t>BELMONT</t>
  </si>
  <si>
    <t>4380</t>
  </si>
  <si>
    <t>Calare Public School</t>
  </si>
  <si>
    <t>ORANGE</t>
  </si>
  <si>
    <t>4381</t>
  </si>
  <si>
    <t>Shelley Public School</t>
  </si>
  <si>
    <t>4382</t>
  </si>
  <si>
    <t>Jasper Road Public School</t>
  </si>
  <si>
    <t>4383</t>
  </si>
  <si>
    <t>E A Southee Public School</t>
  </si>
  <si>
    <t>4386</t>
  </si>
  <si>
    <t>Killarney Heights Public School</t>
  </si>
  <si>
    <t>KILLARNEY HEIGHTS</t>
  </si>
  <si>
    <t>4389</t>
  </si>
  <si>
    <t>Gymea North Public School</t>
  </si>
  <si>
    <t>Gymea</t>
  </si>
  <si>
    <t>4391</t>
  </si>
  <si>
    <t>Lansvale East Public School</t>
  </si>
  <si>
    <t>4393</t>
  </si>
  <si>
    <t>Carlingford West Public School</t>
  </si>
  <si>
    <t>Carlingford</t>
  </si>
  <si>
    <t>4394</t>
  </si>
  <si>
    <t>Queanbeyan South Public School</t>
  </si>
  <si>
    <t>4395</t>
  </si>
  <si>
    <t>Mount Warrigal Public School</t>
  </si>
  <si>
    <t>4396</t>
  </si>
  <si>
    <t>Busby West Public School</t>
  </si>
  <si>
    <t>4397</t>
  </si>
  <si>
    <t>Wyoming Public School</t>
  </si>
  <si>
    <t>Wyoming</t>
  </si>
  <si>
    <t>4398</t>
  </si>
  <si>
    <t>Chertsey Primary School</t>
  </si>
  <si>
    <t>Springfield</t>
  </si>
  <si>
    <t>4399</t>
  </si>
  <si>
    <t>Hayes Park Public School</t>
  </si>
  <si>
    <t>KANAHOOKA</t>
  </si>
  <si>
    <t>4400</t>
  </si>
  <si>
    <t>St Ives Park Public School</t>
  </si>
  <si>
    <t>4401</t>
  </si>
  <si>
    <t>Murray Farm Public School</t>
  </si>
  <si>
    <t>4402</t>
  </si>
  <si>
    <t>Tregear Public School</t>
  </si>
  <si>
    <t>Tregear</t>
  </si>
  <si>
    <t>4403</t>
  </si>
  <si>
    <t>Bradbury Public School</t>
  </si>
  <si>
    <t>Bradbury</t>
  </si>
  <si>
    <t>4404</t>
  </si>
  <si>
    <t>Narranga Public School</t>
  </si>
  <si>
    <t>4405</t>
  </si>
  <si>
    <t>Beresford Road Public School</t>
  </si>
  <si>
    <t>4406</t>
  </si>
  <si>
    <t>Bradfordville Public School</t>
  </si>
  <si>
    <t>GOULBURN</t>
  </si>
  <si>
    <t>4407</t>
  </si>
  <si>
    <t>Hume Public School</t>
  </si>
  <si>
    <t>4408</t>
  </si>
  <si>
    <t>Lethbridge Park Public School</t>
  </si>
  <si>
    <t>Lethbridge Park</t>
  </si>
  <si>
    <t>4409</t>
  </si>
  <si>
    <t>Koonawarra Public School</t>
  </si>
  <si>
    <t>4410</t>
  </si>
  <si>
    <t>Red Hill Public School</t>
  </si>
  <si>
    <t>4411</t>
  </si>
  <si>
    <t>Westport Public School</t>
  </si>
  <si>
    <t>PORT MACQUARIE</t>
  </si>
  <si>
    <t>4413</t>
  </si>
  <si>
    <t>Parkview Public School</t>
  </si>
  <si>
    <t>4416</t>
  </si>
  <si>
    <t>Merewether Heights Public School</t>
  </si>
  <si>
    <t>Merewether Heights</t>
  </si>
  <si>
    <t>4417</t>
  </si>
  <si>
    <t>Winston Hills Public School</t>
  </si>
  <si>
    <t>Winston Hills</t>
  </si>
  <si>
    <t>4418</t>
  </si>
  <si>
    <t>Edward Public School</t>
  </si>
  <si>
    <t>4420</t>
  </si>
  <si>
    <t>Nuwarra Public School</t>
  </si>
  <si>
    <t>Moorebank</t>
  </si>
  <si>
    <t>4421</t>
  </si>
  <si>
    <t>Gillwinga Public School</t>
  </si>
  <si>
    <t>4422</t>
  </si>
  <si>
    <t>Emerton Public School</t>
  </si>
  <si>
    <t>Emerton</t>
  </si>
  <si>
    <t>4423</t>
  </si>
  <si>
    <t>Mount Brown Public School</t>
  </si>
  <si>
    <t>4424</t>
  </si>
  <si>
    <t>Lapstone Public School</t>
  </si>
  <si>
    <t>4426</t>
  </si>
  <si>
    <t>Killarney Vale Public School</t>
  </si>
  <si>
    <t>Killarney Vale</t>
  </si>
  <si>
    <t>4427</t>
  </si>
  <si>
    <t>Niagara Park Public School</t>
  </si>
  <si>
    <t>Niagara Park</t>
  </si>
  <si>
    <t>4428</t>
  </si>
  <si>
    <t>Southern Cross Public School</t>
  </si>
  <si>
    <t>EAST BALLINA</t>
  </si>
  <si>
    <t>4431</t>
  </si>
  <si>
    <t>Marton Public School</t>
  </si>
  <si>
    <t>4432</t>
  </si>
  <si>
    <t>Mimosa Public School</t>
  </si>
  <si>
    <t>4433</t>
  </si>
  <si>
    <t>Wideview Public School</t>
  </si>
  <si>
    <t>Berowra Heights</t>
  </si>
  <si>
    <t>4435</t>
  </si>
  <si>
    <t>Mount Riverview Public School</t>
  </si>
  <si>
    <t>MOUNT RIVERVIEW</t>
  </si>
  <si>
    <t>4436</t>
  </si>
  <si>
    <t>Winmalee Public School</t>
  </si>
  <si>
    <t>WINMALEE</t>
  </si>
  <si>
    <t>4437</t>
  </si>
  <si>
    <t>Hillvue Public School</t>
  </si>
  <si>
    <t>4438</t>
  </si>
  <si>
    <t>Wollondilly Public School</t>
  </si>
  <si>
    <t>4440</t>
  </si>
  <si>
    <t>Cherrybrook Public School</t>
  </si>
  <si>
    <t>Cherrybrook</t>
  </si>
  <si>
    <t>4441</t>
  </si>
  <si>
    <t>Crestwood Public School</t>
  </si>
  <si>
    <t>4442</t>
  </si>
  <si>
    <t>Emu Heights Public School</t>
  </si>
  <si>
    <t>EMU HEIGHTS</t>
  </si>
  <si>
    <t>4444</t>
  </si>
  <si>
    <t>Metella Road Public School</t>
  </si>
  <si>
    <t>TOONGABBIE</t>
  </si>
  <si>
    <t>4446</t>
  </si>
  <si>
    <t>Dawson Public School</t>
  </si>
  <si>
    <t>Dharruk</t>
  </si>
  <si>
    <t>4447</t>
  </si>
  <si>
    <t>Hebersham Public School</t>
  </si>
  <si>
    <t>Hebersham</t>
  </si>
  <si>
    <t>4449</t>
  </si>
  <si>
    <t>Madang Avenue Public School</t>
  </si>
  <si>
    <t>4450</t>
  </si>
  <si>
    <t>Berinba Public School</t>
  </si>
  <si>
    <t>4452</t>
  </si>
  <si>
    <t>Hobartville Public School</t>
  </si>
  <si>
    <t>Hobartville</t>
  </si>
  <si>
    <t>4453</t>
  </si>
  <si>
    <t>Blackett Public School</t>
  </si>
  <si>
    <t>Blackett</t>
  </si>
  <si>
    <t>4454</t>
  </si>
  <si>
    <t>Marra Creek Public School</t>
  </si>
  <si>
    <t>NYNGAN</t>
  </si>
  <si>
    <t>4456</t>
  </si>
  <si>
    <t>Franklin Public School</t>
  </si>
  <si>
    <t>4457</t>
  </si>
  <si>
    <t>Sturt Public School</t>
  </si>
  <si>
    <t>4458</t>
  </si>
  <si>
    <t>Briar Road Public School</t>
  </si>
  <si>
    <t>CAMPBELLTOWN</t>
  </si>
  <si>
    <t>4459</t>
  </si>
  <si>
    <t>Woodberry Public School</t>
  </si>
  <si>
    <t>Woodberry</t>
  </si>
  <si>
    <t>4460</t>
  </si>
  <si>
    <t>Curran Public School</t>
  </si>
  <si>
    <t>4461</t>
  </si>
  <si>
    <t>Guise Public School</t>
  </si>
  <si>
    <t>4462</t>
  </si>
  <si>
    <t>Figtree Heights Public School</t>
  </si>
  <si>
    <t>Figtree</t>
  </si>
  <si>
    <t>4463</t>
  </si>
  <si>
    <t>Flinders Public School</t>
  </si>
  <si>
    <t>Flinders</t>
  </si>
  <si>
    <t>4464</t>
  </si>
  <si>
    <t>Sanctuary Point Public School</t>
  </si>
  <si>
    <t>Sanctuary Point</t>
  </si>
  <si>
    <t>4466</t>
  </si>
  <si>
    <t>Mawarra Public School</t>
  </si>
  <si>
    <t>Elderslie</t>
  </si>
  <si>
    <t>4467</t>
  </si>
  <si>
    <t>King Park Public School</t>
  </si>
  <si>
    <t>4468</t>
  </si>
  <si>
    <t>Glenroy Public School</t>
  </si>
  <si>
    <t>NORTH ALBURY</t>
  </si>
  <si>
    <t>4469</t>
  </si>
  <si>
    <t>Jewells Primary School</t>
  </si>
  <si>
    <t>Jewells</t>
  </si>
  <si>
    <t>4470</t>
  </si>
  <si>
    <t>Willmot Public School</t>
  </si>
  <si>
    <t>Willmot</t>
  </si>
  <si>
    <t>4471</t>
  </si>
  <si>
    <t>Winston Heights Public School</t>
  </si>
  <si>
    <t>4473</t>
  </si>
  <si>
    <t>Werrington Public School</t>
  </si>
  <si>
    <t>Werrington</t>
  </si>
  <si>
    <t>4474</t>
  </si>
  <si>
    <t>Widemere Public School</t>
  </si>
  <si>
    <t>4475</t>
  </si>
  <si>
    <t>Leonay Public School</t>
  </si>
  <si>
    <t>4476</t>
  </si>
  <si>
    <t>Shalvey Public School</t>
  </si>
  <si>
    <t>Shalvey</t>
  </si>
  <si>
    <t>4478</t>
  </si>
  <si>
    <t>Newling Public School</t>
  </si>
  <si>
    <t>4479</t>
  </si>
  <si>
    <t>John Warby Public School</t>
  </si>
  <si>
    <t>Airds</t>
  </si>
  <si>
    <t>4480</t>
  </si>
  <si>
    <t>Bidwill Public School</t>
  </si>
  <si>
    <t>Bidwill</t>
  </si>
  <si>
    <t>4481</t>
  </si>
  <si>
    <t>St Andrews Public School</t>
  </si>
  <si>
    <t>St Andrews</t>
  </si>
  <si>
    <t>4482</t>
  </si>
  <si>
    <t>York Public School</t>
  </si>
  <si>
    <t>SOUTH PENRITH</t>
  </si>
  <si>
    <t>4483</t>
  </si>
  <si>
    <t>Grose View Public School</t>
  </si>
  <si>
    <t>Grose Vale</t>
  </si>
  <si>
    <t>4484</t>
  </si>
  <si>
    <t>Cambridge Gardens Public School</t>
  </si>
  <si>
    <t>4485</t>
  </si>
  <si>
    <t>Culburra Public School</t>
  </si>
  <si>
    <t>Culburra Beach</t>
  </si>
  <si>
    <t>4486</t>
  </si>
  <si>
    <t>Singleton Heights Public School</t>
  </si>
  <si>
    <t>Singleton Heights</t>
  </si>
  <si>
    <t>4488</t>
  </si>
  <si>
    <t>Kareela Public School</t>
  </si>
  <si>
    <t>KAREELA</t>
  </si>
  <si>
    <t>4489</t>
  </si>
  <si>
    <t>Ruse Public School</t>
  </si>
  <si>
    <t>Ruse</t>
  </si>
  <si>
    <t>4490</t>
  </si>
  <si>
    <t>Campbellfield Public School</t>
  </si>
  <si>
    <t>Minto</t>
  </si>
  <si>
    <t>4491</t>
  </si>
  <si>
    <t>Sackville Street Public School</t>
  </si>
  <si>
    <t>INGLEBURN</t>
  </si>
  <si>
    <t>4492</t>
  </si>
  <si>
    <t>Woodland Road Public School</t>
  </si>
  <si>
    <t>ST HELENS PARK</t>
  </si>
  <si>
    <t>4493</t>
  </si>
  <si>
    <t>Noumea Public School</t>
  </si>
  <si>
    <t>4494</t>
  </si>
  <si>
    <t>Hampden Park Public School</t>
  </si>
  <si>
    <t>4496</t>
  </si>
  <si>
    <t>Dulwich Hill Public School</t>
  </si>
  <si>
    <t>Dulwich Hill</t>
  </si>
  <si>
    <t>4498</t>
  </si>
  <si>
    <t>Minnamurra Public School</t>
  </si>
  <si>
    <t>Minnamurra</t>
  </si>
  <si>
    <t>4499</t>
  </si>
  <si>
    <t>Newbridge Heights Public School</t>
  </si>
  <si>
    <t>CHIPPING NORTON</t>
  </si>
  <si>
    <t>4500</t>
  </si>
  <si>
    <t>Nareena Hills Public School</t>
  </si>
  <si>
    <t>4501</t>
  </si>
  <si>
    <t>Barrack Heights Public School</t>
  </si>
  <si>
    <t>BARRACK HEIGHTS</t>
  </si>
  <si>
    <t>4502</t>
  </si>
  <si>
    <t>Petersham Public School</t>
  </si>
  <si>
    <t>Petersham</t>
  </si>
  <si>
    <t>4503</t>
  </si>
  <si>
    <t>Tyalla Public School</t>
  </si>
  <si>
    <t>4504</t>
  </si>
  <si>
    <t>Crawford Public School</t>
  </si>
  <si>
    <t>Doonside</t>
  </si>
  <si>
    <t>4505</t>
  </si>
  <si>
    <t>Ambarvale Public School</t>
  </si>
  <si>
    <t>Ambarvale</t>
  </si>
  <si>
    <t>4506</t>
  </si>
  <si>
    <t>Toormina Public School</t>
  </si>
  <si>
    <t>Toormina</t>
  </si>
  <si>
    <t>4507</t>
  </si>
  <si>
    <t>Bonnet Bay Public School</t>
  </si>
  <si>
    <t>BONNET BAY</t>
  </si>
  <si>
    <t>4508</t>
  </si>
  <si>
    <t>Valley View Public School</t>
  </si>
  <si>
    <t>4509</t>
  </si>
  <si>
    <t>Sarah Redfern Public School</t>
  </si>
  <si>
    <t>4510</t>
  </si>
  <si>
    <t>Claymore Public School</t>
  </si>
  <si>
    <t>Claymore</t>
  </si>
  <si>
    <t>4514</t>
  </si>
  <si>
    <t>King Street Public School</t>
  </si>
  <si>
    <t>4516</t>
  </si>
  <si>
    <t>Eastlakes Public School</t>
  </si>
  <si>
    <t>Eastlakes</t>
  </si>
  <si>
    <t>4517</t>
  </si>
  <si>
    <t>Gorokan Public School</t>
  </si>
  <si>
    <t>Gorokan</t>
  </si>
  <si>
    <t>4518</t>
  </si>
  <si>
    <t>The Grange Public School</t>
  </si>
  <si>
    <t>4520</t>
  </si>
  <si>
    <t>Bateau Bay Public School</t>
  </si>
  <si>
    <t>BATEAU BAY</t>
  </si>
  <si>
    <t>4521</t>
  </si>
  <si>
    <t>Metford Public School</t>
  </si>
  <si>
    <t>Metford</t>
  </si>
  <si>
    <t>4522</t>
  </si>
  <si>
    <t>Wamberal Public School</t>
  </si>
  <si>
    <t>Wamberal</t>
  </si>
  <si>
    <t>4523</t>
  </si>
  <si>
    <t>Springdale Heights Public School</t>
  </si>
  <si>
    <t>4524</t>
  </si>
  <si>
    <t>Hastings Public School</t>
  </si>
  <si>
    <t>4525</t>
  </si>
  <si>
    <t>Braddock Public School</t>
  </si>
  <si>
    <t>Cranebrook</t>
  </si>
  <si>
    <t>4526</t>
  </si>
  <si>
    <t>Matthew Pearce Public School</t>
  </si>
  <si>
    <t>4527</t>
  </si>
  <si>
    <t>Clairgate Public School</t>
  </si>
  <si>
    <t>St Clair</t>
  </si>
  <si>
    <t>4528</t>
  </si>
  <si>
    <t>Kings Langley Public School</t>
  </si>
  <si>
    <t>Kings Langley</t>
  </si>
  <si>
    <t>4529</t>
  </si>
  <si>
    <t>Glenwood Public School</t>
  </si>
  <si>
    <t>4531</t>
  </si>
  <si>
    <t>St Clair Public School</t>
  </si>
  <si>
    <t>ST CLAIR</t>
  </si>
  <si>
    <t>4533</t>
  </si>
  <si>
    <t>Tuncurry Public School</t>
  </si>
  <si>
    <t>TUNCURRY</t>
  </si>
  <si>
    <t>4534</t>
  </si>
  <si>
    <t>Orama Public School</t>
  </si>
  <si>
    <t>Thora</t>
  </si>
  <si>
    <t>4535</t>
  </si>
  <si>
    <t>Blairmount Public School</t>
  </si>
  <si>
    <t>Blairmount</t>
  </si>
  <si>
    <t>4536</t>
  </si>
  <si>
    <t>Bangor Public School</t>
  </si>
  <si>
    <t>BANGOR</t>
  </si>
  <si>
    <t>4537</t>
  </si>
  <si>
    <t>Rosemeadow Public School</t>
  </si>
  <si>
    <t>Rosemeadow</t>
  </si>
  <si>
    <t>4538</t>
  </si>
  <si>
    <t>Bowen Public School</t>
  </si>
  <si>
    <t>4539</t>
  </si>
  <si>
    <t>Thomas Acres Public School</t>
  </si>
  <si>
    <t>4541</t>
  </si>
  <si>
    <t>Werrington County Public School</t>
  </si>
  <si>
    <t>4542</t>
  </si>
  <si>
    <t>Chittaway Bay Public School</t>
  </si>
  <si>
    <t>CHITTAWAY BAY</t>
  </si>
  <si>
    <t>4543</t>
  </si>
  <si>
    <t>Wilkins Public School</t>
  </si>
  <si>
    <t>4544</t>
  </si>
  <si>
    <t>Jamisontown Public School</t>
  </si>
  <si>
    <t>4545</t>
  </si>
  <si>
    <t>Bonnyrigg Public School</t>
  </si>
  <si>
    <t>BONNYRIGG</t>
  </si>
  <si>
    <t>4546</t>
  </si>
  <si>
    <t>Katoomba Public School</t>
  </si>
  <si>
    <t>4547</t>
  </si>
  <si>
    <t>Tanilba Bay Public School</t>
  </si>
  <si>
    <t>Tanilba Bay</t>
  </si>
  <si>
    <t>4548</t>
  </si>
  <si>
    <t>Copacabana Public School</t>
  </si>
  <si>
    <t>Copacabana</t>
  </si>
  <si>
    <t>4549</t>
  </si>
  <si>
    <t>Orana Heights Public School</t>
  </si>
  <si>
    <t>4551</t>
  </si>
  <si>
    <t>Plunkett Street Public School</t>
  </si>
  <si>
    <t>Woolloomooloo</t>
  </si>
  <si>
    <t>4552</t>
  </si>
  <si>
    <t>Manning Gardens Public School</t>
  </si>
  <si>
    <t>4553</t>
  </si>
  <si>
    <t>Wiley Park Public School</t>
  </si>
  <si>
    <t>Wiley Park</t>
  </si>
  <si>
    <t>4554</t>
  </si>
  <si>
    <t>Prairievale Public School</t>
  </si>
  <si>
    <t>4555</t>
  </si>
  <si>
    <t>Cudgegong Valley Public School</t>
  </si>
  <si>
    <t>4556</t>
  </si>
  <si>
    <t>Wytaliba Public School</t>
  </si>
  <si>
    <t>4557</t>
  </si>
  <si>
    <t>Sandy Beach Public School</t>
  </si>
  <si>
    <t>SANDY BEACH</t>
  </si>
  <si>
    <t>4558</t>
  </si>
  <si>
    <t>Eschol Park Public School</t>
  </si>
  <si>
    <t>Eschol Park</t>
  </si>
  <si>
    <t>4559</t>
  </si>
  <si>
    <t>Blackwell Public School</t>
  </si>
  <si>
    <t>4560</t>
  </si>
  <si>
    <t>Samuel Terry Public School</t>
  </si>
  <si>
    <t>CRANEBROOK</t>
  </si>
  <si>
    <t>4561</t>
  </si>
  <si>
    <t>Rutherford Public School</t>
  </si>
  <si>
    <t>Rutherford</t>
  </si>
  <si>
    <t>4562</t>
  </si>
  <si>
    <t>Sunshine Bay Public School</t>
  </si>
  <si>
    <t>Batehaven</t>
  </si>
  <si>
    <t>4563</t>
  </si>
  <si>
    <t>William Stimson Public School</t>
  </si>
  <si>
    <t>4564</t>
  </si>
  <si>
    <t>Wirreanda Public School</t>
  </si>
  <si>
    <t>4565</t>
  </si>
  <si>
    <t>Clare Public School</t>
  </si>
  <si>
    <t>Clare</t>
  </si>
  <si>
    <t>4566</t>
  </si>
  <si>
    <t>Brooke Avenue Public School</t>
  </si>
  <si>
    <t>KILLARNEY VALE</t>
  </si>
  <si>
    <t>4567</t>
  </si>
  <si>
    <t>Governor Philip King Public School</t>
  </si>
  <si>
    <t>EDENSOR PARK</t>
  </si>
  <si>
    <t>4568</t>
  </si>
  <si>
    <t>Ellison Public School</t>
  </si>
  <si>
    <t>4569</t>
  </si>
  <si>
    <t>Robert Townson Public School</t>
  </si>
  <si>
    <t>Raby</t>
  </si>
  <si>
    <t>4571</t>
  </si>
  <si>
    <t>Banks Public School</t>
  </si>
  <si>
    <t>4572</t>
  </si>
  <si>
    <t>John Purchase Public School</t>
  </si>
  <si>
    <t>4573</t>
  </si>
  <si>
    <t>Tharawal Public School</t>
  </si>
  <si>
    <t>4574</t>
  </si>
  <si>
    <t>Samuel Gilbert Public School</t>
  </si>
  <si>
    <t>4575</t>
  </si>
  <si>
    <t>Wingham Brush Public School</t>
  </si>
  <si>
    <t>WINGHAM</t>
  </si>
  <si>
    <t>4576</t>
  </si>
  <si>
    <t>William Dean Public School</t>
  </si>
  <si>
    <t>Dean Park</t>
  </si>
  <si>
    <t>4577</t>
  </si>
  <si>
    <t>Minchinbury Public School</t>
  </si>
  <si>
    <t>Minchinbury</t>
  </si>
  <si>
    <t>4578</t>
  </si>
  <si>
    <t>Teven-Tintenbar Public School</t>
  </si>
  <si>
    <t>Tintenbar</t>
  </si>
  <si>
    <t>4579</t>
  </si>
  <si>
    <t>James Erskine Public School</t>
  </si>
  <si>
    <t>Erskine Park</t>
  </si>
  <si>
    <t>4580</t>
  </si>
  <si>
    <t>Kariong Public School</t>
  </si>
  <si>
    <t>Kariong</t>
  </si>
  <si>
    <t>4581</t>
  </si>
  <si>
    <t>Frank Partridge VC Public School</t>
  </si>
  <si>
    <t>4583</t>
  </si>
  <si>
    <t>Edensor Park Public School</t>
  </si>
  <si>
    <t>Edensor Park</t>
  </si>
  <si>
    <t>4585</t>
  </si>
  <si>
    <t>Bligh Park Public School</t>
  </si>
  <si>
    <t>Bligh Park</t>
  </si>
  <si>
    <t>4586</t>
  </si>
  <si>
    <t>Sydney Distance Education Primary School</t>
  </si>
  <si>
    <t>4587</t>
  </si>
  <si>
    <t>Dubbo School of Distance Education</t>
  </si>
  <si>
    <t>4588</t>
  </si>
  <si>
    <t>Northlakes Public School</t>
  </si>
  <si>
    <t>SAN REMO</t>
  </si>
  <si>
    <t>4589</t>
  </si>
  <si>
    <t>Shoal Bay Public School</t>
  </si>
  <si>
    <t>Shoal Bay</t>
  </si>
  <si>
    <t>4590</t>
  </si>
  <si>
    <t>Hambledon Public School</t>
  </si>
  <si>
    <t>4591</t>
  </si>
  <si>
    <t>Glenmore Park Public School</t>
  </si>
  <si>
    <t>Glenmore Park</t>
  </si>
  <si>
    <t>4592</t>
  </si>
  <si>
    <t>Vincentia Public School</t>
  </si>
  <si>
    <t>Vincentia</t>
  </si>
  <si>
    <t>4593</t>
  </si>
  <si>
    <t>Kearns Public School</t>
  </si>
  <si>
    <t>Kearns</t>
  </si>
  <si>
    <t>4594</t>
  </si>
  <si>
    <t>Bonnyrigg Heights Public School</t>
  </si>
  <si>
    <t>Bonnyrigg Heights</t>
  </si>
  <si>
    <t>4597</t>
  </si>
  <si>
    <t>Mount Annan Public School</t>
  </si>
  <si>
    <t>Mount Annan</t>
  </si>
  <si>
    <t>4598</t>
  </si>
  <si>
    <t>Hassall Grove Public School</t>
  </si>
  <si>
    <t>Hassall Grove</t>
  </si>
  <si>
    <t>4599</t>
  </si>
  <si>
    <t>Barnier Public School</t>
  </si>
  <si>
    <t>QUAKERS HILL</t>
  </si>
  <si>
    <t>4600</t>
  </si>
  <si>
    <t>Maryland Public School</t>
  </si>
  <si>
    <t>Maryland</t>
  </si>
  <si>
    <t>4601</t>
  </si>
  <si>
    <t>Aldavilla Public School</t>
  </si>
  <si>
    <t>Yarravel</t>
  </si>
  <si>
    <t>4602</t>
  </si>
  <si>
    <t>William Bayldon Public School</t>
  </si>
  <si>
    <t>4603</t>
  </si>
  <si>
    <t>St Helens Park Public School</t>
  </si>
  <si>
    <t>St Helens Park</t>
  </si>
  <si>
    <t>4604</t>
  </si>
  <si>
    <t>Oakhill Drive Public School</t>
  </si>
  <si>
    <t>4605</t>
  </si>
  <si>
    <t>Alfords Point Public School</t>
  </si>
  <si>
    <t>Alfords Point</t>
  </si>
  <si>
    <t>4606</t>
  </si>
  <si>
    <t>Mullaway Public School</t>
  </si>
  <si>
    <t>Mullaway</t>
  </si>
  <si>
    <t>4607</t>
  </si>
  <si>
    <t>Centaur Public School</t>
  </si>
  <si>
    <t>BANORA POINT</t>
  </si>
  <si>
    <t>4608</t>
  </si>
  <si>
    <t>Glendenning Public School</t>
  </si>
  <si>
    <t>Glendenning</t>
  </si>
  <si>
    <t>4609</t>
  </si>
  <si>
    <t>Grahamstown Public School</t>
  </si>
  <si>
    <t>4610</t>
  </si>
  <si>
    <t>Mount Terry Public School</t>
  </si>
  <si>
    <t>4611</t>
  </si>
  <si>
    <t>Hallidays Point Public School</t>
  </si>
  <si>
    <t>DIAMOND BEACH</t>
  </si>
  <si>
    <t>4612</t>
  </si>
  <si>
    <t>Broulee Public School</t>
  </si>
  <si>
    <t>Broulee</t>
  </si>
  <si>
    <t>4613</t>
  </si>
  <si>
    <t>Hinchinbrook Public School</t>
  </si>
  <si>
    <t>Hinchinbrook</t>
  </si>
  <si>
    <t>4614</t>
  </si>
  <si>
    <t>Windsor Park Public School</t>
  </si>
  <si>
    <t>BLIGH PARK</t>
  </si>
  <si>
    <t>4615</t>
  </si>
  <si>
    <t>Caddies Creek Public School</t>
  </si>
  <si>
    <t>4616</t>
  </si>
  <si>
    <t>Buninyong Public School</t>
  </si>
  <si>
    <t>4617</t>
  </si>
  <si>
    <t>Tacking Point Public School</t>
  </si>
  <si>
    <t>4618</t>
  </si>
  <si>
    <t>North Nowra Public School</t>
  </si>
  <si>
    <t>4619</t>
  </si>
  <si>
    <t>Henry Fulton Public School</t>
  </si>
  <si>
    <t>4620</t>
  </si>
  <si>
    <t>Glendore Public School</t>
  </si>
  <si>
    <t>4621</t>
  </si>
  <si>
    <t>Narellan Vale Public School</t>
  </si>
  <si>
    <t>Narellan Vale</t>
  </si>
  <si>
    <t>4622</t>
  </si>
  <si>
    <t>Claremont Meadows Public School</t>
  </si>
  <si>
    <t>Claremont Meadows</t>
  </si>
  <si>
    <t>4623</t>
  </si>
  <si>
    <t>Blue Haven Public School</t>
  </si>
  <si>
    <t>Blue Haven</t>
  </si>
  <si>
    <t>4624</t>
  </si>
  <si>
    <t>Greenway Park Public School</t>
  </si>
  <si>
    <t>Carnes Hill</t>
  </si>
  <si>
    <t>4625</t>
  </si>
  <si>
    <t>Currans Hill Public School</t>
  </si>
  <si>
    <t>Currans Hill</t>
  </si>
  <si>
    <t>4626</t>
  </si>
  <si>
    <t>Callala Public School</t>
  </si>
  <si>
    <t>Callala Bay</t>
  </si>
  <si>
    <t>4627</t>
  </si>
  <si>
    <t>Newington Public School</t>
  </si>
  <si>
    <t>Newington</t>
  </si>
  <si>
    <t>4628</t>
  </si>
  <si>
    <t>Harrington Park Public School</t>
  </si>
  <si>
    <t>HARRINGTON PARK</t>
  </si>
  <si>
    <t>4630</t>
  </si>
  <si>
    <t>Beaumont Hills Public School</t>
  </si>
  <si>
    <t>Beaumont Hills</t>
  </si>
  <si>
    <t>4631</t>
  </si>
  <si>
    <t>Surveyors Creek Public School</t>
  </si>
  <si>
    <t>4632</t>
  </si>
  <si>
    <t>Bogangar Public School</t>
  </si>
  <si>
    <t>Bogangar</t>
  </si>
  <si>
    <t>4633</t>
  </si>
  <si>
    <t>Jerrabomberra Public School</t>
  </si>
  <si>
    <t>Jerrabomberra</t>
  </si>
  <si>
    <t>4634</t>
  </si>
  <si>
    <t>Dalmeny Public School</t>
  </si>
  <si>
    <t>4635</t>
  </si>
  <si>
    <t>Cecil Hills Public School</t>
  </si>
  <si>
    <t>Cecil Hills</t>
  </si>
  <si>
    <t>4637</t>
  </si>
  <si>
    <t>Woongarrah Public School</t>
  </si>
  <si>
    <t>Woongarrah</t>
  </si>
  <si>
    <t>4638</t>
  </si>
  <si>
    <t>Ironbark Ridge Public School</t>
  </si>
  <si>
    <t>4639</t>
  </si>
  <si>
    <t>Kellyville Ridge Public School</t>
  </si>
  <si>
    <t>Kellyville Ridge</t>
  </si>
  <si>
    <t>4640</t>
  </si>
  <si>
    <t>Sherwood Ridge Public School</t>
  </si>
  <si>
    <t>Kellyville</t>
  </si>
  <si>
    <t>4641</t>
  </si>
  <si>
    <t>Shell Cove Public School</t>
  </si>
  <si>
    <t>Shell Cove</t>
  </si>
  <si>
    <t>4642</t>
  </si>
  <si>
    <t>Ashtonfield Public School</t>
  </si>
  <si>
    <t>Ashtonfield</t>
  </si>
  <si>
    <t>4643</t>
  </si>
  <si>
    <t>North East Public School of Distance Education</t>
  </si>
  <si>
    <t>4644</t>
  </si>
  <si>
    <t>Bourke-Walgett School of Distance Education</t>
  </si>
  <si>
    <t>4645</t>
  </si>
  <si>
    <t>Ropes Crossing Public School</t>
  </si>
  <si>
    <t>ROPES CROSSING</t>
  </si>
  <si>
    <t>4646</t>
  </si>
  <si>
    <t>Elderslie Public School</t>
  </si>
  <si>
    <t>4647</t>
  </si>
  <si>
    <t>Middleton Grange Public School</t>
  </si>
  <si>
    <t>Middleton Grange</t>
  </si>
  <si>
    <t>4648</t>
  </si>
  <si>
    <t>John Palmer Public School</t>
  </si>
  <si>
    <t>The Ponds</t>
  </si>
  <si>
    <t>4649</t>
  </si>
  <si>
    <t>Tullimbar Public School</t>
  </si>
  <si>
    <t>Tullimbar Village</t>
  </si>
  <si>
    <t>4650</t>
  </si>
  <si>
    <t>Wilton Public School</t>
  </si>
  <si>
    <t>WILTON</t>
  </si>
  <si>
    <t>4651</t>
  </si>
  <si>
    <t>Oran Park Public School</t>
  </si>
  <si>
    <t>Oran Park</t>
  </si>
  <si>
    <t>4652</t>
  </si>
  <si>
    <t>Marie Bashir Public School</t>
  </si>
  <si>
    <t>4653</t>
  </si>
  <si>
    <t>Riverbank Public School</t>
  </si>
  <si>
    <t>THE PONDS</t>
  </si>
  <si>
    <t>4654</t>
  </si>
  <si>
    <t>Lake Cathie Public School</t>
  </si>
  <si>
    <t>LAKE CATHIE</t>
  </si>
  <si>
    <t>4655</t>
  </si>
  <si>
    <t>Victoria Avenue Public School</t>
  </si>
  <si>
    <t>CONCORD WEST</t>
  </si>
  <si>
    <t>4656</t>
  </si>
  <si>
    <t>Anzac Park Public School</t>
  </si>
  <si>
    <t>CAMMERAY</t>
  </si>
  <si>
    <t>4657</t>
  </si>
  <si>
    <t>Spring Farm Public School</t>
  </si>
  <si>
    <t>Spring Farm</t>
  </si>
  <si>
    <t>4658</t>
  </si>
  <si>
    <t>Lindfield College</t>
  </si>
  <si>
    <t>4659</t>
  </si>
  <si>
    <t>Southern Cross School of Distance Education</t>
  </si>
  <si>
    <t>East Ballina</t>
  </si>
  <si>
    <t>Secondary School</t>
  </si>
  <si>
    <t>4660</t>
  </si>
  <si>
    <t>Bayanami Public School</t>
  </si>
  <si>
    <t>4661</t>
  </si>
  <si>
    <t>Finigan School of Distance Education</t>
  </si>
  <si>
    <t>4662</t>
  </si>
  <si>
    <t>Wentworth Point Public School</t>
  </si>
  <si>
    <t>WENTWORTH POINT</t>
  </si>
  <si>
    <t>4663</t>
  </si>
  <si>
    <t>Bella Vista Public School</t>
  </si>
  <si>
    <t>BELLA VISTA</t>
  </si>
  <si>
    <t>4664</t>
  </si>
  <si>
    <t>North Kellyville Public School</t>
  </si>
  <si>
    <t>NORTH KELLYVILLE</t>
  </si>
  <si>
    <t>4667</t>
  </si>
  <si>
    <t>Gledswood Hills Public School</t>
  </si>
  <si>
    <t>GLEDSWOOD HILLS</t>
  </si>
  <si>
    <t>4668</t>
  </si>
  <si>
    <t>Smalls Road Public School</t>
  </si>
  <si>
    <t>RYDE</t>
  </si>
  <si>
    <t>4669</t>
  </si>
  <si>
    <t>Jordan Springs Public School</t>
  </si>
  <si>
    <t>JORDAN SPRINGS</t>
  </si>
  <si>
    <t>4670</t>
  </si>
  <si>
    <t>Galungara Public School</t>
  </si>
  <si>
    <t>4671</t>
  </si>
  <si>
    <t>Barramurra Public School</t>
  </si>
  <si>
    <t>4672</t>
  </si>
  <si>
    <t>Denham Court Public School</t>
  </si>
  <si>
    <t>Denham Court</t>
  </si>
  <si>
    <t>4673</t>
  </si>
  <si>
    <t>Northbourne Public School</t>
  </si>
  <si>
    <t>Marsden Park</t>
  </si>
  <si>
    <t>4674</t>
  </si>
  <si>
    <t>Estella Public School</t>
  </si>
  <si>
    <t>4675</t>
  </si>
  <si>
    <t>Porters Creek Public School</t>
  </si>
  <si>
    <t>Warnervale</t>
  </si>
  <si>
    <t>4677</t>
  </si>
  <si>
    <t>Nangamay Public School</t>
  </si>
  <si>
    <t>GLENMORE PARK</t>
  </si>
  <si>
    <t>4678</t>
  </si>
  <si>
    <t>Ngarala Public School</t>
  </si>
  <si>
    <t>4679</t>
  </si>
  <si>
    <t>Edmondson Park Public School</t>
  </si>
  <si>
    <t>Edmondson Park</t>
  </si>
  <si>
    <t>4680</t>
  </si>
  <si>
    <t>Googong Public School</t>
  </si>
  <si>
    <t>Googong</t>
  </si>
  <si>
    <t>4681</t>
  </si>
  <si>
    <t>Green Square Public School</t>
  </si>
  <si>
    <t>Zetlands</t>
  </si>
  <si>
    <t>4682</t>
  </si>
  <si>
    <t>Gregory Hills Public School</t>
  </si>
  <si>
    <t>Gregory Hills</t>
  </si>
  <si>
    <t>4683</t>
  </si>
  <si>
    <t>Murrumbateman Public School</t>
  </si>
  <si>
    <t>Murrumbateman</t>
  </si>
  <si>
    <t>4686</t>
  </si>
  <si>
    <t>Tallawong Public School</t>
  </si>
  <si>
    <t>4687</t>
  </si>
  <si>
    <t>Gulyangarri Public School</t>
  </si>
  <si>
    <t>4689</t>
  </si>
  <si>
    <t>Melonba Public School</t>
  </si>
  <si>
    <t>MELONBA</t>
  </si>
  <si>
    <t>4690</t>
  </si>
  <si>
    <t>Jindabyne Public School</t>
  </si>
  <si>
    <t>Jindabyne</t>
  </si>
  <si>
    <t>4691</t>
  </si>
  <si>
    <t>Nirimba Fields Public School</t>
  </si>
  <si>
    <t>Nirimba Fields</t>
  </si>
  <si>
    <t>4694</t>
  </si>
  <si>
    <t>Box Hill Public School</t>
  </si>
  <si>
    <t>Box Hill</t>
  </si>
  <si>
    <t>5103</t>
  </si>
  <si>
    <t>Arncliffe West Infants School</t>
  </si>
  <si>
    <t>5104</t>
  </si>
  <si>
    <t>Australia Street Infants School</t>
  </si>
  <si>
    <t>5109</t>
  </si>
  <si>
    <t>Canterbury South Public School</t>
  </si>
  <si>
    <t>5112</t>
  </si>
  <si>
    <t>Taverners Hill Infants School</t>
  </si>
  <si>
    <t>5114</t>
  </si>
  <si>
    <t>Ferncourt Public School</t>
  </si>
  <si>
    <t>5116</t>
  </si>
  <si>
    <t>Glen Innes West Infants School</t>
  </si>
  <si>
    <t>5118</t>
  </si>
  <si>
    <t>Harcourt Public School</t>
  </si>
  <si>
    <t>5120</t>
  </si>
  <si>
    <t>Yeo Park Infants School</t>
  </si>
  <si>
    <t>5126</t>
  </si>
  <si>
    <t>Merrylands East Public School</t>
  </si>
  <si>
    <t>5128</t>
  </si>
  <si>
    <t>Nillo Infants School</t>
  </si>
  <si>
    <t>LORN</t>
  </si>
  <si>
    <t>5132</t>
  </si>
  <si>
    <t>Russell Lea Public School</t>
  </si>
  <si>
    <t>Russell Lea</t>
  </si>
  <si>
    <t>5133</t>
  </si>
  <si>
    <t>Stanford Merthyr Infants School</t>
  </si>
  <si>
    <t>Stanford Merthyr</t>
  </si>
  <si>
    <t>5141</t>
  </si>
  <si>
    <t>Kyeemagh Public School</t>
  </si>
  <si>
    <t>KYEEMAGH</t>
  </si>
  <si>
    <t>5148</t>
  </si>
  <si>
    <t>Bardwell Park Infants School</t>
  </si>
  <si>
    <t>Bardwell Park</t>
  </si>
  <si>
    <t>5166</t>
  </si>
  <si>
    <t>Casino West Public School</t>
  </si>
  <si>
    <t>5188</t>
  </si>
  <si>
    <t>Sefton Infants School</t>
  </si>
  <si>
    <t>Sefton</t>
  </si>
  <si>
    <t>5191</t>
  </si>
  <si>
    <t>Hornsby South Public School</t>
  </si>
  <si>
    <t>5195</t>
  </si>
  <si>
    <t>Hurstville Grove Infants School</t>
  </si>
  <si>
    <t>5212</t>
  </si>
  <si>
    <t>Beauty Point Public School</t>
  </si>
  <si>
    <t>5220</t>
  </si>
  <si>
    <t>Lansvale Public School</t>
  </si>
  <si>
    <t>CANLEY VALE</t>
  </si>
  <si>
    <t>5236</t>
  </si>
  <si>
    <t>Granville East Public School</t>
  </si>
  <si>
    <t>5238</t>
  </si>
  <si>
    <t>Westlawn Public School</t>
  </si>
  <si>
    <t>5241</t>
  </si>
  <si>
    <t>Mount Lewis Infants School</t>
  </si>
  <si>
    <t>5242</t>
  </si>
  <si>
    <t>Mulyan Public School</t>
  </si>
  <si>
    <t>5246</t>
  </si>
  <si>
    <t>Bankstown South Infants School</t>
  </si>
  <si>
    <t>5247</t>
  </si>
  <si>
    <t>New Lambton Heights Infants School</t>
  </si>
  <si>
    <t>NEW LAMBTON HEIGHTS</t>
  </si>
  <si>
    <t>5251</t>
  </si>
  <si>
    <t>Homebush West Public School</t>
  </si>
  <si>
    <t>HOMEBUSH WEST</t>
  </si>
  <si>
    <t>5260</t>
  </si>
  <si>
    <t>Cardiff North Public School</t>
  </si>
  <si>
    <t>5265</t>
  </si>
  <si>
    <t>Bletchington Public School</t>
  </si>
  <si>
    <t>5272</t>
  </si>
  <si>
    <t>Heathcote East Public School</t>
  </si>
  <si>
    <t>5302</t>
  </si>
  <si>
    <t>School of the Air</t>
  </si>
  <si>
    <t>5401</t>
  </si>
  <si>
    <t>Glenfield Park School</t>
  </si>
  <si>
    <t>5405</t>
  </si>
  <si>
    <t>Fisher Road School</t>
  </si>
  <si>
    <t>5407</t>
  </si>
  <si>
    <t>Cromehurst School</t>
  </si>
  <si>
    <t>Lindfield</t>
  </si>
  <si>
    <t>5411</t>
  </si>
  <si>
    <t>Rowland Hassall School</t>
  </si>
  <si>
    <t>5423</t>
  </si>
  <si>
    <t>John Brotchie Nursery School</t>
  </si>
  <si>
    <t>Other School</t>
  </si>
  <si>
    <t>5428</t>
  </si>
  <si>
    <t>Field of Mars Environmental Education Centre</t>
  </si>
  <si>
    <t>East Ryde</t>
  </si>
  <si>
    <t>Environmental Education Centre</t>
  </si>
  <si>
    <t>5429</t>
  </si>
  <si>
    <t>Camden Park Environmental Education Centre</t>
  </si>
  <si>
    <t>Menangle</t>
  </si>
  <si>
    <t>5430</t>
  </si>
  <si>
    <t>Georges River Environmental Education Centre</t>
  </si>
  <si>
    <t>5453</t>
  </si>
  <si>
    <t>Putland School</t>
  </si>
  <si>
    <t>5454</t>
  </si>
  <si>
    <t>Dorchester School</t>
  </si>
  <si>
    <t>5456</t>
  </si>
  <si>
    <t>Girrakool School</t>
  </si>
  <si>
    <t>Boys</t>
  </si>
  <si>
    <t>5458</t>
  </si>
  <si>
    <t>Awabakal Environmental Education Centre</t>
  </si>
  <si>
    <t>SHORTLAND</t>
  </si>
  <si>
    <t>5459</t>
  </si>
  <si>
    <t>Tallowood School</t>
  </si>
  <si>
    <t>5460</t>
  </si>
  <si>
    <t>Yudi Gunyi School</t>
  </si>
  <si>
    <t>Waterloo</t>
  </si>
  <si>
    <t>5504</t>
  </si>
  <si>
    <t>Royal Far West School</t>
  </si>
  <si>
    <t>MANLY</t>
  </si>
  <si>
    <t>5508</t>
  </si>
  <si>
    <t>Beverley Park School</t>
  </si>
  <si>
    <t>5511</t>
  </si>
  <si>
    <t>Newcastle Senior School</t>
  </si>
  <si>
    <t>5513</t>
  </si>
  <si>
    <t>St George Hospital School</t>
  </si>
  <si>
    <t>5515</t>
  </si>
  <si>
    <t>Stewart House School</t>
  </si>
  <si>
    <t>Harbord</t>
  </si>
  <si>
    <t>5516</t>
  </si>
  <si>
    <t>Centennial Park School</t>
  </si>
  <si>
    <t>5527</t>
  </si>
  <si>
    <t>St George School</t>
  </si>
  <si>
    <t>5529</t>
  </si>
  <si>
    <t>Broderick Gillawarna School</t>
  </si>
  <si>
    <t>5538</t>
  </si>
  <si>
    <t>Arndell School</t>
  </si>
  <si>
    <t>5540</t>
  </si>
  <si>
    <t>Bridge Road School</t>
  </si>
  <si>
    <t>Camperdown</t>
  </si>
  <si>
    <t>5543</t>
  </si>
  <si>
    <t>Royal Prince Alfred Hospital School</t>
  </si>
  <si>
    <t>CAMPERDOWN</t>
  </si>
  <si>
    <t>5544</t>
  </si>
  <si>
    <t>Royal North Shore Hospital School</t>
  </si>
  <si>
    <t>St Leonards</t>
  </si>
  <si>
    <t>5545</t>
  </si>
  <si>
    <t>Sydney Childrens Hospital School</t>
  </si>
  <si>
    <t>5546</t>
  </si>
  <si>
    <t>Sutherland Hospital School</t>
  </si>
  <si>
    <t>5548</t>
  </si>
  <si>
    <t>Bankstown Hospital School</t>
  </si>
  <si>
    <t>5550</t>
  </si>
  <si>
    <t>Willans Hill School</t>
  </si>
  <si>
    <t>5551</t>
  </si>
  <si>
    <t>Illawarra Hospital School</t>
  </si>
  <si>
    <t>5556</t>
  </si>
  <si>
    <t>Liverpool Hospital School</t>
  </si>
  <si>
    <t>5558</t>
  </si>
  <si>
    <t>John Hunter Hospital School</t>
  </si>
  <si>
    <t>New Lambton Heights</t>
  </si>
  <si>
    <t>5559</t>
  </si>
  <si>
    <t>Redbank School</t>
  </si>
  <si>
    <t>5562</t>
  </si>
  <si>
    <t>Fowler Road School</t>
  </si>
  <si>
    <t>5563</t>
  </si>
  <si>
    <t>Passfield Park School</t>
  </si>
  <si>
    <t>5568</t>
  </si>
  <si>
    <t>Wangee Park School</t>
  </si>
  <si>
    <t>5569</t>
  </si>
  <si>
    <t>Bullimbal School</t>
  </si>
  <si>
    <t>SOUTH TAMWORTH</t>
  </si>
  <si>
    <t>5573</t>
  </si>
  <si>
    <t>Caldera School</t>
  </si>
  <si>
    <t>TWEED HEADS SOUTH</t>
  </si>
  <si>
    <t>5574</t>
  </si>
  <si>
    <t>Casuarina School</t>
  </si>
  <si>
    <t>5575</t>
  </si>
  <si>
    <t>Cook School</t>
  </si>
  <si>
    <t>5576</t>
  </si>
  <si>
    <t>Highlands School</t>
  </si>
  <si>
    <t>RENWICK</t>
  </si>
  <si>
    <t>5577</t>
  </si>
  <si>
    <t>Mian School</t>
  </si>
  <si>
    <t>DUBBO</t>
  </si>
  <si>
    <t>5578</t>
  </si>
  <si>
    <t>Naremburn School</t>
  </si>
  <si>
    <t>Naremburn</t>
  </si>
  <si>
    <t>5579</t>
  </si>
  <si>
    <t>The Beach School</t>
  </si>
  <si>
    <t>Allambie</t>
  </si>
  <si>
    <t>5580</t>
  </si>
  <si>
    <t>Parry School</t>
  </si>
  <si>
    <t>5581</t>
  </si>
  <si>
    <t>Karningul School</t>
  </si>
  <si>
    <t>5582</t>
  </si>
  <si>
    <t>Wakefield School</t>
  </si>
  <si>
    <t>Wakefield</t>
  </si>
  <si>
    <t>5583</t>
  </si>
  <si>
    <t>Verona School</t>
  </si>
  <si>
    <t>5606</t>
  </si>
  <si>
    <t>Cairnsfoot School</t>
  </si>
  <si>
    <t>5609</t>
  </si>
  <si>
    <t>Woniora Road School</t>
  </si>
  <si>
    <t>5610</t>
  </si>
  <si>
    <t>Carenne School</t>
  </si>
  <si>
    <t>5614</t>
  </si>
  <si>
    <t>William Rose School</t>
  </si>
  <si>
    <t>5616</t>
  </si>
  <si>
    <t>Minerva School</t>
  </si>
  <si>
    <t>5621</t>
  </si>
  <si>
    <t>Kurrambee School</t>
  </si>
  <si>
    <t>5625</t>
  </si>
  <si>
    <t>Anson Street School</t>
  </si>
  <si>
    <t>5627</t>
  </si>
  <si>
    <t>Glenvale School</t>
  </si>
  <si>
    <t>Narara</t>
  </si>
  <si>
    <t>5630</t>
  </si>
  <si>
    <t>Mainsbridge School</t>
  </si>
  <si>
    <t>5631</t>
  </si>
  <si>
    <t>Wairoa School</t>
  </si>
  <si>
    <t>5632</t>
  </si>
  <si>
    <t>Lawrence Hargrave School</t>
  </si>
  <si>
    <t>5633</t>
  </si>
  <si>
    <t>Holroyd School</t>
  </si>
  <si>
    <t>5634</t>
  </si>
  <si>
    <t>The Crescent School</t>
  </si>
  <si>
    <t>5637</t>
  </si>
  <si>
    <t>Coreen School</t>
  </si>
  <si>
    <t>5642</t>
  </si>
  <si>
    <t>Halinda School</t>
  </si>
  <si>
    <t>5643</t>
  </si>
  <si>
    <t>Niland School</t>
  </si>
  <si>
    <t>5644</t>
  </si>
  <si>
    <t>Para Meadows School</t>
  </si>
  <si>
    <t>North Wollongong</t>
  </si>
  <si>
    <t>5647</t>
  </si>
  <si>
    <t>Bates Drive School</t>
  </si>
  <si>
    <t>Kareela</t>
  </si>
  <si>
    <t>5650</t>
  </si>
  <si>
    <t>Palm Avenue School</t>
  </si>
  <si>
    <t>5652</t>
  </si>
  <si>
    <t>Caroline Chisholm School</t>
  </si>
  <si>
    <t>5653</t>
  </si>
  <si>
    <t>Wewak Street School</t>
  </si>
  <si>
    <t>North Albury</t>
  </si>
  <si>
    <t>5654</t>
  </si>
  <si>
    <t>Rivendell School</t>
  </si>
  <si>
    <t>5655</t>
  </si>
  <si>
    <t>Clarke Road School</t>
  </si>
  <si>
    <t>5656</t>
  </si>
  <si>
    <t>Arranounbai School</t>
  </si>
  <si>
    <t>5666</t>
  </si>
  <si>
    <t>Peterborough School</t>
  </si>
  <si>
    <t>WARILLA</t>
  </si>
  <si>
    <t>5667</t>
  </si>
  <si>
    <t>Wooglemai Environmental Education Centre</t>
  </si>
  <si>
    <t>5670</t>
  </si>
  <si>
    <t>Karonga School</t>
  </si>
  <si>
    <t>5674</t>
  </si>
  <si>
    <t>Snowy Valleys School</t>
  </si>
  <si>
    <t>5675</t>
  </si>
  <si>
    <t>Sir Eric Woodward Memorial School</t>
  </si>
  <si>
    <t>5679</t>
  </si>
  <si>
    <t>Bournda Environmental Education Centre</t>
  </si>
  <si>
    <t>Kalaru</t>
  </si>
  <si>
    <t>5680</t>
  </si>
  <si>
    <t>Thalgarrah Environmental Education Centre</t>
  </si>
  <si>
    <t>5681</t>
  </si>
  <si>
    <t>Wambangalang Environmental Education Centre</t>
  </si>
  <si>
    <t>5683</t>
  </si>
  <si>
    <t>Dorroughby Environmental Education Centre</t>
  </si>
  <si>
    <t>Dorroughby</t>
  </si>
  <si>
    <t>5684</t>
  </si>
  <si>
    <t>Tangara School</t>
  </si>
  <si>
    <t>5685</t>
  </si>
  <si>
    <t>G S Kidd Memorial School</t>
  </si>
  <si>
    <t>5686</t>
  </si>
  <si>
    <t>Lakeside School</t>
  </si>
  <si>
    <t>5687</t>
  </si>
  <si>
    <t>Hunter River Community School</t>
  </si>
  <si>
    <t>METFORD</t>
  </si>
  <si>
    <t>5688</t>
  </si>
  <si>
    <t>The Hills School</t>
  </si>
  <si>
    <t>Northmead</t>
  </si>
  <si>
    <t>5689</t>
  </si>
  <si>
    <t>Wilson Park School</t>
  </si>
  <si>
    <t>EAST LISMORE</t>
  </si>
  <si>
    <t>5690</t>
  </si>
  <si>
    <t>Longneck Lagoon Environmental Education Centre</t>
  </si>
  <si>
    <t>5691</t>
  </si>
  <si>
    <t>Royal National Park Environmental Education Centre</t>
  </si>
  <si>
    <t>ROYAL NATIONAL PARK</t>
  </si>
  <si>
    <t>5694</t>
  </si>
  <si>
    <t>Brewongle Environmental Education Centre</t>
  </si>
  <si>
    <t>SACKVILLE NORTH</t>
  </si>
  <si>
    <t>5696</t>
  </si>
  <si>
    <t>Sandon Public School</t>
  </si>
  <si>
    <t>5698</t>
  </si>
  <si>
    <t>Havenlee School</t>
  </si>
  <si>
    <t>5699</t>
  </si>
  <si>
    <t>Kalinda School</t>
  </si>
  <si>
    <t>5701</t>
  </si>
  <si>
    <t>Newcastle Middle School</t>
  </si>
  <si>
    <t>Waratah</t>
  </si>
  <si>
    <t>5703</t>
  </si>
  <si>
    <t>Carinya School</t>
  </si>
  <si>
    <t>5704</t>
  </si>
  <si>
    <t>Newcastle Junior School</t>
  </si>
  <si>
    <t>Hillsborough</t>
  </si>
  <si>
    <t>5711</t>
  </si>
  <si>
    <t>Shepherds Park School</t>
  </si>
  <si>
    <t>5712</t>
  </si>
  <si>
    <t>Les Powell School</t>
  </si>
  <si>
    <t>5713</t>
  </si>
  <si>
    <t>Lucas Gardens School</t>
  </si>
  <si>
    <t>5714</t>
  </si>
  <si>
    <t>Gibberagong Environmental Education Centre</t>
  </si>
  <si>
    <t>5721</t>
  </si>
  <si>
    <t>Mary Brooksbank School</t>
  </si>
  <si>
    <t>5723</t>
  </si>
  <si>
    <t>Five Islands School</t>
  </si>
  <si>
    <t>5730</t>
  </si>
  <si>
    <t>Gralee School</t>
  </si>
  <si>
    <t>5731</t>
  </si>
  <si>
    <t>Cascade Environmental Education Centre</t>
  </si>
  <si>
    <t>Cascade</t>
  </si>
  <si>
    <t>5732</t>
  </si>
  <si>
    <t>Warrumbungle National Park Environmental Education Centre</t>
  </si>
  <si>
    <t>5734</t>
  </si>
  <si>
    <t>Riverina Environmental Education Centre</t>
  </si>
  <si>
    <t>5735</t>
  </si>
  <si>
    <t>Campbell House School</t>
  </si>
  <si>
    <t>5736</t>
  </si>
  <si>
    <t>Holman Place School</t>
  </si>
  <si>
    <t>5737</t>
  </si>
  <si>
    <t>Edgeware School</t>
  </si>
  <si>
    <t>Hurlstone Park</t>
  </si>
  <si>
    <t>5738</t>
  </si>
  <si>
    <t>Kotara School</t>
  </si>
  <si>
    <t>Kotara</t>
  </si>
  <si>
    <t>5740</t>
  </si>
  <si>
    <t>Rumbalara Environmental Education Centre</t>
  </si>
  <si>
    <t>5741</t>
  </si>
  <si>
    <t>Kamay Botany Bay Environmental Education Centre</t>
  </si>
  <si>
    <t>5743</t>
  </si>
  <si>
    <t>Illawarra Environmental Education Centre</t>
  </si>
  <si>
    <t>Dunmore</t>
  </si>
  <si>
    <t>5744</t>
  </si>
  <si>
    <t>Kandeer School</t>
  </si>
  <si>
    <t>5745</t>
  </si>
  <si>
    <t>Observatory Hill Environmental Education Centre</t>
  </si>
  <si>
    <t>THE ROCKS</t>
  </si>
  <si>
    <t>5748</t>
  </si>
  <si>
    <t>Ajuga School</t>
  </si>
  <si>
    <t>5749</t>
  </si>
  <si>
    <t>Budawang School</t>
  </si>
  <si>
    <t>5750</t>
  </si>
  <si>
    <t>Red Hill Environmental Education Centre</t>
  </si>
  <si>
    <t>Gulgong</t>
  </si>
  <si>
    <t>5751</t>
  </si>
  <si>
    <t>The Childrens Hospital School</t>
  </si>
  <si>
    <t>5752</t>
  </si>
  <si>
    <t>Penrith Lakes Environmental Education Centre</t>
  </si>
  <si>
    <t>5753</t>
  </si>
  <si>
    <t>Lomandra School</t>
  </si>
  <si>
    <t>5754</t>
  </si>
  <si>
    <t>Plumpton House School</t>
  </si>
  <si>
    <t>5755</t>
  </si>
  <si>
    <t>HopeTown School</t>
  </si>
  <si>
    <t>5756</t>
  </si>
  <si>
    <t>Induna School</t>
  </si>
  <si>
    <t>5757</t>
  </si>
  <si>
    <t>Lincoln School</t>
  </si>
  <si>
    <t>5758</t>
  </si>
  <si>
    <t>The Bidgee School</t>
  </si>
  <si>
    <t>5759</t>
  </si>
  <si>
    <t>Canterbury Vale School</t>
  </si>
  <si>
    <t>5760</t>
  </si>
  <si>
    <t>North Gosford Learning Centre</t>
  </si>
  <si>
    <t>North Gosford</t>
  </si>
  <si>
    <t>5761</t>
  </si>
  <si>
    <t>Penrith Valley School</t>
  </si>
  <si>
    <t>5762</t>
  </si>
  <si>
    <t>Barwon Learning Centre</t>
  </si>
  <si>
    <t>5763</t>
  </si>
  <si>
    <t>Coffs Harbour Learning Centre</t>
  </si>
  <si>
    <t>BOAMBEE EAST</t>
  </si>
  <si>
    <t>5764</t>
  </si>
  <si>
    <t>Woodberry Learning Centre</t>
  </si>
  <si>
    <t>5765</t>
  </si>
  <si>
    <t>The Ponds School</t>
  </si>
  <si>
    <t>5766</t>
  </si>
  <si>
    <t>Yandelora School</t>
  </si>
  <si>
    <t>5767</t>
  </si>
  <si>
    <t>George Bass School</t>
  </si>
  <si>
    <t>BASS HILL</t>
  </si>
  <si>
    <t>5768</t>
  </si>
  <si>
    <t>Fernhill School</t>
  </si>
  <si>
    <t>5769</t>
  </si>
  <si>
    <t>Yawarra Community School</t>
  </si>
  <si>
    <t>5770</t>
  </si>
  <si>
    <t>Tirriwirri School</t>
  </si>
  <si>
    <t>Karabar</t>
  </si>
  <si>
    <t>5771</t>
  </si>
  <si>
    <t>South Creek School</t>
  </si>
  <si>
    <t>RIVERSTONE</t>
  </si>
  <si>
    <t>7301</t>
  </si>
  <si>
    <t>Canowindra Public School</t>
  </si>
  <si>
    <t>CANOWINDRA</t>
  </si>
  <si>
    <t>7302</t>
  </si>
  <si>
    <t>Carlingford Public School</t>
  </si>
  <si>
    <t>7303</t>
  </si>
  <si>
    <t>Gloucester Public School</t>
  </si>
  <si>
    <t>Gloucester</t>
  </si>
  <si>
    <t>7305</t>
  </si>
  <si>
    <t>Manilla Central School</t>
  </si>
  <si>
    <t>Manilla</t>
  </si>
  <si>
    <t>7307</t>
  </si>
  <si>
    <t>Orange Public School</t>
  </si>
  <si>
    <t>7308</t>
  </si>
  <si>
    <t>Plattsburg Public School</t>
  </si>
  <si>
    <t>7311</t>
  </si>
  <si>
    <t>Scone Public School</t>
  </si>
  <si>
    <t>Scone</t>
  </si>
  <si>
    <t>7314</t>
  </si>
  <si>
    <t>Wingham Public School</t>
  </si>
  <si>
    <t>7316</t>
  </si>
  <si>
    <t>Dorrigo Public School</t>
  </si>
  <si>
    <t>7401</t>
  </si>
  <si>
    <t>Arncliffe Public School</t>
  </si>
  <si>
    <t>7403</t>
  </si>
  <si>
    <t>Auburn Public School</t>
  </si>
  <si>
    <t>7404</t>
  </si>
  <si>
    <t>Balmain Public School</t>
  </si>
  <si>
    <t>BALMAIN</t>
  </si>
  <si>
    <t>7405</t>
  </si>
  <si>
    <t>Bankstown Public School</t>
  </si>
  <si>
    <t>7406</t>
  </si>
  <si>
    <t>Bexley Public School</t>
  </si>
  <si>
    <t>7407</t>
  </si>
  <si>
    <t>Bondi Public School</t>
  </si>
  <si>
    <t>Bondi</t>
  </si>
  <si>
    <t>7408</t>
  </si>
  <si>
    <t>Bourke Street Public School</t>
  </si>
  <si>
    <t>7409</t>
  </si>
  <si>
    <t>Chatswood Public School</t>
  </si>
  <si>
    <t>Chatswood</t>
  </si>
  <si>
    <t>7411</t>
  </si>
  <si>
    <t>Croydon Public School</t>
  </si>
  <si>
    <t>Croydon</t>
  </si>
  <si>
    <t>7412</t>
  </si>
  <si>
    <t>Croydon Park Public School</t>
  </si>
  <si>
    <t>Croydon Park</t>
  </si>
  <si>
    <t>7413</t>
  </si>
  <si>
    <t>Daceyville Public School</t>
  </si>
  <si>
    <t>Daceyville</t>
  </si>
  <si>
    <t>7414</t>
  </si>
  <si>
    <t>Darlinghurst Public School</t>
  </si>
  <si>
    <t>Potts Point</t>
  </si>
  <si>
    <t>7416</t>
  </si>
  <si>
    <t>Eastwood Public School</t>
  </si>
  <si>
    <t>7418</t>
  </si>
  <si>
    <t>Gardeners Road Public School</t>
  </si>
  <si>
    <t>ROSEBERY</t>
  </si>
  <si>
    <t>7419</t>
  </si>
  <si>
    <t>Glebe Public School</t>
  </si>
  <si>
    <t>Glebe</t>
  </si>
  <si>
    <t>7420</t>
  </si>
  <si>
    <t>Hamilton Public School</t>
  </si>
  <si>
    <t>Hamilton</t>
  </si>
  <si>
    <t>7422</t>
  </si>
  <si>
    <t>Kurri Kurri Public School</t>
  </si>
  <si>
    <t>Kurri Kurri</t>
  </si>
  <si>
    <t>7423</t>
  </si>
  <si>
    <t>Leichhardt Public School</t>
  </si>
  <si>
    <t>7424</t>
  </si>
  <si>
    <t>Liverpool Public School</t>
  </si>
  <si>
    <t>7427</t>
  </si>
  <si>
    <t>Maroubra Junction Public School</t>
  </si>
  <si>
    <t>7430</t>
  </si>
  <si>
    <t>Mosman Public School</t>
  </si>
  <si>
    <t>7431</t>
  </si>
  <si>
    <t>Newtown Public School</t>
  </si>
  <si>
    <t>7432</t>
  </si>
  <si>
    <t>Paddington Public School</t>
  </si>
  <si>
    <t>7435</t>
  </si>
  <si>
    <t>Rozelle Public School</t>
  </si>
  <si>
    <t>Rozelle</t>
  </si>
  <si>
    <t>7436</t>
  </si>
  <si>
    <t>Stanmore Public School</t>
  </si>
  <si>
    <t>Stanmore</t>
  </si>
  <si>
    <t>7442</t>
  </si>
  <si>
    <t>Woollahra Public School</t>
  </si>
  <si>
    <t>WOOLLAHRA</t>
  </si>
  <si>
    <t>7444</t>
  </si>
  <si>
    <t>Rosehill Public School</t>
  </si>
  <si>
    <t>ROSEHILL</t>
  </si>
  <si>
    <t>7445</t>
  </si>
  <si>
    <t>Woy Woy Public School</t>
  </si>
  <si>
    <t>8101</t>
  </si>
  <si>
    <t>Albury High School</t>
  </si>
  <si>
    <t>8103</t>
  </si>
  <si>
    <t>Denison College of Secondary Education, Bathurst High Campus</t>
  </si>
  <si>
    <t>8104</t>
  </si>
  <si>
    <t>Bowral High School</t>
  </si>
  <si>
    <t>Bowral</t>
  </si>
  <si>
    <t>8105</t>
  </si>
  <si>
    <t>Broken Hill High School</t>
  </si>
  <si>
    <t>8107</t>
  </si>
  <si>
    <t>Canterbury Boys High School</t>
  </si>
  <si>
    <t>8108</t>
  </si>
  <si>
    <t>Cessnock High School</t>
  </si>
  <si>
    <t>8109</t>
  </si>
  <si>
    <t>Coffs Harbour High School</t>
  </si>
  <si>
    <t>8110</t>
  </si>
  <si>
    <t>Dubbo College Senior Campus</t>
  </si>
  <si>
    <t>8111</t>
  </si>
  <si>
    <t>Farrer Memorial Agricultural High School</t>
  </si>
  <si>
    <t>Calala</t>
  </si>
  <si>
    <t>Fully Selective</t>
  </si>
  <si>
    <t>8114</t>
  </si>
  <si>
    <t>Glen Innes High School</t>
  </si>
  <si>
    <t>8115</t>
  </si>
  <si>
    <t>Gosford High School</t>
  </si>
  <si>
    <t>8116</t>
  </si>
  <si>
    <t>Goulburn High School</t>
  </si>
  <si>
    <t>8117</t>
  </si>
  <si>
    <t>Grafton High School</t>
  </si>
  <si>
    <t>GRAFTON</t>
  </si>
  <si>
    <t>Partially Selective</t>
  </si>
  <si>
    <t>8118</t>
  </si>
  <si>
    <t>Griffith High School</t>
  </si>
  <si>
    <t>8119</t>
  </si>
  <si>
    <t>Hay War Memorial High School</t>
  </si>
  <si>
    <t>8120</t>
  </si>
  <si>
    <t>Hornsby Girls High School</t>
  </si>
  <si>
    <t>Girls</t>
  </si>
  <si>
    <t>8121</t>
  </si>
  <si>
    <t>Hurlstone Agricultural High School</t>
  </si>
  <si>
    <t>8122</t>
  </si>
  <si>
    <t>Inverell High School</t>
  </si>
  <si>
    <t>8123</t>
  </si>
  <si>
    <t>Kempsey High School</t>
  </si>
  <si>
    <t>8124</t>
  </si>
  <si>
    <t>The Rivers Secondary College, Lismore High Campus</t>
  </si>
  <si>
    <t>8125</t>
  </si>
  <si>
    <t>Lithgow High School</t>
  </si>
  <si>
    <t>LITHGOW</t>
  </si>
  <si>
    <t>8126</t>
  </si>
  <si>
    <t>Maitland High School</t>
  </si>
  <si>
    <t>8127</t>
  </si>
  <si>
    <t>Maitland Grossmann High School</t>
  </si>
  <si>
    <t>East Maitland</t>
  </si>
  <si>
    <t>8128</t>
  </si>
  <si>
    <t>Mudgee High School</t>
  </si>
  <si>
    <t>8129</t>
  </si>
  <si>
    <t>Murwillumbah High School</t>
  </si>
  <si>
    <t>8132</t>
  </si>
  <si>
    <t>North Sydney Boys High School</t>
  </si>
  <si>
    <t>8133</t>
  </si>
  <si>
    <t>North Sydney Girls High School</t>
  </si>
  <si>
    <t>Crows Nest</t>
  </si>
  <si>
    <t>8134</t>
  </si>
  <si>
    <t>Orange High School</t>
  </si>
  <si>
    <t>8135</t>
  </si>
  <si>
    <t>Parramatta High School</t>
  </si>
  <si>
    <t>8136</t>
  </si>
  <si>
    <t>St George Girls High School</t>
  </si>
  <si>
    <t>8137</t>
  </si>
  <si>
    <t>Sydney Boys High School</t>
  </si>
  <si>
    <t>MOORE PARK</t>
  </si>
  <si>
    <t>8138</t>
  </si>
  <si>
    <t>Sydney Girls High School</t>
  </si>
  <si>
    <t>8139</t>
  </si>
  <si>
    <t>Tamworth High School</t>
  </si>
  <si>
    <t>South Tamworth</t>
  </si>
  <si>
    <t>8140</t>
  </si>
  <si>
    <t>Taree High School</t>
  </si>
  <si>
    <t>8141</t>
  </si>
  <si>
    <t>Sydney Technical High School</t>
  </si>
  <si>
    <t>8142</t>
  </si>
  <si>
    <t>Wagga Wagga High School</t>
  </si>
  <si>
    <t>8143</t>
  </si>
  <si>
    <t>Wollongong High School of the Performing Arts</t>
  </si>
  <si>
    <t>8144</t>
  </si>
  <si>
    <t>Yanco Agricultural High School</t>
  </si>
  <si>
    <t>8146</t>
  </si>
  <si>
    <t>Parkes High School</t>
  </si>
  <si>
    <t>8147</t>
  </si>
  <si>
    <t>Conservatorium High School</t>
  </si>
  <si>
    <t>8148</t>
  </si>
  <si>
    <t>Cowra High School</t>
  </si>
  <si>
    <t>8150</t>
  </si>
  <si>
    <t>Katoomba High School</t>
  </si>
  <si>
    <t>8151</t>
  </si>
  <si>
    <t>Homebush Boys High School</t>
  </si>
  <si>
    <t>8152</t>
  </si>
  <si>
    <t>Burwood Girls High School</t>
  </si>
  <si>
    <t>CROYDON</t>
  </si>
  <si>
    <t>8154</t>
  </si>
  <si>
    <t>Casino High School</t>
  </si>
  <si>
    <t>8155</t>
  </si>
  <si>
    <t>Young High School</t>
  </si>
  <si>
    <t>8156</t>
  </si>
  <si>
    <t>Leeton High School</t>
  </si>
  <si>
    <t>8157</t>
  </si>
  <si>
    <t>Narrandera High School</t>
  </si>
  <si>
    <t>8159</t>
  </si>
  <si>
    <t>Willoughby Girls High School</t>
  </si>
  <si>
    <t>8162</t>
  </si>
  <si>
    <t>Macksville High School</t>
  </si>
  <si>
    <t>8163</t>
  </si>
  <si>
    <t>Penrith High School</t>
  </si>
  <si>
    <t>8164</t>
  </si>
  <si>
    <t>Muswellbrook High School</t>
  </si>
  <si>
    <t>MUSWELLBROOK</t>
  </si>
  <si>
    <t>8165</t>
  </si>
  <si>
    <t>Bega High School</t>
  </si>
  <si>
    <t>8166</t>
  </si>
  <si>
    <t>Wyong High School</t>
  </si>
  <si>
    <t>WYONG</t>
  </si>
  <si>
    <t>8168</t>
  </si>
  <si>
    <t>Temora High School</t>
  </si>
  <si>
    <t>8169</t>
  </si>
  <si>
    <t>Strathfield Girls High School</t>
  </si>
  <si>
    <t>8170</t>
  </si>
  <si>
    <t>Narrabri High School</t>
  </si>
  <si>
    <t>NARRABRI</t>
  </si>
  <si>
    <t>8171</t>
  </si>
  <si>
    <t>Kiama High School</t>
  </si>
  <si>
    <t>8173</t>
  </si>
  <si>
    <t>Wauchope High School</t>
  </si>
  <si>
    <t>8174</t>
  </si>
  <si>
    <t>Quirindi High School</t>
  </si>
  <si>
    <t>8176</t>
  </si>
  <si>
    <t>Liverpool Girls High School</t>
  </si>
  <si>
    <t>8177</t>
  </si>
  <si>
    <t>Kurri Kurri High School</t>
  </si>
  <si>
    <t>8178</t>
  </si>
  <si>
    <t>Richmond High School</t>
  </si>
  <si>
    <t>Richmond</t>
  </si>
  <si>
    <t>8179</t>
  </si>
  <si>
    <t>Junee High School</t>
  </si>
  <si>
    <t>8180</t>
  </si>
  <si>
    <t>Campbelltown Performing Arts High School</t>
  </si>
  <si>
    <t>8184</t>
  </si>
  <si>
    <t>Punchbowl Boys High School</t>
  </si>
  <si>
    <t>Punchbowl</t>
  </si>
  <si>
    <t>8186</t>
  </si>
  <si>
    <t>Liverpool Boys High School</t>
  </si>
  <si>
    <t>LIVERPOOL</t>
  </si>
  <si>
    <t>8187</t>
  </si>
  <si>
    <t>East Hills Girls Technology High School</t>
  </si>
  <si>
    <t>8188</t>
  </si>
  <si>
    <t>Gunnedah High School</t>
  </si>
  <si>
    <t>8189</t>
  </si>
  <si>
    <t>Kyogle High School</t>
  </si>
  <si>
    <t>8190</t>
  </si>
  <si>
    <t>Cootamundra High School</t>
  </si>
  <si>
    <t>8191</t>
  </si>
  <si>
    <t>Corrimal High School</t>
  </si>
  <si>
    <t>8193</t>
  </si>
  <si>
    <t>Mullumbimby High School</t>
  </si>
  <si>
    <t>8194</t>
  </si>
  <si>
    <t>Forbes High School</t>
  </si>
  <si>
    <t>8195</t>
  </si>
  <si>
    <t>Ballina Coast High School</t>
  </si>
  <si>
    <t>BALLINA</t>
  </si>
  <si>
    <t>8196</t>
  </si>
  <si>
    <t>Monaro High School</t>
  </si>
  <si>
    <t>8197</t>
  </si>
  <si>
    <t>Wellington High School</t>
  </si>
  <si>
    <t>8201</t>
  </si>
  <si>
    <t>Nowra High School</t>
  </si>
  <si>
    <t>8202</t>
  </si>
  <si>
    <t>Singleton High School</t>
  </si>
  <si>
    <t>8203</t>
  </si>
  <si>
    <t>Belmont High School</t>
  </si>
  <si>
    <t>8204</t>
  </si>
  <si>
    <t>Dapto High School</t>
  </si>
  <si>
    <t>8205</t>
  </si>
  <si>
    <t>Illawarra Sports High School</t>
  </si>
  <si>
    <t>8206</t>
  </si>
  <si>
    <t>East Hills Boys High School</t>
  </si>
  <si>
    <t>8207</t>
  </si>
  <si>
    <t>Hunters Hill High School</t>
  </si>
  <si>
    <t>8208</t>
  </si>
  <si>
    <t>Cheltenham Girls High School</t>
  </si>
  <si>
    <t>8209</t>
  </si>
  <si>
    <t>Cabramatta High School</t>
  </si>
  <si>
    <t>8210</t>
  </si>
  <si>
    <t>Lake Macquarie High School</t>
  </si>
  <si>
    <t>Booragul</t>
  </si>
  <si>
    <t>8211</t>
  </si>
  <si>
    <t>Normanhurst Boys High School</t>
  </si>
  <si>
    <t>8213</t>
  </si>
  <si>
    <t>Birrong Boys High School</t>
  </si>
  <si>
    <t>8214</t>
  </si>
  <si>
    <t>The Rivers Secondary College, Richmond River High Campus</t>
  </si>
  <si>
    <t>8215</t>
  </si>
  <si>
    <t>Picton High School</t>
  </si>
  <si>
    <t>8216</t>
  </si>
  <si>
    <t>Queanbeyan High School</t>
  </si>
  <si>
    <t>8217</t>
  </si>
  <si>
    <t>Camden High School</t>
  </si>
  <si>
    <t>8218</t>
  </si>
  <si>
    <t>Deniliquin High School</t>
  </si>
  <si>
    <t>8219</t>
  </si>
  <si>
    <t>Hunter River High School</t>
  </si>
  <si>
    <t>Heatherbrae</t>
  </si>
  <si>
    <t>8221</t>
  </si>
  <si>
    <t>Kingsgrove North High School</t>
  </si>
  <si>
    <t>KINGSGROVE</t>
  </si>
  <si>
    <t>8222</t>
  </si>
  <si>
    <t>Asquith High School</t>
  </si>
  <si>
    <t>8223</t>
  </si>
  <si>
    <t>Bass High School</t>
  </si>
  <si>
    <t>8224</t>
  </si>
  <si>
    <t>Blacktown Girls High School</t>
  </si>
  <si>
    <t>8225</t>
  </si>
  <si>
    <t>Marsden High School</t>
  </si>
  <si>
    <t>8227</t>
  </si>
  <si>
    <t>Merrylands High School</t>
  </si>
  <si>
    <t>8229</t>
  </si>
  <si>
    <t>Northmead Creative and Performing Arts High School</t>
  </si>
  <si>
    <t>8230</t>
  </si>
  <si>
    <t>Port Hacking High School</t>
  </si>
  <si>
    <t>8231</t>
  </si>
  <si>
    <t>Seven Hills High School</t>
  </si>
  <si>
    <t>8232</t>
  </si>
  <si>
    <t>Chatswood High School</t>
  </si>
  <si>
    <t>CHATSWOOD</t>
  </si>
  <si>
    <t>8233</t>
  </si>
  <si>
    <t>Hunter Sports High School</t>
  </si>
  <si>
    <t>8235</t>
  </si>
  <si>
    <t>James Ruse Agricultural High School</t>
  </si>
  <si>
    <t>8236</t>
  </si>
  <si>
    <t>Blakehurst High School</t>
  </si>
  <si>
    <t>8240</t>
  </si>
  <si>
    <t>Caringbah High School</t>
  </si>
  <si>
    <t>8243</t>
  </si>
  <si>
    <t>Riverside Girls High School</t>
  </si>
  <si>
    <t>8244</t>
  </si>
  <si>
    <t>Blacktown Boys High School</t>
  </si>
  <si>
    <t>8245</t>
  </si>
  <si>
    <t>Hornsby High School</t>
  </si>
  <si>
    <t>8246</t>
  </si>
  <si>
    <t>Heathcote High School</t>
  </si>
  <si>
    <t>8247</t>
  </si>
  <si>
    <t>Kingsgrove High School</t>
  </si>
  <si>
    <t>8249</t>
  </si>
  <si>
    <t>Matraville Sports High School</t>
  </si>
  <si>
    <t>Chifley</t>
  </si>
  <si>
    <t>8250</t>
  </si>
  <si>
    <t>Sir Joseph Banks High School</t>
  </si>
  <si>
    <t>8252</t>
  </si>
  <si>
    <t>Strathfield South High School</t>
  </si>
  <si>
    <t>8253</t>
  </si>
  <si>
    <t>Auburn Girls High School</t>
  </si>
  <si>
    <t>8254</t>
  </si>
  <si>
    <t>Bankstown Girls High School</t>
  </si>
  <si>
    <t>8255</t>
  </si>
  <si>
    <t>Beverly Hills Girls High School</t>
  </si>
  <si>
    <t>8258</t>
  </si>
  <si>
    <t>Bellingen High School</t>
  </si>
  <si>
    <t>8259</t>
  </si>
  <si>
    <t>Callaghan College Wallsend Campus</t>
  </si>
  <si>
    <t>8260</t>
  </si>
  <si>
    <t>Bonnyrigg High School</t>
  </si>
  <si>
    <t>Bonnyrigg</t>
  </si>
  <si>
    <t>8261</t>
  </si>
  <si>
    <t>Cronulla High School</t>
  </si>
  <si>
    <t>8262</t>
  </si>
  <si>
    <t>Ingleburn High School</t>
  </si>
  <si>
    <t>8263</t>
  </si>
  <si>
    <t>J J Cahill Memorial High School</t>
  </si>
  <si>
    <t>8265</t>
  </si>
  <si>
    <t>Sefton High School</t>
  </si>
  <si>
    <t>SEFTON</t>
  </si>
  <si>
    <t>8266</t>
  </si>
  <si>
    <t>James Fallon High School</t>
  </si>
  <si>
    <t>8268</t>
  </si>
  <si>
    <t>Glenwood High School</t>
  </si>
  <si>
    <t>Glenwood</t>
  </si>
  <si>
    <t>8269</t>
  </si>
  <si>
    <t>Chester Hill High School</t>
  </si>
  <si>
    <t>8270</t>
  </si>
  <si>
    <t>Wee Waa High School</t>
  </si>
  <si>
    <t>8271</t>
  </si>
  <si>
    <t>Lucas Heights Community School</t>
  </si>
  <si>
    <t>Barden Ridge</t>
  </si>
  <si>
    <t>8272</t>
  </si>
  <si>
    <t>Coffs Harbour Senior College</t>
  </si>
  <si>
    <t>8273</t>
  </si>
  <si>
    <t>Cecil Hills High School</t>
  </si>
  <si>
    <t>8274</t>
  </si>
  <si>
    <t>Tuggerah Lakes Secondary College Tumbi Umbi Campus</t>
  </si>
  <si>
    <t>Tumbi Umbi</t>
  </si>
  <si>
    <t>8276</t>
  </si>
  <si>
    <t>Glenmore Park High School</t>
  </si>
  <si>
    <t>8277</t>
  </si>
  <si>
    <t>Wyndham College</t>
  </si>
  <si>
    <t>8278</t>
  </si>
  <si>
    <t>Wadalba Community School</t>
  </si>
  <si>
    <t>Wadalba</t>
  </si>
  <si>
    <t>8279</t>
  </si>
  <si>
    <t>Lake Munmorah High School</t>
  </si>
  <si>
    <t>8280</t>
  </si>
  <si>
    <t>Camden Haven High School</t>
  </si>
  <si>
    <t>8281</t>
  </si>
  <si>
    <t>Great Lakes College Senior Campus</t>
  </si>
  <si>
    <t>Tuncurry</t>
  </si>
  <si>
    <t>8282</t>
  </si>
  <si>
    <t>Banora Point High School</t>
  </si>
  <si>
    <t>8284</t>
  </si>
  <si>
    <t>Georges River College, Oatley Senior Campus</t>
  </si>
  <si>
    <t>8286</t>
  </si>
  <si>
    <t>Mount Annan High School</t>
  </si>
  <si>
    <t>8288</t>
  </si>
  <si>
    <t>Central Sydney Intensive English High School</t>
  </si>
  <si>
    <t>Alexandria</t>
  </si>
  <si>
    <t>8289</t>
  </si>
  <si>
    <t>Great Lakes College Tuncurry Campus</t>
  </si>
  <si>
    <t>8290</t>
  </si>
  <si>
    <t>John Edmondson High School</t>
  </si>
  <si>
    <t>HORNINGSEA PARK</t>
  </si>
  <si>
    <t>8291</t>
  </si>
  <si>
    <t>Rouse Hill High School</t>
  </si>
  <si>
    <t>ROUSE HILL</t>
  </si>
  <si>
    <t>8292</t>
  </si>
  <si>
    <t>Kariong Mountains High School</t>
  </si>
  <si>
    <t>8308</t>
  </si>
  <si>
    <t>Corowa High School</t>
  </si>
  <si>
    <t>8314</t>
  </si>
  <si>
    <t>The Henry Lawson High School</t>
  </si>
  <si>
    <t>Grenfell</t>
  </si>
  <si>
    <t>8318</t>
  </si>
  <si>
    <t>Kandos High School</t>
  </si>
  <si>
    <t>8320</t>
  </si>
  <si>
    <t>Kogarah High School</t>
  </si>
  <si>
    <t>8325</t>
  </si>
  <si>
    <t>Moree Secondary College</t>
  </si>
  <si>
    <t>8326</t>
  </si>
  <si>
    <t>Mosman High School</t>
  </si>
  <si>
    <t>MOSMAN</t>
  </si>
  <si>
    <t>8328</t>
  </si>
  <si>
    <t>Murrumburrah High School</t>
  </si>
  <si>
    <t>Harden</t>
  </si>
  <si>
    <t>8334</t>
  </si>
  <si>
    <t>Yass High School</t>
  </si>
  <si>
    <t>8343</t>
  </si>
  <si>
    <t>Tumut High School</t>
  </si>
  <si>
    <t>8346</t>
  </si>
  <si>
    <t>Condobolin High School</t>
  </si>
  <si>
    <t>8347</t>
  </si>
  <si>
    <t>Coonabarabran High School</t>
  </si>
  <si>
    <t>8349</t>
  </si>
  <si>
    <t>Gilgandra High School</t>
  </si>
  <si>
    <t>GILGANDRA</t>
  </si>
  <si>
    <t>8353</t>
  </si>
  <si>
    <t>Nyngan High School</t>
  </si>
  <si>
    <t>8355</t>
  </si>
  <si>
    <t>Bourke High School</t>
  </si>
  <si>
    <t>8356</t>
  </si>
  <si>
    <t>Cobar High School</t>
  </si>
  <si>
    <t>8357</t>
  </si>
  <si>
    <t>Blayney High School</t>
  </si>
  <si>
    <t>8358</t>
  </si>
  <si>
    <t>Tenterfield High School</t>
  </si>
  <si>
    <t>8360</t>
  </si>
  <si>
    <t>Finley High School</t>
  </si>
  <si>
    <t>8362</t>
  </si>
  <si>
    <t>Maclean High School</t>
  </si>
  <si>
    <t>8364</t>
  </si>
  <si>
    <t>Hastings Secondary College, Port Macquarie Campus</t>
  </si>
  <si>
    <t>8368</t>
  </si>
  <si>
    <t>Moruya High School</t>
  </si>
  <si>
    <t>MORUYA</t>
  </si>
  <si>
    <t>8370</t>
  </si>
  <si>
    <t>Tweed River High School</t>
  </si>
  <si>
    <t>8371</t>
  </si>
  <si>
    <t>Gloucester High School</t>
  </si>
  <si>
    <t>8372</t>
  </si>
  <si>
    <t>The Forest High School</t>
  </si>
  <si>
    <t>Allambie Heights</t>
  </si>
  <si>
    <t>8373</t>
  </si>
  <si>
    <t>Five Islands Secondary College</t>
  </si>
  <si>
    <t>8374</t>
  </si>
  <si>
    <t>Brisbane Water Secondary College Woy Woy Campus</t>
  </si>
  <si>
    <t>WOY WOY</t>
  </si>
  <si>
    <t>8377</t>
  </si>
  <si>
    <t>Picnic Point High School</t>
  </si>
  <si>
    <t>PICNIC POINT</t>
  </si>
  <si>
    <t>8379</t>
  </si>
  <si>
    <t>Pittwater High School</t>
  </si>
  <si>
    <t>8381</t>
  </si>
  <si>
    <t>Bankstown Senior College</t>
  </si>
  <si>
    <t>8382</t>
  </si>
  <si>
    <t>Castle Hill High School</t>
  </si>
  <si>
    <t>8383</t>
  </si>
  <si>
    <t>Nepean Creative and Performing Arts High School</t>
  </si>
  <si>
    <t>8384</t>
  </si>
  <si>
    <t>Westfields Sports High School</t>
  </si>
  <si>
    <t>FAIRFIELD WEST</t>
  </si>
  <si>
    <t>8385</t>
  </si>
  <si>
    <t>Greystanes High School</t>
  </si>
  <si>
    <t>8386</t>
  </si>
  <si>
    <t>Gymea Technology High School</t>
  </si>
  <si>
    <t>8388</t>
  </si>
  <si>
    <t>Moss Vale High School</t>
  </si>
  <si>
    <t>8389</t>
  </si>
  <si>
    <t>Swansea High School</t>
  </si>
  <si>
    <t>8390</t>
  </si>
  <si>
    <t>Whitebridge High School</t>
  </si>
  <si>
    <t>Whitebridge</t>
  </si>
  <si>
    <t>8391</t>
  </si>
  <si>
    <t>Wingham High School</t>
  </si>
  <si>
    <t>Wingham</t>
  </si>
  <si>
    <t>8392</t>
  </si>
  <si>
    <t>West Wyalong High School</t>
  </si>
  <si>
    <t>8393</t>
  </si>
  <si>
    <t>Canley Vale High School</t>
  </si>
  <si>
    <t>8394</t>
  </si>
  <si>
    <t>Miller High School</t>
  </si>
  <si>
    <t>MILLER</t>
  </si>
  <si>
    <t>8395</t>
  </si>
  <si>
    <t>Pendle Hill High School</t>
  </si>
  <si>
    <t>8396</t>
  </si>
  <si>
    <t>Windsor High School</t>
  </si>
  <si>
    <t>McGraths Hill</t>
  </si>
  <si>
    <t>8397</t>
  </si>
  <si>
    <t>Ashcroft High School</t>
  </si>
  <si>
    <t>8398</t>
  </si>
  <si>
    <t>Condell Park High School</t>
  </si>
  <si>
    <t>Condell Park</t>
  </si>
  <si>
    <t>8399</t>
  </si>
  <si>
    <t>Doonside High School</t>
  </si>
  <si>
    <t>8400</t>
  </si>
  <si>
    <t>St Ives High School</t>
  </si>
  <si>
    <t>8401</t>
  </si>
  <si>
    <t>Lurnea High School</t>
  </si>
  <si>
    <t>LURNEA</t>
  </si>
  <si>
    <t>8403</t>
  </si>
  <si>
    <t>Mitchell High School</t>
  </si>
  <si>
    <t>8404</t>
  </si>
  <si>
    <t>Endeavour Sports High School</t>
  </si>
  <si>
    <t>8405</t>
  </si>
  <si>
    <t>Erina High School</t>
  </si>
  <si>
    <t>8406</t>
  </si>
  <si>
    <t>South Grafton High School</t>
  </si>
  <si>
    <t>8407</t>
  </si>
  <si>
    <t>Mount Austin High School</t>
  </si>
  <si>
    <t>8408</t>
  </si>
  <si>
    <t>Georges River College, Peakhurst Campus</t>
  </si>
  <si>
    <t>8409</t>
  </si>
  <si>
    <t>Scone High School</t>
  </si>
  <si>
    <t>8410</t>
  </si>
  <si>
    <t>Woonona High School</t>
  </si>
  <si>
    <t>8411</t>
  </si>
  <si>
    <t>West Wallsend High School</t>
  </si>
  <si>
    <t>WEST WALLSEND</t>
  </si>
  <si>
    <t>8412</t>
  </si>
  <si>
    <t>The Hills Sports High School</t>
  </si>
  <si>
    <t>8413</t>
  </si>
  <si>
    <t>Morisset High School</t>
  </si>
  <si>
    <t>Morisset</t>
  </si>
  <si>
    <t>8414</t>
  </si>
  <si>
    <t>Chatham High School</t>
  </si>
  <si>
    <t>8415</t>
  </si>
  <si>
    <t>Ryde Secondary College</t>
  </si>
  <si>
    <t>8416</t>
  </si>
  <si>
    <t>Ku-ring-gai High School</t>
  </si>
  <si>
    <t>NORTH TURRAMURRA</t>
  </si>
  <si>
    <t>8417</t>
  </si>
  <si>
    <t>Dubbo College South Campus</t>
  </si>
  <si>
    <t>8418</t>
  </si>
  <si>
    <t>Warilla High School</t>
  </si>
  <si>
    <t>Barrack Heights</t>
  </si>
  <si>
    <t>8420</t>
  </si>
  <si>
    <t>Evans High School</t>
  </si>
  <si>
    <t>8422</t>
  </si>
  <si>
    <t>Killarney Heights High School</t>
  </si>
  <si>
    <t>Killarney Heights</t>
  </si>
  <si>
    <t>8423</t>
  </si>
  <si>
    <t>Kotara High School</t>
  </si>
  <si>
    <t>8424</t>
  </si>
  <si>
    <t>Holroyd High School</t>
  </si>
  <si>
    <t>8432</t>
  </si>
  <si>
    <t>Engadine High School</t>
  </si>
  <si>
    <t>8433</t>
  </si>
  <si>
    <t>Woolooware High School</t>
  </si>
  <si>
    <t>Woolooware</t>
  </si>
  <si>
    <t>8435</t>
  </si>
  <si>
    <t>Turramurra High School</t>
  </si>
  <si>
    <t>South Turramurra</t>
  </si>
  <si>
    <t>8436</t>
  </si>
  <si>
    <t>Granville South Creative and Performing Arts High School</t>
  </si>
  <si>
    <t>8437</t>
  </si>
  <si>
    <t>Kirrawee High School</t>
  </si>
  <si>
    <t>Kirrawee</t>
  </si>
  <si>
    <t>8438</t>
  </si>
  <si>
    <t>Pennant Hills High School</t>
  </si>
  <si>
    <t>8439</t>
  </si>
  <si>
    <t>Francis Greenway High School</t>
  </si>
  <si>
    <t>8440</t>
  </si>
  <si>
    <t>Warners Bay High School</t>
  </si>
  <si>
    <t>8442</t>
  </si>
  <si>
    <t>Gundagai High School</t>
  </si>
  <si>
    <t>8443</t>
  </si>
  <si>
    <t>Colyton High School</t>
  </si>
  <si>
    <t>8444</t>
  </si>
  <si>
    <t>Canobolas High School</t>
  </si>
  <si>
    <t>8446</t>
  </si>
  <si>
    <t>Springwood High School</t>
  </si>
  <si>
    <t>Faulconbridge</t>
  </si>
  <si>
    <t>8447</t>
  </si>
  <si>
    <t>Carlingford High School</t>
  </si>
  <si>
    <t>8448</t>
  </si>
  <si>
    <t>Bomaderry High School</t>
  </si>
  <si>
    <t>8449</t>
  </si>
  <si>
    <t>Figtree High School</t>
  </si>
  <si>
    <t>8450</t>
  </si>
  <si>
    <t>Tumbarumba High School</t>
  </si>
  <si>
    <t>8451</t>
  </si>
  <si>
    <t>Coonamble High School</t>
  </si>
  <si>
    <t>8452</t>
  </si>
  <si>
    <t>Crookwell High School</t>
  </si>
  <si>
    <t>CROOKWELL</t>
  </si>
  <si>
    <t>8453</t>
  </si>
  <si>
    <t>Dorrigo High School</t>
  </si>
  <si>
    <t>8454</t>
  </si>
  <si>
    <t>Barrenjoey High School</t>
  </si>
  <si>
    <t>Avalon</t>
  </si>
  <si>
    <t>8455</t>
  </si>
  <si>
    <t>Oxley High School</t>
  </si>
  <si>
    <t>NORTH TAMWORTH</t>
  </si>
  <si>
    <t>8456</t>
  </si>
  <si>
    <t>Fairvale High School</t>
  </si>
  <si>
    <t>8457</t>
  </si>
  <si>
    <t>Killara High School</t>
  </si>
  <si>
    <t>8458</t>
  </si>
  <si>
    <t>Kingswood High School</t>
  </si>
  <si>
    <t>8459</t>
  </si>
  <si>
    <t>Chifley College Mount Druitt Campus</t>
  </si>
  <si>
    <t>8460</t>
  </si>
  <si>
    <t>James Busby High School</t>
  </si>
  <si>
    <t>Green Valley</t>
  </si>
  <si>
    <t>8461</t>
  </si>
  <si>
    <t>Barham High School</t>
  </si>
  <si>
    <t>8462</t>
  </si>
  <si>
    <t>Narromine High School</t>
  </si>
  <si>
    <t>NARROMINE</t>
  </si>
  <si>
    <t>8463</t>
  </si>
  <si>
    <t>Sylvania High School</t>
  </si>
  <si>
    <t>Sylvania</t>
  </si>
  <si>
    <t>8464</t>
  </si>
  <si>
    <t>Baulkham Hills High School</t>
  </si>
  <si>
    <t>8465</t>
  </si>
  <si>
    <t>Tuggerah Lakes Secondary College The Entrance Campus</t>
  </si>
  <si>
    <t>Shelly Beach</t>
  </si>
  <si>
    <t>8466</t>
  </si>
  <si>
    <t>Glendale Technology High School</t>
  </si>
  <si>
    <t>8467</t>
  </si>
  <si>
    <t>Henry Kendall High School</t>
  </si>
  <si>
    <t>8468</t>
  </si>
  <si>
    <t>Mulwaree High School</t>
  </si>
  <si>
    <t>8469</t>
  </si>
  <si>
    <t>Orara High School</t>
  </si>
  <si>
    <t>8470</t>
  </si>
  <si>
    <t>Wade High School</t>
  </si>
  <si>
    <t>8472</t>
  </si>
  <si>
    <t>Dungog High School</t>
  </si>
  <si>
    <t>DUNGOG</t>
  </si>
  <si>
    <t>8473</t>
  </si>
  <si>
    <t>Chifley College Senior Campus</t>
  </si>
  <si>
    <t>8474</t>
  </si>
  <si>
    <t>Lake Illawarra High School</t>
  </si>
  <si>
    <t>Lake Illawarra</t>
  </si>
  <si>
    <t>8475</t>
  </si>
  <si>
    <t>Walgett Community College - High School</t>
  </si>
  <si>
    <t>8476</t>
  </si>
  <si>
    <t>Casula High School</t>
  </si>
  <si>
    <t>8477</t>
  </si>
  <si>
    <t>Kellyville High School</t>
  </si>
  <si>
    <t>8479</t>
  </si>
  <si>
    <t>Davidson High School</t>
  </si>
  <si>
    <t>8480</t>
  </si>
  <si>
    <t>Warrawong High School</t>
  </si>
  <si>
    <t>Warrawong</t>
  </si>
  <si>
    <t>8481</t>
  </si>
  <si>
    <t>Galston High School</t>
  </si>
  <si>
    <t>8482</t>
  </si>
  <si>
    <t>Lambton High School</t>
  </si>
  <si>
    <t>Lambton</t>
  </si>
  <si>
    <t>8483</t>
  </si>
  <si>
    <t>Kooringal High School</t>
  </si>
  <si>
    <t>KOORINGAL</t>
  </si>
  <si>
    <t>8484</t>
  </si>
  <si>
    <t>Sydney Secondary College Balmain Campus</t>
  </si>
  <si>
    <t>8485</t>
  </si>
  <si>
    <t>Hoxton Park High School</t>
  </si>
  <si>
    <t>8486</t>
  </si>
  <si>
    <t>Bombala High School</t>
  </si>
  <si>
    <t>8487</t>
  </si>
  <si>
    <t>Eden Marine High School</t>
  </si>
  <si>
    <t>8488</t>
  </si>
  <si>
    <t>Chifley College Dunheved Campus</t>
  </si>
  <si>
    <t>8489</t>
  </si>
  <si>
    <t>Kanahooka High School</t>
  </si>
  <si>
    <t>Kanahooka</t>
  </si>
  <si>
    <t>8490</t>
  </si>
  <si>
    <t>Macintyre High School</t>
  </si>
  <si>
    <t>8491</t>
  </si>
  <si>
    <t>Willyama High School</t>
  </si>
  <si>
    <t>8493</t>
  </si>
  <si>
    <t>Airds High School</t>
  </si>
  <si>
    <t>8494</t>
  </si>
  <si>
    <t>Coomealla High School</t>
  </si>
  <si>
    <t>8495</t>
  </si>
  <si>
    <t>Ulladulla High School</t>
  </si>
  <si>
    <t>8496</t>
  </si>
  <si>
    <t>Chifley College Shalvey Campus</t>
  </si>
  <si>
    <t>8497</t>
  </si>
  <si>
    <t>James Meehan High School</t>
  </si>
  <si>
    <t>8498</t>
  </si>
  <si>
    <t>Muirfield High School</t>
  </si>
  <si>
    <t>8499</t>
  </si>
  <si>
    <t>Model Farms High School</t>
  </si>
  <si>
    <t>8500</t>
  </si>
  <si>
    <t>Girraween High School</t>
  </si>
  <si>
    <t>GIRRAWEEN</t>
  </si>
  <si>
    <t>8501</t>
  </si>
  <si>
    <t>Moorebank High School</t>
  </si>
  <si>
    <t>8502</t>
  </si>
  <si>
    <t>Tomaree High School</t>
  </si>
  <si>
    <t>8503</t>
  </si>
  <si>
    <t>Billabong High School</t>
  </si>
  <si>
    <t>Culcairn</t>
  </si>
  <si>
    <t>8504</t>
  </si>
  <si>
    <t>Fort Street High School</t>
  </si>
  <si>
    <t>PETERSHAM</t>
  </si>
  <si>
    <t>8505</t>
  </si>
  <si>
    <t>Murray High School</t>
  </si>
  <si>
    <t>8506</t>
  </si>
  <si>
    <t>Tempe High School</t>
  </si>
  <si>
    <t>8507</t>
  </si>
  <si>
    <t>Sydney Secondary College Leichhardt Campus</t>
  </si>
  <si>
    <t>8508</t>
  </si>
  <si>
    <t>Callaghan College Waratah Campus</t>
  </si>
  <si>
    <t>8509</t>
  </si>
  <si>
    <t>Newcastle High School</t>
  </si>
  <si>
    <t>HAMILTON</t>
  </si>
  <si>
    <t>8510</t>
  </si>
  <si>
    <t>Merewether High School</t>
  </si>
  <si>
    <t>Broadmeadow</t>
  </si>
  <si>
    <t>8511</t>
  </si>
  <si>
    <t>Northern Beaches Secondary College Cromer Campus</t>
  </si>
  <si>
    <t>8512</t>
  </si>
  <si>
    <t>Narrabeen Sports High School</t>
  </si>
  <si>
    <t>8513</t>
  </si>
  <si>
    <t>Brisbane Water Secondary College Umina Campus</t>
  </si>
  <si>
    <t>Umina</t>
  </si>
  <si>
    <t>8514</t>
  </si>
  <si>
    <t>Plumpton High School</t>
  </si>
  <si>
    <t>8515</t>
  </si>
  <si>
    <t>Gorokan High School</t>
  </si>
  <si>
    <t>LAKE HAVEN</t>
  </si>
  <si>
    <t>8516</t>
  </si>
  <si>
    <t>Cambridge Park High School</t>
  </si>
  <si>
    <t>8517</t>
  </si>
  <si>
    <t>Denison College of Secondary Education, Kelso High Campus</t>
  </si>
  <si>
    <t>8518</t>
  </si>
  <si>
    <t>Canowindra High School</t>
  </si>
  <si>
    <t>8519</t>
  </si>
  <si>
    <t>Warialda High School</t>
  </si>
  <si>
    <t>8520</t>
  </si>
  <si>
    <t>The Rivers Secondary College, Kadina High Campus</t>
  </si>
  <si>
    <t>8521</t>
  </si>
  <si>
    <t>Elderslie High School</t>
  </si>
  <si>
    <t>NARELLAN</t>
  </si>
  <si>
    <t>8522</t>
  </si>
  <si>
    <t>Blaxland High School</t>
  </si>
  <si>
    <t>8524</t>
  </si>
  <si>
    <t>Karabar High School</t>
  </si>
  <si>
    <t>8525</t>
  </si>
  <si>
    <t>Peel High School</t>
  </si>
  <si>
    <t>8526</t>
  </si>
  <si>
    <t>Colo High School</t>
  </si>
  <si>
    <t>8527</t>
  </si>
  <si>
    <t>Toormina High School</t>
  </si>
  <si>
    <t>8528</t>
  </si>
  <si>
    <t>Chifley College Bidwill Campus</t>
  </si>
  <si>
    <t>8530</t>
  </si>
  <si>
    <t>Newtown High School of Performing Arts</t>
  </si>
  <si>
    <t>8531</t>
  </si>
  <si>
    <t>St Johns Park High School</t>
  </si>
  <si>
    <t>8532</t>
  </si>
  <si>
    <t>Leumeah High School</t>
  </si>
  <si>
    <t>8533</t>
  </si>
  <si>
    <t>Terrigal High School</t>
  </si>
  <si>
    <t>8534</t>
  </si>
  <si>
    <t>Great Lakes College Forster Campus</t>
  </si>
  <si>
    <t>8535</t>
  </si>
  <si>
    <t>Concord High School</t>
  </si>
  <si>
    <t>8536</t>
  </si>
  <si>
    <t>Narooma High School</t>
  </si>
  <si>
    <t>8539</t>
  </si>
  <si>
    <t>Sydney Secondary College Blackwattle Bay Campus</t>
  </si>
  <si>
    <t>8540</t>
  </si>
  <si>
    <t>Marrickville High School</t>
  </si>
  <si>
    <t>8541</t>
  </si>
  <si>
    <t>Keira High School</t>
  </si>
  <si>
    <t>8542</t>
  </si>
  <si>
    <t>Smiths Hill High School</t>
  </si>
  <si>
    <t>8543</t>
  </si>
  <si>
    <t>Dubbo College Delroy Campus</t>
  </si>
  <si>
    <t>Dubbo West</t>
  </si>
  <si>
    <t>8544</t>
  </si>
  <si>
    <t>Lisarow High School</t>
  </si>
  <si>
    <t>8545</t>
  </si>
  <si>
    <t>South Sydney High School</t>
  </si>
  <si>
    <t>MAROUBRA</t>
  </si>
  <si>
    <t>8546</t>
  </si>
  <si>
    <t>Gulgong High School</t>
  </si>
  <si>
    <t>8547</t>
  </si>
  <si>
    <t>Northlakes High School</t>
  </si>
  <si>
    <t>San Remo</t>
  </si>
  <si>
    <t>8548</t>
  </si>
  <si>
    <t>Woolgoolga High School</t>
  </si>
  <si>
    <t>8550</t>
  </si>
  <si>
    <t>Fairfield High School</t>
  </si>
  <si>
    <t>8551</t>
  </si>
  <si>
    <t>Sarah Redfern High School</t>
  </si>
  <si>
    <t>8552</t>
  </si>
  <si>
    <t>Crestwood High School</t>
  </si>
  <si>
    <t>8553</t>
  </si>
  <si>
    <t>Macquarie Fields High School</t>
  </si>
  <si>
    <t>8554</t>
  </si>
  <si>
    <t>Hastings Secondary College, Westport Campus</t>
  </si>
  <si>
    <t>8555</t>
  </si>
  <si>
    <t>Rose Bay Secondary College</t>
  </si>
  <si>
    <t>Dover Heights</t>
  </si>
  <si>
    <t>8556</t>
  </si>
  <si>
    <t>Alexandria Park Community School</t>
  </si>
  <si>
    <t>8559</t>
  </si>
  <si>
    <t>Jamison High School</t>
  </si>
  <si>
    <t>8560</t>
  </si>
  <si>
    <t>Prairiewood High School</t>
  </si>
  <si>
    <t>PRAIRIEWOOD</t>
  </si>
  <si>
    <t>8561</t>
  </si>
  <si>
    <t>Shoalhaven High School</t>
  </si>
  <si>
    <t>8562</t>
  </si>
  <si>
    <t>Irrawang High School</t>
  </si>
  <si>
    <t>RAYMOND TERRACE</t>
  </si>
  <si>
    <t>8563</t>
  </si>
  <si>
    <t>Tuggerah Lakes Secondary College Berkeley Vale Campus</t>
  </si>
  <si>
    <t>8564</t>
  </si>
  <si>
    <t>Holsworthy High School</t>
  </si>
  <si>
    <t>Holsworthy</t>
  </si>
  <si>
    <t>8565</t>
  </si>
  <si>
    <t>Hawkesbury High School</t>
  </si>
  <si>
    <t>Freemans Reach</t>
  </si>
  <si>
    <t>8566</t>
  </si>
  <si>
    <t>Melville High School</t>
  </si>
  <si>
    <t>8567</t>
  </si>
  <si>
    <t>Northern Beaches Secondary College Manly Campus</t>
  </si>
  <si>
    <t>8568</t>
  </si>
  <si>
    <t>Northern Beaches Secondary College Freshwater Senior Campus</t>
  </si>
  <si>
    <t>FRESHWATER</t>
  </si>
  <si>
    <t>8569</t>
  </si>
  <si>
    <t>Eagle Vale Sports High School</t>
  </si>
  <si>
    <t>Eagle Vale</t>
  </si>
  <si>
    <t>8570</t>
  </si>
  <si>
    <t>Ambarvale High School</t>
  </si>
  <si>
    <t>8571</t>
  </si>
  <si>
    <t>St Clair High School</t>
  </si>
  <si>
    <t>8572</t>
  </si>
  <si>
    <t>Rutherford Technology High School</t>
  </si>
  <si>
    <t>RUTHERFORD</t>
  </si>
  <si>
    <t>8573</t>
  </si>
  <si>
    <t>Winmalee High School</t>
  </si>
  <si>
    <t>Winmalee</t>
  </si>
  <si>
    <t>8574</t>
  </si>
  <si>
    <t>Mount View High School</t>
  </si>
  <si>
    <t>CESSNOCK</t>
  </si>
  <si>
    <t>8575</t>
  </si>
  <si>
    <t>Robert Townson High School</t>
  </si>
  <si>
    <t>8577</t>
  </si>
  <si>
    <t>Byron Bay High School</t>
  </si>
  <si>
    <t>8578</t>
  </si>
  <si>
    <t>Alstonville High School</t>
  </si>
  <si>
    <t>8579</t>
  </si>
  <si>
    <t>Kingscliff High School</t>
  </si>
  <si>
    <t>Kingscliff</t>
  </si>
  <si>
    <t>8580</t>
  </si>
  <si>
    <t>Cranebrook High School</t>
  </si>
  <si>
    <t>8581</t>
  </si>
  <si>
    <t>Batemans Bay High School</t>
  </si>
  <si>
    <t>8582</t>
  </si>
  <si>
    <t>Bossley Park High School</t>
  </si>
  <si>
    <t>8583</t>
  </si>
  <si>
    <t>Menai High School</t>
  </si>
  <si>
    <t>8584</t>
  </si>
  <si>
    <t>Elizabeth Macarthur High School</t>
  </si>
  <si>
    <t>8585</t>
  </si>
  <si>
    <t>Kincumber High School</t>
  </si>
  <si>
    <t>8586</t>
  </si>
  <si>
    <t>Albion Park High School</t>
  </si>
  <si>
    <t>8587</t>
  </si>
  <si>
    <t>Sydney Distance Education High School</t>
  </si>
  <si>
    <t>8588</t>
  </si>
  <si>
    <t>NSW School of Languages</t>
  </si>
  <si>
    <t>8589</t>
  </si>
  <si>
    <t>Thomas Reddall High School</t>
  </si>
  <si>
    <t>8590</t>
  </si>
  <si>
    <t>Erskine Park High School</t>
  </si>
  <si>
    <t>8591</t>
  </si>
  <si>
    <t>Narara Valley High School</t>
  </si>
  <si>
    <t>8592</t>
  </si>
  <si>
    <t>Cherrybrook Technology High School</t>
  </si>
  <si>
    <t>CHERRYBROOK</t>
  </si>
  <si>
    <t>8593</t>
  </si>
  <si>
    <t>Vincentia High School</t>
  </si>
  <si>
    <t>8594</t>
  </si>
  <si>
    <t>Quakers Hill High School</t>
  </si>
  <si>
    <t>8595</t>
  </si>
  <si>
    <t>Nambucca Heads High School</t>
  </si>
  <si>
    <t>8596</t>
  </si>
  <si>
    <t>Wollumbin High School</t>
  </si>
  <si>
    <t>8598</t>
  </si>
  <si>
    <t>Oberon High School</t>
  </si>
  <si>
    <t>8599</t>
  </si>
  <si>
    <t>Bradfield College</t>
  </si>
  <si>
    <t>Unassigned</t>
  </si>
  <si>
    <t>8600</t>
  </si>
  <si>
    <t>Secondary College of Languages</t>
  </si>
  <si>
    <t>8804</t>
  </si>
  <si>
    <t>Belmore Boys High School</t>
  </si>
  <si>
    <t>8806</t>
  </si>
  <si>
    <t>Canterbury Girls High School</t>
  </si>
  <si>
    <t>8811</t>
  </si>
  <si>
    <t>Granville Boys High School</t>
  </si>
  <si>
    <t>8813</t>
  </si>
  <si>
    <t>Georges River College, Hurstville Campus</t>
  </si>
  <si>
    <t>8819</t>
  </si>
  <si>
    <t>Hunter School of Performing Arts</t>
  </si>
  <si>
    <t>8822</t>
  </si>
  <si>
    <t>Macarthur Girls High School</t>
  </si>
  <si>
    <t>8831</t>
  </si>
  <si>
    <t>Northern Beaches Secondary College Mackellar Girls Campus</t>
  </si>
  <si>
    <t>8832</t>
  </si>
  <si>
    <t>Ashfield Boys High School</t>
  </si>
  <si>
    <t>8833</t>
  </si>
  <si>
    <t>Dulwich High School of Visual Arts and Design</t>
  </si>
  <si>
    <t>8851</t>
  </si>
  <si>
    <t>Northern Beaches Secondary College Balgowlah Boys Campus</t>
  </si>
  <si>
    <t>8852</t>
  </si>
  <si>
    <t>The Jannali High School</t>
  </si>
  <si>
    <t>8854</t>
  </si>
  <si>
    <t>Birrong Girls High School</t>
  </si>
  <si>
    <t>8857</t>
  </si>
  <si>
    <t>Georges River College, Penshurst Campus</t>
  </si>
  <si>
    <t>8870</t>
  </si>
  <si>
    <t>St Marys Senior High School</t>
  </si>
  <si>
    <t>8878</t>
  </si>
  <si>
    <t>Bulli High School</t>
  </si>
  <si>
    <t>8880</t>
  </si>
  <si>
    <t>Callaghan College Jesmond Senior Campus</t>
  </si>
  <si>
    <t>8884</t>
  </si>
  <si>
    <t>Epping Boys High School</t>
  </si>
  <si>
    <t>8888</t>
  </si>
  <si>
    <t>Wiley Park Girls High School</t>
  </si>
  <si>
    <t>8892</t>
  </si>
  <si>
    <t>Arthur Phillip High School</t>
  </si>
  <si>
    <t>8903</t>
  </si>
  <si>
    <t>Cardiff High School</t>
  </si>
  <si>
    <t>8905</t>
  </si>
  <si>
    <t>Cumberland High School</t>
  </si>
  <si>
    <t>8906</t>
  </si>
  <si>
    <t>Oak Flats High School</t>
  </si>
  <si>
    <t>8907</t>
  </si>
  <si>
    <t>Riverstone High School</t>
  </si>
  <si>
    <t>8908</t>
  </si>
  <si>
    <t>Rooty Hill High School</t>
  </si>
  <si>
    <t>ROOTY HILL</t>
  </si>
  <si>
    <t>8909</t>
  </si>
  <si>
    <t>Toronto High School</t>
  </si>
  <si>
    <t>8910</t>
  </si>
  <si>
    <t>Cammeraygal High School</t>
  </si>
  <si>
    <t>8911</t>
  </si>
  <si>
    <t>The Ponds High School</t>
  </si>
  <si>
    <t>8912</t>
  </si>
  <si>
    <t>Aurora College</t>
  </si>
  <si>
    <t>8913</t>
  </si>
  <si>
    <t>Inner Sydney High School</t>
  </si>
  <si>
    <t>8914</t>
  </si>
  <si>
    <t>Richmond Agricultural Centre</t>
  </si>
  <si>
    <t>8915</t>
  </si>
  <si>
    <t>Armidale Secondary College</t>
  </si>
  <si>
    <t>8916</t>
  </si>
  <si>
    <t>Oran Park High School</t>
  </si>
  <si>
    <t>ORAN PARK</t>
  </si>
  <si>
    <t>8918</t>
  </si>
  <si>
    <t>Wentworth Point High School</t>
  </si>
  <si>
    <t>8919</t>
  </si>
  <si>
    <t>Bungendore High School</t>
  </si>
  <si>
    <t>8921</t>
  </si>
  <si>
    <t>Melonba High School</t>
  </si>
  <si>
    <t>8922</t>
  </si>
  <si>
    <t>Jerrabomberra High School</t>
  </si>
  <si>
    <t>8924</t>
  </si>
  <si>
    <t>Jindabyne High School</t>
  </si>
  <si>
    <t>8926</t>
  </si>
  <si>
    <t>Randwick High School</t>
  </si>
  <si>
    <t>8927</t>
  </si>
  <si>
    <t>Gledswood Hills High School</t>
  </si>
  <si>
    <t>8933</t>
  </si>
  <si>
    <t>Bayside High School</t>
  </si>
  <si>
    <t>8935</t>
  </si>
  <si>
    <t>Box Hill High School</t>
  </si>
  <si>
    <t>Remoteness</t>
  </si>
  <si>
    <t>Total FTE</t>
  </si>
  <si>
    <t>Avg Indigenous %</t>
  </si>
  <si>
    <t>% of all students</t>
  </si>
  <si>
    <t>% of all Indigenous students</t>
  </si>
  <si>
    <t>Portfolio project by Thanh Phong (Johnny) Phung</t>
  </si>
  <si>
    <t>NSW Public Schools - Indigenous Enrolment Analysis</t>
  </si>
  <si>
    <t>Explore how Aboriginal &amp; Torres Strait Islander enrolment is distributed across NSW public schools, and how it relates to remoteness and socio-educational advantage/disadvantage.</t>
  </si>
  <si>
    <r>
      <t xml:space="preserve">Derived school-size band from Enrolment_FTE. 1 for &lt; 100 students, 2 for 100-299 students, 3 for 300-599 students, 4 for 600-999 students, 5 for ≥ 1000. </t>
    </r>
    <r>
      <rPr>
        <b/>
        <sz val="10"/>
        <rFont val="Arial"/>
        <family val="2"/>
        <charset val="163"/>
      </rPr>
      <t>(1: very small, 2: small, 3: medium, 4: large, 5: very large)</t>
    </r>
  </si>
  <si>
    <t>Derived band: 1 if &lt;900 / 2 if between 900 - 999 / 3 if between 1000 - 1099 / 4 if ≥1100. (1 being most disadvantage and 4 being most advantage)</t>
  </si>
  <si>
    <t>NSW socio-educational DISadvantage index. Mean 100, SD 50, range 0 - 249. Higher = more disadvantage.</t>
  </si>
  <si>
    <t>Statistical Area Level 4 / Local Government Area - geographic roll-ups for pivots.</t>
  </si>
  <si>
    <t>4. Regional hubs (Dubbo, Tamworth, Kempsey) hold the largest absolute Indigenous cohorts - key for resourcing.</t>
  </si>
  <si>
    <t>Headlines Insights</t>
  </si>
  <si>
    <t>Row Labels</t>
  </si>
  <si>
    <t>(All)</t>
  </si>
  <si>
    <t>Indigenous FTE</t>
  </si>
  <si>
    <t>Indigenous % of enrolment</t>
  </si>
  <si>
    <t xml:space="preserve">Remoteness </t>
  </si>
  <si>
    <t>1</t>
  </si>
  <si>
    <t>2</t>
  </si>
  <si>
    <t>3</t>
  </si>
  <si>
    <t>4</t>
  </si>
  <si>
    <t>No ICSEA</t>
  </si>
  <si>
    <t>Total Schools</t>
  </si>
  <si>
    <t>ICSEA_Band</t>
  </si>
  <si>
    <t>Avg indigenous %</t>
  </si>
  <si>
    <t>Selective School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</si>
</sst>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Red]0"/>
    <numFmt numFmtId="166" formatCode="?.0\%"/>
  </numFmts>
  <fonts count="9" x14ac:knownFonts="1">
    <font>
      <sz val="11"/>
      <color theme="1"/>
      <name val="Calibri"/>
      <family val="2"/>
      <charset val="1"/>
    </font>
    <font>
      <sz val="10"/>
      <name val="Arial"/>
      <family val="2"/>
      <charset val="163"/>
    </font>
    <font>
      <b/>
      <sz val="16"/>
      <color rgb="FF1F3864"/>
      <name val="Arial"/>
      <family val="2"/>
      <charset val="163"/>
    </font>
    <font>
      <i/>
      <sz val="10"/>
      <color rgb="FF808080"/>
      <name val="Arial"/>
      <family val="2"/>
      <charset val="163"/>
    </font>
    <font>
      <b/>
      <sz val="10"/>
      <color rgb="FF2E5496"/>
      <name val="Arial"/>
      <family val="2"/>
      <charset val="163"/>
    </font>
    <font>
      <sz val="10"/>
      <name val="Arial"/>
      <family val="2"/>
      <charset val="163"/>
    </font>
    <font>
      <b/>
      <sz val="12"/>
      <color rgb="FF1F3864"/>
      <name val="Arial"/>
      <family val="2"/>
      <charset val="163"/>
    </font>
    <font>
      <b/>
      <sz val="12"/>
      <color rgb="FFC55A11"/>
      <name val="Arial"/>
      <family val="2"/>
      <charset val="163"/>
    </font>
    <font>
      <b/>
      <sz val="10"/>
      <name val="Arial"/>
      <family val="2"/>
      <charset val="163"/>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7">
    <xf numFmtId="0" fontId="0" fillId="0" borderId="0" xfId="0"/>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11" xfId="0" applyFont="1" applyBorder="1"/>
    <xf numFmtId="0" fontId="0" fillId="0" borderId="12" xfId="0" applyBorder="1"/>
    <xf numFmtId="0" fontId="0" fillId="0" borderId="14" xfId="0" applyBorder="1"/>
    <xf numFmtId="0" fontId="0" fillId="0" borderId="13" xfId="0" applyBorder="1"/>
    <xf numFmtId="0" fontId="5" fillId="0" borderId="14" xfId="0" applyFont="1" applyBorder="1" applyAlignment="1">
      <alignment horizontal="left" vertical="center" wrapText="1"/>
    </xf>
    <xf numFmtId="0" fontId="0" fillId="0" borderId="14" xfId="0" applyBorder="1" applyAlignment="1">
      <alignment horizontal="left" vertical="center"/>
    </xf>
    <xf numFmtId="0" fontId="1" fillId="0" borderId="14" xfId="0" applyFont="1" applyBorder="1" applyAlignment="1">
      <alignment horizontal="left" vertical="center" wrapText="1"/>
    </xf>
    <xf numFmtId="0" fontId="3" fillId="0" borderId="15" xfId="0" applyFont="1" applyBorder="1"/>
    <xf numFmtId="0" fontId="0" fillId="0" borderId="16" xfId="0" applyBorder="1"/>
    <xf numFmtId="0" fontId="0" fillId="0" borderId="20" xfId="0" applyBorder="1"/>
    <xf numFmtId="0" fontId="4" fillId="0" borderId="6" xfId="0" applyFont="1" applyBorder="1" applyAlignment="1">
      <alignment horizontal="center" vertical="center"/>
    </xf>
    <xf numFmtId="0" fontId="5" fillId="0" borderId="7" xfId="0" applyFont="1" applyBorder="1" applyAlignment="1">
      <alignment horizontal="left" vertical="center" wrapText="1"/>
    </xf>
    <xf numFmtId="0" fontId="1" fillId="0" borderId="7" xfId="0" applyFont="1" applyBorder="1" applyAlignment="1">
      <alignment horizontal="left" vertical="center" wrapText="1"/>
    </xf>
    <xf numFmtId="0" fontId="4" fillId="0" borderId="8" xfId="0" applyFont="1" applyBorder="1" applyAlignment="1">
      <alignment horizontal="center" vertical="center"/>
    </xf>
    <xf numFmtId="0" fontId="5" fillId="0" borderId="10" xfId="0" applyFont="1" applyBorder="1" applyAlignment="1">
      <alignment horizontal="left" vertical="center" wrapText="1"/>
    </xf>
    <xf numFmtId="0" fontId="0" fillId="0" borderId="24" xfId="0" applyBorder="1"/>
    <xf numFmtId="0" fontId="0" fillId="0" borderId="25" xfId="0" applyBorder="1"/>
    <xf numFmtId="0" fontId="0" fillId="0" borderId="26" xfId="0" applyBorder="1"/>
    <xf numFmtId="0" fontId="0" fillId="0" borderId="27" xfId="0" applyBorder="1"/>
    <xf numFmtId="0" fontId="8" fillId="0" borderId="29"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30" xfId="0" applyFont="1" applyBorder="1" applyAlignment="1">
      <alignment horizontal="center" vertical="center" wrapText="1"/>
    </xf>
    <xf numFmtId="164" fontId="0" fillId="0" borderId="14" xfId="0" applyNumberFormat="1" applyBorder="1"/>
    <xf numFmtId="164" fontId="0" fillId="0" borderId="16" xfId="0" applyNumberFormat="1" applyBorder="1"/>
    <xf numFmtId="0" fontId="0" fillId="0" borderId="34" xfId="0" applyBorder="1"/>
    <xf numFmtId="0" fontId="0" fillId="0" borderId="32" xfId="0" pivotButton="1" applyBorder="1"/>
    <xf numFmtId="164" fontId="0" fillId="0" borderId="12" xfId="0" applyNumberFormat="1" applyBorder="1"/>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165" fontId="0" fillId="0" borderId="31" xfId="0" applyNumberFormat="1" applyBorder="1"/>
    <xf numFmtId="165" fontId="0" fillId="0" borderId="11" xfId="0" applyNumberFormat="1" applyBorder="1"/>
    <xf numFmtId="165" fontId="0" fillId="0" borderId="13" xfId="0" applyNumberFormat="1" applyBorder="1"/>
    <xf numFmtId="165" fontId="0" fillId="0" borderId="15" xfId="0" applyNumberFormat="1" applyBorder="1"/>
    <xf numFmtId="165" fontId="0" fillId="0" borderId="28" xfId="0" applyNumberFormat="1" applyBorder="1"/>
    <xf numFmtId="0" fontId="0" fillId="0" borderId="34" xfId="0" applyBorder="1" applyAlignment="1">
      <alignment horizontal="center"/>
    </xf>
    <xf numFmtId="0" fontId="0" fillId="0" borderId="2" xfId="0" pivotButton="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166" fontId="0" fillId="0" borderId="14" xfId="0" applyNumberFormat="1" applyBorder="1"/>
    <xf numFmtId="166" fontId="0" fillId="0" borderId="16" xfId="0" applyNumberFormat="1" applyBorder="1"/>
    <xf numFmtId="166" fontId="0" fillId="0" borderId="12" xfId="0" applyNumberFormat="1" applyBorder="1"/>
    <xf numFmtId="164" fontId="0" fillId="0" borderId="31" xfId="0" applyNumberFormat="1" applyBorder="1"/>
    <xf numFmtId="164" fontId="0" fillId="0" borderId="28" xfId="0" applyNumberFormat="1" applyBorder="1"/>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4" fillId="0" borderId="6" xfId="0" applyFont="1" applyBorder="1" applyAlignment="1">
      <alignment horizontal="center" vertical="center"/>
    </xf>
    <xf numFmtId="0" fontId="1" fillId="0" borderId="7" xfId="0" applyFont="1" applyBorder="1" applyAlignment="1">
      <alignment horizontal="left" vertical="center" wrapText="1"/>
    </xf>
    <xf numFmtId="0" fontId="5" fillId="0" borderId="7" xfId="0" applyFont="1" applyBorder="1" applyAlignment="1">
      <alignment horizontal="left"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0" fillId="0" borderId="11" xfId="0" applyNumberFormat="1" applyBorder="1"/>
    <xf numFmtId="0" fontId="0" fillId="0" borderId="13" xfId="0" applyNumberFormat="1" applyBorder="1"/>
    <xf numFmtId="0" fontId="0" fillId="0" borderId="15" xfId="0" applyNumberFormat="1" applyBorder="1"/>
    <xf numFmtId="165" fontId="0" fillId="0" borderId="0" xfId="0" applyNumberFormat="1" applyBorder="1"/>
    <xf numFmtId="164" fontId="0" fillId="0" borderId="0" xfId="0" applyNumberFormat="1" applyBorder="1"/>
  </cellXfs>
  <cellStyles count="1">
    <cellStyle name="Normal" xfId="0" builtinId="0"/>
  </cellStyles>
  <dxfs count="859">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68" formatCode="?\%"/>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numFmt numFmtId="165" formatCode="0;[Red]0"/>
    </dxf>
    <dxf>
      <alignment horizontal="center"/>
    </dxf>
    <dxf>
      <alignment horizontal="center"/>
    </dxf>
    <dxf>
      <alignment vertical="center"/>
    </dxf>
    <dxf>
      <alignment vertical="cent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strike val="0"/>
        <outline val="0"/>
        <shadow val="0"/>
        <u val="none"/>
        <vertAlign val="baseline"/>
        <sz val="10"/>
        <color auto="1"/>
        <name val="Arial"/>
        <family val="2"/>
        <charset val="163"/>
        <scheme val="none"/>
      </font>
      <border diagonalUp="0" diagonalDown="0">
        <left style="thin">
          <color indexed="64"/>
        </left>
        <right style="thin">
          <color indexed="64"/>
        </right>
        <top/>
        <bottom/>
        <vertical style="thin">
          <color indexed="64"/>
        </vertical>
        <horizontal style="thin">
          <color indexed="64"/>
        </horizontal>
      </border>
    </dxf>
    <dxf>
      <alignment vertical="center"/>
    </dxf>
    <dxf>
      <alignment vertical="center"/>
    </dxf>
    <dxf>
      <alignment horizontal="center"/>
    </dxf>
    <dxf>
      <alignment horizontal="center"/>
    </dxf>
    <dxf>
      <numFmt numFmtId="166"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
    </dxf>
    <dxf>
      <numFmt numFmtId="168" formatCode="?\%"/>
    </dxf>
    <dxf>
      <alignment horizontal="center"/>
    </dxf>
    <dxf>
      <alignment vertical="center"/>
    </dxf>
    <dxf>
      <alignment vertical="center"/>
    </dxf>
    <dxf>
      <alignment horizontal="center"/>
    </dxf>
    <dxf>
      <alignment horizontal="cent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Red]0"/>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numFmt numFmtId="165" formatCode="0;[Red]0"/>
    </dxf>
    <dxf>
      <numFmt numFmtId="165" formatCode="0;[Red]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FFF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C55A11"/>
      <rgbColor rgb="FF4F81BD"/>
      <rgbColor rgb="FF878787"/>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(1).xlsx]PT_Remoteness!PivotTable1</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Indigenous share of enrolment climbs from 6% in Major Cities to 72% in Very Remote schools</a:t>
            </a:r>
            <a:endParaRPr lang="en-US"/>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PT_Remoteness!$B$3</c:f>
              <c:strCache>
                <c:ptCount val="1"/>
                <c:pt idx="0">
                  <c:v>Total FTE</c:v>
                </c:pt>
              </c:strCache>
            </c:strRef>
          </c:tx>
          <c:spPr>
            <a:solidFill>
              <a:schemeClr val="accent1"/>
            </a:solidFill>
            <a:ln>
              <a:noFill/>
            </a:ln>
            <a:effectLst/>
          </c:spPr>
          <c:invertIfNegative val="0"/>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PT_Remoteness!$B$4:$B$8</c:f>
              <c:numCache>
                <c:formatCode>0;[Red]0</c:formatCode>
                <c:ptCount val="5"/>
                <c:pt idx="0">
                  <c:v>590542.70000000007</c:v>
                </c:pt>
                <c:pt idx="1">
                  <c:v>143534.00000000003</c:v>
                </c:pt>
                <c:pt idx="2">
                  <c:v>35058.800000000003</c:v>
                </c:pt>
                <c:pt idx="3">
                  <c:v>2615.2000000000003</c:v>
                </c:pt>
                <c:pt idx="4">
                  <c:v>731</c:v>
                </c:pt>
              </c:numCache>
            </c:numRef>
          </c:val>
          <c:extLst>
            <c:ext xmlns:c16="http://schemas.microsoft.com/office/drawing/2014/chart" uri="{C3380CC4-5D6E-409C-BE32-E72D297353CC}">
              <c16:uniqueId val="{00000000-1FEC-4F78-A202-A45DF08FFBAD}"/>
            </c:ext>
          </c:extLst>
        </c:ser>
        <c:ser>
          <c:idx val="1"/>
          <c:order val="1"/>
          <c:tx>
            <c:strRef>
              <c:f>PT_Remoteness!$C$3</c:f>
              <c:strCache>
                <c:ptCount val="1"/>
                <c:pt idx="0">
                  <c:v>Indigenous FTE</c:v>
                </c:pt>
              </c:strCache>
            </c:strRef>
          </c:tx>
          <c:spPr>
            <a:solidFill>
              <a:schemeClr val="accent2"/>
            </a:solidFill>
            <a:ln>
              <a:noFill/>
            </a:ln>
            <a:effectLst/>
          </c:spPr>
          <c:invertIfNegative val="0"/>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PT_Remoteness!$C$4:$C$8</c:f>
              <c:numCache>
                <c:formatCode>0;[Red]0</c:formatCode>
                <c:ptCount val="5"/>
                <c:pt idx="0">
                  <c:v>36296.185000000005</c:v>
                </c:pt>
                <c:pt idx="1">
                  <c:v>29106.542000000016</c:v>
                </c:pt>
                <c:pt idx="2">
                  <c:v>9756.8479999999963</c:v>
                </c:pt>
                <c:pt idx="3">
                  <c:v>1336.0239999999999</c:v>
                </c:pt>
                <c:pt idx="4">
                  <c:v>526.91000000000008</c:v>
                </c:pt>
              </c:numCache>
            </c:numRef>
          </c:val>
          <c:extLst>
            <c:ext xmlns:c16="http://schemas.microsoft.com/office/drawing/2014/chart" uri="{C3380CC4-5D6E-409C-BE32-E72D297353CC}">
              <c16:uniqueId val="{00000001-1FEC-4F78-A202-A45DF08FFBAD}"/>
            </c:ext>
          </c:extLst>
        </c:ser>
        <c:dLbls>
          <c:showLegendKey val="0"/>
          <c:showVal val="0"/>
          <c:showCatName val="0"/>
          <c:showSerName val="0"/>
          <c:showPercent val="0"/>
          <c:showBubbleSize val="0"/>
        </c:dLbls>
        <c:gapWidth val="219"/>
        <c:axId val="1181599"/>
        <c:axId val="1195327"/>
      </c:barChart>
      <c:lineChart>
        <c:grouping val="standard"/>
        <c:varyColors val="0"/>
        <c:ser>
          <c:idx val="2"/>
          <c:order val="2"/>
          <c:tx>
            <c:strRef>
              <c:f>PT_Remoteness!$D$3</c:f>
              <c:strCache>
                <c:ptCount val="1"/>
                <c:pt idx="0">
                  <c:v>Indigenous % of enrolment</c:v>
                </c:pt>
              </c:strCache>
            </c:strRef>
          </c:tx>
          <c:spPr>
            <a:ln w="28575" cap="rnd">
              <a:solidFill>
                <a:schemeClr val="accent3"/>
              </a:solidFill>
              <a:round/>
            </a:ln>
            <a:effectLst/>
          </c:spPr>
          <c:marker>
            <c:symbol val="none"/>
          </c:marker>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PT_Remoteness!$D$4:$D$8</c:f>
              <c:numCache>
                <c:formatCode>0.0%</c:formatCode>
                <c:ptCount val="5"/>
                <c:pt idx="0">
                  <c:v>6.1462422615671995E-2</c:v>
                </c:pt>
                <c:pt idx="1">
                  <c:v>0.20278499867627189</c:v>
                </c:pt>
                <c:pt idx="2">
                  <c:v>0.27829954248291427</c:v>
                </c:pt>
                <c:pt idx="3">
                  <c:v>0.51086876720709684</c:v>
                </c:pt>
                <c:pt idx="4">
                  <c:v>0.72080711354309179</c:v>
                </c:pt>
              </c:numCache>
            </c:numRef>
          </c:val>
          <c:smooth val="0"/>
          <c:extLst>
            <c:ext xmlns:c16="http://schemas.microsoft.com/office/drawing/2014/chart" uri="{C3380CC4-5D6E-409C-BE32-E72D297353CC}">
              <c16:uniqueId val="{00000002-1FEC-4F78-A202-A45DF08FFBAD}"/>
            </c:ext>
          </c:extLst>
        </c:ser>
        <c:dLbls>
          <c:showLegendKey val="0"/>
          <c:showVal val="0"/>
          <c:showCatName val="0"/>
          <c:showSerName val="0"/>
          <c:showPercent val="0"/>
          <c:showBubbleSize val="0"/>
        </c:dLbls>
        <c:marker val="1"/>
        <c:smooth val="0"/>
        <c:axId val="1170367"/>
        <c:axId val="1191583"/>
      </c:lineChart>
      <c:catAx>
        <c:axId val="118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27"/>
        <c:crosses val="autoZero"/>
        <c:auto val="1"/>
        <c:lblAlgn val="ctr"/>
        <c:lblOffset val="100"/>
        <c:noMultiLvlLbl val="0"/>
      </c:catAx>
      <c:valAx>
        <c:axId val="119532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99"/>
        <c:crosses val="autoZero"/>
        <c:crossBetween val="between"/>
      </c:valAx>
      <c:valAx>
        <c:axId val="119158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367"/>
        <c:crosses val="max"/>
        <c:crossBetween val="between"/>
      </c:valAx>
      <c:catAx>
        <c:axId val="1170367"/>
        <c:scaling>
          <c:orientation val="minMax"/>
        </c:scaling>
        <c:delete val="1"/>
        <c:axPos val="b"/>
        <c:numFmt formatCode="General" sourceLinked="1"/>
        <c:majorTickMark val="out"/>
        <c:minorTickMark val="none"/>
        <c:tickLblPos val="nextTo"/>
        <c:crossAx val="11915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(1).xlsx]PT_ICSEA!PivotTable3</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The more disadvantaged the school, the higher its Indigenous enrolment: 42% at the lowest ICSEA band vs 2% at the highest</a:t>
            </a:r>
            <a:endParaRPr lang="en-US"/>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PT_ICSEA!$B$3</c:f>
              <c:strCache>
                <c:ptCount val="1"/>
                <c:pt idx="0">
                  <c:v>Total Schools</c:v>
                </c:pt>
              </c:strCache>
            </c:strRef>
          </c:tx>
          <c:spPr>
            <a:solidFill>
              <a:schemeClr val="accent1"/>
            </a:solidFill>
            <a:ln>
              <a:noFill/>
            </a:ln>
            <a:effectLst/>
          </c:spPr>
          <c:invertIfNegative val="0"/>
          <c:cat>
            <c:strRef>
              <c:f>PT_ICSEA!$A$4:$A$8</c:f>
              <c:strCache>
                <c:ptCount val="5"/>
                <c:pt idx="0">
                  <c:v>1</c:v>
                </c:pt>
                <c:pt idx="1">
                  <c:v>2</c:v>
                </c:pt>
                <c:pt idx="2">
                  <c:v>3</c:v>
                </c:pt>
                <c:pt idx="3">
                  <c:v>4</c:v>
                </c:pt>
                <c:pt idx="4">
                  <c:v>No ICSEA</c:v>
                </c:pt>
              </c:strCache>
            </c:strRef>
          </c:cat>
          <c:val>
            <c:numRef>
              <c:f>PT_ICSEA!$B$4:$B$8</c:f>
              <c:numCache>
                <c:formatCode>General</c:formatCode>
                <c:ptCount val="5"/>
                <c:pt idx="0">
                  <c:v>361</c:v>
                </c:pt>
                <c:pt idx="1">
                  <c:v>936</c:v>
                </c:pt>
                <c:pt idx="2">
                  <c:v>603</c:v>
                </c:pt>
                <c:pt idx="3">
                  <c:v>259</c:v>
                </c:pt>
                <c:pt idx="4">
                  <c:v>51</c:v>
                </c:pt>
              </c:numCache>
            </c:numRef>
          </c:val>
          <c:extLst>
            <c:ext xmlns:c16="http://schemas.microsoft.com/office/drawing/2014/chart" uri="{C3380CC4-5D6E-409C-BE32-E72D297353CC}">
              <c16:uniqueId val="{00000000-F9BE-470E-9F35-60AA94B8F526}"/>
            </c:ext>
          </c:extLst>
        </c:ser>
        <c:dLbls>
          <c:showLegendKey val="0"/>
          <c:showVal val="0"/>
          <c:showCatName val="0"/>
          <c:showSerName val="0"/>
          <c:showPercent val="0"/>
          <c:showBubbleSize val="0"/>
        </c:dLbls>
        <c:gapWidth val="219"/>
        <c:overlap val="-27"/>
        <c:axId val="593466383"/>
        <c:axId val="593462639"/>
      </c:barChart>
      <c:lineChart>
        <c:grouping val="standard"/>
        <c:varyColors val="0"/>
        <c:ser>
          <c:idx val="1"/>
          <c:order val="1"/>
          <c:tx>
            <c:strRef>
              <c:f>PT_ICSEA!$C$3</c:f>
              <c:strCache>
                <c:ptCount val="1"/>
                <c:pt idx="0">
                  <c:v>Avg Indigenous %</c:v>
                </c:pt>
              </c:strCache>
            </c:strRef>
          </c:tx>
          <c:spPr>
            <a:ln w="28575" cap="rnd">
              <a:solidFill>
                <a:schemeClr val="accent2"/>
              </a:solidFill>
              <a:round/>
            </a:ln>
            <a:effectLst/>
          </c:spPr>
          <c:marker>
            <c:symbol val="none"/>
          </c:marker>
          <c:cat>
            <c:strRef>
              <c:f>PT_ICSEA!$A$4:$A$8</c:f>
              <c:strCache>
                <c:ptCount val="5"/>
                <c:pt idx="0">
                  <c:v>1</c:v>
                </c:pt>
                <c:pt idx="1">
                  <c:v>2</c:v>
                </c:pt>
                <c:pt idx="2">
                  <c:v>3</c:v>
                </c:pt>
                <c:pt idx="3">
                  <c:v>4</c:v>
                </c:pt>
                <c:pt idx="4">
                  <c:v>No ICSEA</c:v>
                </c:pt>
              </c:strCache>
            </c:strRef>
          </c:cat>
          <c:val>
            <c:numRef>
              <c:f>PT_ICSEA!$C$4:$C$8</c:f>
              <c:numCache>
                <c:formatCode>?.0\%</c:formatCode>
                <c:ptCount val="5"/>
                <c:pt idx="0">
                  <c:v>42.566265060240966</c:v>
                </c:pt>
                <c:pt idx="1">
                  <c:v>15.571062740076824</c:v>
                </c:pt>
                <c:pt idx="2">
                  <c:v>5.5543478260869561</c:v>
                </c:pt>
                <c:pt idx="3">
                  <c:v>1.5813953488372092</c:v>
                </c:pt>
                <c:pt idx="4">
                  <c:v>14.285714285714286</c:v>
                </c:pt>
              </c:numCache>
            </c:numRef>
          </c:val>
          <c:smooth val="0"/>
          <c:extLst>
            <c:ext xmlns:c16="http://schemas.microsoft.com/office/drawing/2014/chart" uri="{C3380CC4-5D6E-409C-BE32-E72D297353CC}">
              <c16:uniqueId val="{00000001-F9BE-470E-9F35-60AA94B8F526}"/>
            </c:ext>
          </c:extLst>
        </c:ser>
        <c:dLbls>
          <c:showLegendKey val="0"/>
          <c:showVal val="0"/>
          <c:showCatName val="0"/>
          <c:showSerName val="0"/>
          <c:showPercent val="0"/>
          <c:showBubbleSize val="0"/>
        </c:dLbls>
        <c:marker val="1"/>
        <c:smooth val="0"/>
        <c:axId val="593471791"/>
        <c:axId val="593463055"/>
      </c:lineChart>
      <c:catAx>
        <c:axId val="59346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62639"/>
        <c:crosses val="autoZero"/>
        <c:auto val="1"/>
        <c:lblAlgn val="ctr"/>
        <c:lblOffset val="100"/>
        <c:noMultiLvlLbl val="0"/>
      </c:catAx>
      <c:valAx>
        <c:axId val="59346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66383"/>
        <c:crosses val="autoZero"/>
        <c:crossBetween val="between"/>
      </c:valAx>
      <c:valAx>
        <c:axId val="593463055"/>
        <c:scaling>
          <c:orientation val="minMax"/>
        </c:scaling>
        <c:delete val="0"/>
        <c:axPos val="r"/>
        <c:numFmt formatCode="?\%"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71791"/>
        <c:crosses val="max"/>
        <c:crossBetween val="between"/>
      </c:valAx>
      <c:catAx>
        <c:axId val="593471791"/>
        <c:scaling>
          <c:orientation val="minMax"/>
        </c:scaling>
        <c:delete val="1"/>
        <c:axPos val="b"/>
        <c:numFmt formatCode="General" sourceLinked="1"/>
        <c:majorTickMark val="out"/>
        <c:minorTickMark val="none"/>
        <c:tickLblPos val="nextTo"/>
        <c:crossAx val="59346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(1).xlsx]PT_Level!PivotTable4</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Central/community and special-purpose schools carry the highest Indigenous share; mainstream schools sit around 15%</a:t>
            </a:r>
            <a:endParaRPr lang="en-US"/>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PT_Level!$B$3</c:f>
              <c:strCache>
                <c:ptCount val="1"/>
                <c:pt idx="0">
                  <c:v>Total Schools</c:v>
                </c:pt>
              </c:strCache>
            </c:strRef>
          </c:tx>
          <c:spPr>
            <a:solidFill>
              <a:schemeClr val="accent1"/>
            </a:solidFill>
            <a:ln>
              <a:noFill/>
            </a:ln>
            <a:effectLst/>
          </c:spPr>
          <c:invertIfNegative val="0"/>
          <c:cat>
            <c:strRef>
              <c:f>PT_Level!$A$4:$A$10</c:f>
              <c:strCache>
                <c:ptCount val="7"/>
                <c:pt idx="0">
                  <c:v>Central/Community School</c:v>
                </c:pt>
                <c:pt idx="1">
                  <c:v>Schools for Specific Purposes</c:v>
                </c:pt>
                <c:pt idx="2">
                  <c:v>Primary School</c:v>
                </c:pt>
                <c:pt idx="3">
                  <c:v>Secondary School</c:v>
                </c:pt>
                <c:pt idx="4">
                  <c:v>Infants School</c:v>
                </c:pt>
                <c:pt idx="5">
                  <c:v>Environmental Education Centre</c:v>
                </c:pt>
                <c:pt idx="6">
                  <c:v>Other School</c:v>
                </c:pt>
              </c:strCache>
            </c:strRef>
          </c:cat>
          <c:val>
            <c:numRef>
              <c:f>PT_Level!$B$4:$B$10</c:f>
              <c:numCache>
                <c:formatCode>General</c:formatCode>
                <c:ptCount val="7"/>
                <c:pt idx="0">
                  <c:v>65</c:v>
                </c:pt>
                <c:pt idx="1">
                  <c:v>117</c:v>
                </c:pt>
                <c:pt idx="2">
                  <c:v>1582</c:v>
                </c:pt>
                <c:pt idx="3">
                  <c:v>408</c:v>
                </c:pt>
                <c:pt idx="4">
                  <c:v>14</c:v>
                </c:pt>
                <c:pt idx="5">
                  <c:v>22</c:v>
                </c:pt>
                <c:pt idx="6">
                  <c:v>2</c:v>
                </c:pt>
              </c:numCache>
            </c:numRef>
          </c:val>
          <c:extLst>
            <c:ext xmlns:c16="http://schemas.microsoft.com/office/drawing/2014/chart" uri="{C3380CC4-5D6E-409C-BE32-E72D297353CC}">
              <c16:uniqueId val="{00000000-6395-4AAE-A43C-708AE92B9591}"/>
            </c:ext>
          </c:extLst>
        </c:ser>
        <c:dLbls>
          <c:showLegendKey val="0"/>
          <c:showVal val="0"/>
          <c:showCatName val="0"/>
          <c:showSerName val="0"/>
          <c:showPercent val="0"/>
          <c:showBubbleSize val="0"/>
        </c:dLbls>
        <c:gapWidth val="150"/>
        <c:axId val="593419375"/>
        <c:axId val="593421039"/>
      </c:barChart>
      <c:lineChart>
        <c:grouping val="standard"/>
        <c:varyColors val="0"/>
        <c:ser>
          <c:idx val="1"/>
          <c:order val="1"/>
          <c:tx>
            <c:strRef>
              <c:f>PT_Level!$C$3</c:f>
              <c:strCache>
                <c:ptCount val="1"/>
                <c:pt idx="0">
                  <c:v>Avg indigenous %</c:v>
                </c:pt>
              </c:strCache>
            </c:strRef>
          </c:tx>
          <c:spPr>
            <a:ln w="28575" cap="rnd">
              <a:solidFill>
                <a:schemeClr val="accent2"/>
              </a:solidFill>
              <a:round/>
            </a:ln>
            <a:effectLst/>
          </c:spPr>
          <c:marker>
            <c:symbol val="none"/>
          </c:marker>
          <c:cat>
            <c:strRef>
              <c:f>PT_Level!$A$4:$A$10</c:f>
              <c:strCache>
                <c:ptCount val="7"/>
                <c:pt idx="0">
                  <c:v>Central/Community School</c:v>
                </c:pt>
                <c:pt idx="1">
                  <c:v>Schools for Specific Purposes</c:v>
                </c:pt>
                <c:pt idx="2">
                  <c:v>Primary School</c:v>
                </c:pt>
                <c:pt idx="3">
                  <c:v>Secondary School</c:v>
                </c:pt>
                <c:pt idx="4">
                  <c:v>Infants School</c:v>
                </c:pt>
                <c:pt idx="5">
                  <c:v>Environmental Education Centre</c:v>
                </c:pt>
                <c:pt idx="6">
                  <c:v>Other School</c:v>
                </c:pt>
              </c:strCache>
            </c:strRef>
          </c:cat>
          <c:val>
            <c:numRef>
              <c:f>PT_Level!$C$4:$C$10</c:f>
              <c:numCache>
                <c:formatCode>?.0\%</c:formatCode>
                <c:ptCount val="7"/>
                <c:pt idx="0">
                  <c:v>35.048387096774192</c:v>
                </c:pt>
                <c:pt idx="1">
                  <c:v>30.846153846153847</c:v>
                </c:pt>
                <c:pt idx="2">
                  <c:v>16.206030150753769</c:v>
                </c:pt>
                <c:pt idx="3">
                  <c:v>13.953804347826088</c:v>
                </c:pt>
                <c:pt idx="4">
                  <c:v>12.571428571428571</c:v>
                </c:pt>
              </c:numCache>
            </c:numRef>
          </c:val>
          <c:smooth val="0"/>
          <c:extLst>
            <c:ext xmlns:c16="http://schemas.microsoft.com/office/drawing/2014/chart" uri="{C3380CC4-5D6E-409C-BE32-E72D297353CC}">
              <c16:uniqueId val="{00000001-6395-4AAE-A43C-708AE92B9591}"/>
            </c:ext>
          </c:extLst>
        </c:ser>
        <c:dLbls>
          <c:showLegendKey val="0"/>
          <c:showVal val="0"/>
          <c:showCatName val="0"/>
          <c:showSerName val="0"/>
          <c:showPercent val="0"/>
          <c:showBubbleSize val="0"/>
        </c:dLbls>
        <c:marker val="1"/>
        <c:smooth val="0"/>
        <c:axId val="1172863"/>
        <c:axId val="1192831"/>
      </c:lineChart>
      <c:catAx>
        <c:axId val="59341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21039"/>
        <c:crosses val="autoZero"/>
        <c:auto val="1"/>
        <c:lblAlgn val="ctr"/>
        <c:lblOffset val="100"/>
        <c:noMultiLvlLbl val="0"/>
      </c:catAx>
      <c:valAx>
        <c:axId val="59342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19375"/>
        <c:crosses val="autoZero"/>
        <c:crossBetween val="between"/>
      </c:valAx>
      <c:valAx>
        <c:axId val="1192831"/>
        <c:scaling>
          <c:orientation val="minMax"/>
        </c:scaling>
        <c:delete val="0"/>
        <c:axPos val="r"/>
        <c:numFmt formatCode="?\%"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863"/>
        <c:crosses val="max"/>
        <c:crossBetween val="between"/>
      </c:valAx>
      <c:catAx>
        <c:axId val="1172863"/>
        <c:scaling>
          <c:orientation val="minMax"/>
        </c:scaling>
        <c:delete val="1"/>
        <c:axPos val="b"/>
        <c:numFmt formatCode="General" sourceLinked="1"/>
        <c:majorTickMark val="out"/>
        <c:minorTickMark val="none"/>
        <c:tickLblPos val="nextTo"/>
        <c:crossAx val="11928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(1).xlsx]PT_Paradox!PivotTable2</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Indigenous enrolment leans more regional than the state overall, yet Major Cities still hold the largest share (47%)</a:t>
            </a:r>
            <a:endParaRPr lang="en-US"/>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alpha val="67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alpha val="67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alpha val="67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PT_Paradox!$B$3</c:f>
              <c:strCache>
                <c:ptCount val="1"/>
                <c:pt idx="0">
                  <c:v>Total FTE</c:v>
                </c:pt>
              </c:strCache>
            </c:strRef>
          </c:tx>
          <c:spPr>
            <a:solidFill>
              <a:schemeClr val="accent1"/>
            </a:solidFill>
            <a:ln>
              <a:noFill/>
            </a:ln>
            <a:effectLst/>
          </c:spPr>
          <c:invertIfNegative val="0"/>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PT_Paradox!$B$4:$B$8</c:f>
              <c:numCache>
                <c:formatCode>0;[Red]0</c:formatCode>
                <c:ptCount val="5"/>
                <c:pt idx="0">
                  <c:v>590542.70000000007</c:v>
                </c:pt>
                <c:pt idx="1">
                  <c:v>143534.00000000003</c:v>
                </c:pt>
                <c:pt idx="2">
                  <c:v>35058.800000000003</c:v>
                </c:pt>
                <c:pt idx="3">
                  <c:v>2615.2000000000003</c:v>
                </c:pt>
                <c:pt idx="4">
                  <c:v>731</c:v>
                </c:pt>
              </c:numCache>
            </c:numRef>
          </c:val>
          <c:extLst>
            <c:ext xmlns:c16="http://schemas.microsoft.com/office/drawing/2014/chart" uri="{C3380CC4-5D6E-409C-BE32-E72D297353CC}">
              <c16:uniqueId val="{00000000-D757-490C-8968-BB8E96B6F1DC}"/>
            </c:ext>
          </c:extLst>
        </c:ser>
        <c:ser>
          <c:idx val="2"/>
          <c:order val="2"/>
          <c:tx>
            <c:strRef>
              <c:f>PT_Paradox!$D$3</c:f>
              <c:strCache>
                <c:ptCount val="1"/>
                <c:pt idx="0">
                  <c:v>Indigenous FTE</c:v>
                </c:pt>
              </c:strCache>
            </c:strRef>
          </c:tx>
          <c:spPr>
            <a:solidFill>
              <a:srgbClr val="FF0000">
                <a:alpha val="70000"/>
              </a:srgbClr>
            </a:solidFill>
            <a:ln>
              <a:noFill/>
            </a:ln>
            <a:effectLst/>
          </c:spPr>
          <c:invertIfNegative val="0"/>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PT_Paradox!$D$4:$D$8</c:f>
              <c:numCache>
                <c:formatCode>0;[Red]0</c:formatCode>
                <c:ptCount val="5"/>
                <c:pt idx="0">
                  <c:v>36296.185000000005</c:v>
                </c:pt>
                <c:pt idx="1">
                  <c:v>29106.542000000016</c:v>
                </c:pt>
                <c:pt idx="2">
                  <c:v>9756.8479999999963</c:v>
                </c:pt>
                <c:pt idx="3">
                  <c:v>1336.0239999999999</c:v>
                </c:pt>
                <c:pt idx="4">
                  <c:v>526.91000000000008</c:v>
                </c:pt>
              </c:numCache>
            </c:numRef>
          </c:val>
          <c:extLst>
            <c:ext xmlns:c16="http://schemas.microsoft.com/office/drawing/2014/chart" uri="{C3380CC4-5D6E-409C-BE32-E72D297353CC}">
              <c16:uniqueId val="{00000001-D757-490C-8968-BB8E96B6F1DC}"/>
            </c:ext>
          </c:extLst>
        </c:ser>
        <c:dLbls>
          <c:showLegendKey val="0"/>
          <c:showVal val="0"/>
          <c:showCatName val="0"/>
          <c:showSerName val="0"/>
          <c:showPercent val="0"/>
          <c:showBubbleSize val="0"/>
        </c:dLbls>
        <c:gapWidth val="219"/>
        <c:axId val="1214879"/>
        <c:axId val="1211967"/>
      </c:barChart>
      <c:lineChart>
        <c:grouping val="standard"/>
        <c:varyColors val="0"/>
        <c:ser>
          <c:idx val="1"/>
          <c:order val="1"/>
          <c:tx>
            <c:strRef>
              <c:f>PT_Paradox!$C$3</c:f>
              <c:strCache>
                <c:ptCount val="1"/>
                <c:pt idx="0">
                  <c:v>% of all students</c:v>
                </c:pt>
              </c:strCache>
            </c:strRef>
          </c:tx>
          <c:spPr>
            <a:ln w="28575" cap="rnd">
              <a:solidFill>
                <a:srgbClr val="00B050">
                  <a:alpha val="70000"/>
                </a:srgbClr>
              </a:solidFill>
              <a:round/>
            </a:ln>
            <a:effectLst/>
          </c:spPr>
          <c:marker>
            <c:symbol val="none"/>
          </c:marker>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PT_Paradox!$C$4:$C$8</c:f>
              <c:numCache>
                <c:formatCode>0.0%</c:formatCode>
                <c:ptCount val="5"/>
                <c:pt idx="0">
                  <c:v>0.76447467946489833</c:v>
                </c:pt>
                <c:pt idx="1">
                  <c:v>0.18580893243166791</c:v>
                </c:pt>
                <c:pt idx="2">
                  <c:v>4.5384635001709403E-2</c:v>
                </c:pt>
                <c:pt idx="3">
                  <c:v>3.3854523673505776E-3</c:v>
                </c:pt>
                <c:pt idx="4">
                  <c:v>9.4630073437338336E-4</c:v>
                </c:pt>
              </c:numCache>
            </c:numRef>
          </c:val>
          <c:smooth val="0"/>
          <c:extLst>
            <c:ext xmlns:c16="http://schemas.microsoft.com/office/drawing/2014/chart" uri="{C3380CC4-5D6E-409C-BE32-E72D297353CC}">
              <c16:uniqueId val="{00000002-D757-490C-8968-BB8E96B6F1DC}"/>
            </c:ext>
          </c:extLst>
        </c:ser>
        <c:ser>
          <c:idx val="3"/>
          <c:order val="3"/>
          <c:tx>
            <c:strRef>
              <c:f>PT_Paradox!$E$3</c:f>
              <c:strCache>
                <c:ptCount val="1"/>
                <c:pt idx="0">
                  <c:v>% of all Indigenous students</c:v>
                </c:pt>
              </c:strCache>
            </c:strRef>
          </c:tx>
          <c:spPr>
            <a:ln w="28575" cap="rnd">
              <a:solidFill>
                <a:srgbClr val="FFFF00">
                  <a:alpha val="67000"/>
                </a:srgbClr>
              </a:solidFill>
              <a:prstDash val="solid"/>
              <a:round/>
            </a:ln>
            <a:effectLst/>
          </c:spPr>
          <c:marker>
            <c:symbol val="none"/>
          </c:marker>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PT_Paradox!$E$4:$E$8</c:f>
              <c:numCache>
                <c:formatCode>0.0%</c:formatCode>
                <c:ptCount val="5"/>
                <c:pt idx="0">
                  <c:v>0.56561085972850678</c:v>
                </c:pt>
                <c:pt idx="1">
                  <c:v>0.27511312217194572</c:v>
                </c:pt>
                <c:pt idx="2">
                  <c:v>0.13665158371040723</c:v>
                </c:pt>
                <c:pt idx="3">
                  <c:v>1.5837104072398189E-2</c:v>
                </c:pt>
                <c:pt idx="4">
                  <c:v>6.7873303167420816E-3</c:v>
                </c:pt>
              </c:numCache>
            </c:numRef>
          </c:val>
          <c:smooth val="1"/>
          <c:extLst>
            <c:ext xmlns:c16="http://schemas.microsoft.com/office/drawing/2014/chart" uri="{C3380CC4-5D6E-409C-BE32-E72D297353CC}">
              <c16:uniqueId val="{00000003-D757-490C-8968-BB8E96B6F1DC}"/>
            </c:ext>
          </c:extLst>
        </c:ser>
        <c:dLbls>
          <c:showLegendKey val="0"/>
          <c:showVal val="0"/>
          <c:showCatName val="0"/>
          <c:showSerName val="0"/>
          <c:showPercent val="0"/>
          <c:showBubbleSize val="0"/>
        </c:dLbls>
        <c:marker val="1"/>
        <c:smooth val="0"/>
        <c:axId val="1206559"/>
        <c:axId val="1216959"/>
      </c:lineChart>
      <c:catAx>
        <c:axId val="121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67"/>
        <c:crosses val="autoZero"/>
        <c:auto val="1"/>
        <c:lblAlgn val="ctr"/>
        <c:lblOffset val="100"/>
        <c:noMultiLvlLbl val="0"/>
      </c:catAx>
      <c:valAx>
        <c:axId val="121196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879"/>
        <c:crosses val="autoZero"/>
        <c:crossBetween val="between"/>
      </c:valAx>
      <c:valAx>
        <c:axId val="121695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59"/>
        <c:crosses val="max"/>
        <c:crossBetween val="between"/>
      </c:valAx>
      <c:catAx>
        <c:axId val="1206559"/>
        <c:scaling>
          <c:orientation val="minMax"/>
        </c:scaling>
        <c:delete val="1"/>
        <c:axPos val="b"/>
        <c:numFmt formatCode="General" sourceLinked="1"/>
        <c:majorTickMark val="out"/>
        <c:minorTickMark val="none"/>
        <c:tickLblPos val="nextTo"/>
        <c:crossAx val="12169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(1).xlsx]PT_Remoteness!PivotTable1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PT_Remoteness!$B$3</c:f>
              <c:strCache>
                <c:ptCount val="1"/>
                <c:pt idx="0">
                  <c:v>Total FTE</c:v>
                </c:pt>
              </c:strCache>
            </c:strRef>
          </c:tx>
          <c:spPr>
            <a:solidFill>
              <a:schemeClr val="accent1"/>
            </a:solidFill>
            <a:ln>
              <a:noFill/>
            </a:ln>
            <a:effectLst/>
          </c:spPr>
          <c:invertIfNegative val="0"/>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PT_Remoteness!$B$4:$B$8</c:f>
              <c:numCache>
                <c:formatCode>0;[Red]0</c:formatCode>
                <c:ptCount val="5"/>
                <c:pt idx="0">
                  <c:v>590542.70000000007</c:v>
                </c:pt>
                <c:pt idx="1">
                  <c:v>143534.00000000003</c:v>
                </c:pt>
                <c:pt idx="2">
                  <c:v>35058.800000000003</c:v>
                </c:pt>
                <c:pt idx="3">
                  <c:v>2615.2000000000003</c:v>
                </c:pt>
                <c:pt idx="4">
                  <c:v>731</c:v>
                </c:pt>
              </c:numCache>
            </c:numRef>
          </c:val>
          <c:extLst>
            <c:ext xmlns:c16="http://schemas.microsoft.com/office/drawing/2014/chart" uri="{C3380CC4-5D6E-409C-BE32-E72D297353CC}">
              <c16:uniqueId val="{00000000-7405-4122-BA72-F8DE8AC9A18A}"/>
            </c:ext>
          </c:extLst>
        </c:ser>
        <c:ser>
          <c:idx val="1"/>
          <c:order val="1"/>
          <c:tx>
            <c:strRef>
              <c:f>PT_Remoteness!$C$3</c:f>
              <c:strCache>
                <c:ptCount val="1"/>
                <c:pt idx="0">
                  <c:v>Indigenous FTE</c:v>
                </c:pt>
              </c:strCache>
            </c:strRef>
          </c:tx>
          <c:spPr>
            <a:solidFill>
              <a:schemeClr val="accent2"/>
            </a:solidFill>
            <a:ln>
              <a:noFill/>
            </a:ln>
            <a:effectLst/>
          </c:spPr>
          <c:invertIfNegative val="0"/>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PT_Remoteness!$C$4:$C$8</c:f>
              <c:numCache>
                <c:formatCode>0;[Red]0</c:formatCode>
                <c:ptCount val="5"/>
                <c:pt idx="0">
                  <c:v>36296.185000000005</c:v>
                </c:pt>
                <c:pt idx="1">
                  <c:v>29106.542000000016</c:v>
                </c:pt>
                <c:pt idx="2">
                  <c:v>9756.8479999999963</c:v>
                </c:pt>
                <c:pt idx="3">
                  <c:v>1336.0239999999999</c:v>
                </c:pt>
                <c:pt idx="4">
                  <c:v>526.91000000000008</c:v>
                </c:pt>
              </c:numCache>
            </c:numRef>
          </c:val>
          <c:extLst>
            <c:ext xmlns:c16="http://schemas.microsoft.com/office/drawing/2014/chart" uri="{C3380CC4-5D6E-409C-BE32-E72D297353CC}">
              <c16:uniqueId val="{00000001-7405-4122-BA72-F8DE8AC9A18A}"/>
            </c:ext>
          </c:extLst>
        </c:ser>
        <c:dLbls>
          <c:showLegendKey val="0"/>
          <c:showVal val="0"/>
          <c:showCatName val="0"/>
          <c:showSerName val="0"/>
          <c:showPercent val="0"/>
          <c:showBubbleSize val="0"/>
        </c:dLbls>
        <c:gapWidth val="219"/>
        <c:axId val="1181599"/>
        <c:axId val="1195327"/>
      </c:barChart>
      <c:lineChart>
        <c:grouping val="standard"/>
        <c:varyColors val="0"/>
        <c:ser>
          <c:idx val="2"/>
          <c:order val="2"/>
          <c:tx>
            <c:strRef>
              <c:f>PT_Remoteness!$D$3</c:f>
              <c:strCache>
                <c:ptCount val="1"/>
                <c:pt idx="0">
                  <c:v>Indigenous % of enrolment</c:v>
                </c:pt>
              </c:strCache>
            </c:strRef>
          </c:tx>
          <c:spPr>
            <a:ln w="28575" cap="rnd">
              <a:solidFill>
                <a:schemeClr val="accent3"/>
              </a:solidFill>
              <a:round/>
            </a:ln>
            <a:effectLst/>
          </c:spPr>
          <c:marker>
            <c:symbol val="none"/>
          </c:marker>
          <c:cat>
            <c:strRef>
              <c:f>PT_Remoteness!$A$4:$A$8</c:f>
              <c:strCache>
                <c:ptCount val="5"/>
                <c:pt idx="0">
                  <c:v>Major Cities of Australia</c:v>
                </c:pt>
                <c:pt idx="1">
                  <c:v>Inner Regional Australia</c:v>
                </c:pt>
                <c:pt idx="2">
                  <c:v>Outer Regional Australia</c:v>
                </c:pt>
                <c:pt idx="3">
                  <c:v>Remote Australia</c:v>
                </c:pt>
                <c:pt idx="4">
                  <c:v>Very Remote Australia</c:v>
                </c:pt>
              </c:strCache>
            </c:strRef>
          </c:cat>
          <c:val>
            <c:numRef>
              <c:f>PT_Remoteness!$D$4:$D$8</c:f>
              <c:numCache>
                <c:formatCode>0.0%</c:formatCode>
                <c:ptCount val="5"/>
                <c:pt idx="0">
                  <c:v>6.1462422615671995E-2</c:v>
                </c:pt>
                <c:pt idx="1">
                  <c:v>0.20278499867627189</c:v>
                </c:pt>
                <c:pt idx="2">
                  <c:v>0.27829954248291427</c:v>
                </c:pt>
                <c:pt idx="3">
                  <c:v>0.51086876720709684</c:v>
                </c:pt>
                <c:pt idx="4">
                  <c:v>0.72080711354309179</c:v>
                </c:pt>
              </c:numCache>
            </c:numRef>
          </c:val>
          <c:smooth val="0"/>
          <c:extLst>
            <c:ext xmlns:c16="http://schemas.microsoft.com/office/drawing/2014/chart" uri="{C3380CC4-5D6E-409C-BE32-E72D297353CC}">
              <c16:uniqueId val="{00000002-7405-4122-BA72-F8DE8AC9A18A}"/>
            </c:ext>
          </c:extLst>
        </c:ser>
        <c:dLbls>
          <c:showLegendKey val="0"/>
          <c:showVal val="0"/>
          <c:showCatName val="0"/>
          <c:showSerName val="0"/>
          <c:showPercent val="0"/>
          <c:showBubbleSize val="0"/>
        </c:dLbls>
        <c:marker val="1"/>
        <c:smooth val="0"/>
        <c:axId val="1170367"/>
        <c:axId val="1191583"/>
      </c:lineChart>
      <c:catAx>
        <c:axId val="118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27"/>
        <c:crosses val="autoZero"/>
        <c:auto val="1"/>
        <c:lblAlgn val="ctr"/>
        <c:lblOffset val="100"/>
        <c:noMultiLvlLbl val="0"/>
      </c:catAx>
      <c:valAx>
        <c:axId val="119532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599"/>
        <c:crosses val="autoZero"/>
        <c:crossBetween val="between"/>
      </c:valAx>
      <c:valAx>
        <c:axId val="119158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367"/>
        <c:crosses val="max"/>
        <c:crossBetween val="between"/>
      </c:valAx>
      <c:catAx>
        <c:axId val="1170367"/>
        <c:scaling>
          <c:orientation val="minMax"/>
        </c:scaling>
        <c:delete val="1"/>
        <c:axPos val="b"/>
        <c:numFmt formatCode="General" sourceLinked="1"/>
        <c:majorTickMark val="out"/>
        <c:minorTickMark val="none"/>
        <c:tickLblPos val="nextTo"/>
        <c:crossAx val="11915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(1).xlsx]PT_Paradox!PivotTable2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alpha val="7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alpha val="67000"/>
              </a:srgb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PT_Paradox!$B$3</c:f>
              <c:strCache>
                <c:ptCount val="1"/>
                <c:pt idx="0">
                  <c:v>Total FTE</c:v>
                </c:pt>
              </c:strCache>
            </c:strRef>
          </c:tx>
          <c:spPr>
            <a:solidFill>
              <a:schemeClr val="accent1"/>
            </a:solidFill>
            <a:ln>
              <a:noFill/>
            </a:ln>
            <a:effectLst/>
          </c:spPr>
          <c:invertIfNegative val="0"/>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PT_Paradox!$B$4:$B$8</c:f>
              <c:numCache>
                <c:formatCode>0;[Red]0</c:formatCode>
                <c:ptCount val="5"/>
                <c:pt idx="0">
                  <c:v>590542.70000000007</c:v>
                </c:pt>
                <c:pt idx="1">
                  <c:v>143534.00000000003</c:v>
                </c:pt>
                <c:pt idx="2">
                  <c:v>35058.800000000003</c:v>
                </c:pt>
                <c:pt idx="3">
                  <c:v>2615.2000000000003</c:v>
                </c:pt>
                <c:pt idx="4">
                  <c:v>731</c:v>
                </c:pt>
              </c:numCache>
            </c:numRef>
          </c:val>
          <c:extLst>
            <c:ext xmlns:c16="http://schemas.microsoft.com/office/drawing/2014/chart" uri="{C3380CC4-5D6E-409C-BE32-E72D297353CC}">
              <c16:uniqueId val="{00000000-EA5E-470F-9592-CDB627C4751E}"/>
            </c:ext>
          </c:extLst>
        </c:ser>
        <c:ser>
          <c:idx val="2"/>
          <c:order val="2"/>
          <c:tx>
            <c:strRef>
              <c:f>PT_Paradox!$D$3</c:f>
              <c:strCache>
                <c:ptCount val="1"/>
                <c:pt idx="0">
                  <c:v>Indigenous FTE</c:v>
                </c:pt>
              </c:strCache>
            </c:strRef>
          </c:tx>
          <c:spPr>
            <a:solidFill>
              <a:srgbClr val="FF0000">
                <a:alpha val="70000"/>
              </a:srgbClr>
            </a:solidFill>
            <a:ln>
              <a:noFill/>
            </a:ln>
            <a:effectLst/>
          </c:spPr>
          <c:invertIfNegative val="0"/>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PT_Paradox!$D$4:$D$8</c:f>
              <c:numCache>
                <c:formatCode>0;[Red]0</c:formatCode>
                <c:ptCount val="5"/>
                <c:pt idx="0">
                  <c:v>36296.185000000005</c:v>
                </c:pt>
                <c:pt idx="1">
                  <c:v>29106.542000000016</c:v>
                </c:pt>
                <c:pt idx="2">
                  <c:v>9756.8479999999963</c:v>
                </c:pt>
                <c:pt idx="3">
                  <c:v>1336.0239999999999</c:v>
                </c:pt>
                <c:pt idx="4">
                  <c:v>526.91000000000008</c:v>
                </c:pt>
              </c:numCache>
            </c:numRef>
          </c:val>
          <c:extLst>
            <c:ext xmlns:c16="http://schemas.microsoft.com/office/drawing/2014/chart" uri="{C3380CC4-5D6E-409C-BE32-E72D297353CC}">
              <c16:uniqueId val="{00000002-EA5E-470F-9592-CDB627C4751E}"/>
            </c:ext>
          </c:extLst>
        </c:ser>
        <c:dLbls>
          <c:showLegendKey val="0"/>
          <c:showVal val="0"/>
          <c:showCatName val="0"/>
          <c:showSerName val="0"/>
          <c:showPercent val="0"/>
          <c:showBubbleSize val="0"/>
        </c:dLbls>
        <c:gapWidth val="219"/>
        <c:axId val="1214879"/>
        <c:axId val="1211967"/>
      </c:barChart>
      <c:lineChart>
        <c:grouping val="standard"/>
        <c:varyColors val="0"/>
        <c:ser>
          <c:idx val="1"/>
          <c:order val="1"/>
          <c:tx>
            <c:strRef>
              <c:f>PT_Paradox!$C$3</c:f>
              <c:strCache>
                <c:ptCount val="1"/>
                <c:pt idx="0">
                  <c:v>% of all students</c:v>
                </c:pt>
              </c:strCache>
            </c:strRef>
          </c:tx>
          <c:spPr>
            <a:ln w="28575" cap="rnd">
              <a:solidFill>
                <a:srgbClr val="00B050">
                  <a:alpha val="70000"/>
                </a:srgbClr>
              </a:solidFill>
              <a:round/>
            </a:ln>
            <a:effectLst/>
          </c:spPr>
          <c:marker>
            <c:symbol val="none"/>
          </c:marker>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PT_Paradox!$C$4:$C$8</c:f>
              <c:numCache>
                <c:formatCode>0.0%</c:formatCode>
                <c:ptCount val="5"/>
                <c:pt idx="0">
                  <c:v>0.76447467946489833</c:v>
                </c:pt>
                <c:pt idx="1">
                  <c:v>0.18580893243166791</c:v>
                </c:pt>
                <c:pt idx="2">
                  <c:v>4.5384635001709403E-2</c:v>
                </c:pt>
                <c:pt idx="3">
                  <c:v>3.3854523673505776E-3</c:v>
                </c:pt>
                <c:pt idx="4">
                  <c:v>9.4630073437338336E-4</c:v>
                </c:pt>
              </c:numCache>
            </c:numRef>
          </c:val>
          <c:smooth val="0"/>
          <c:extLst>
            <c:ext xmlns:c16="http://schemas.microsoft.com/office/drawing/2014/chart" uri="{C3380CC4-5D6E-409C-BE32-E72D297353CC}">
              <c16:uniqueId val="{00000001-EA5E-470F-9592-CDB627C4751E}"/>
            </c:ext>
          </c:extLst>
        </c:ser>
        <c:ser>
          <c:idx val="3"/>
          <c:order val="3"/>
          <c:tx>
            <c:strRef>
              <c:f>PT_Paradox!$E$3</c:f>
              <c:strCache>
                <c:ptCount val="1"/>
                <c:pt idx="0">
                  <c:v>% of all Indigenous students</c:v>
                </c:pt>
              </c:strCache>
            </c:strRef>
          </c:tx>
          <c:spPr>
            <a:ln w="28575" cap="rnd">
              <a:solidFill>
                <a:srgbClr val="FFFF00">
                  <a:alpha val="67000"/>
                </a:srgbClr>
              </a:solidFill>
              <a:prstDash val="solid"/>
              <a:round/>
            </a:ln>
            <a:effectLst/>
          </c:spPr>
          <c:marker>
            <c:symbol val="none"/>
          </c:marker>
          <c:cat>
            <c:strRef>
              <c:f>PT_Paradox!$A$4:$A$8</c:f>
              <c:strCache>
                <c:ptCount val="5"/>
                <c:pt idx="0">
                  <c:v>Major Cities of Australia</c:v>
                </c:pt>
                <c:pt idx="1">
                  <c:v>Inner Regional Australia</c:v>
                </c:pt>
                <c:pt idx="2">
                  <c:v>Outer Regional Australia</c:v>
                </c:pt>
                <c:pt idx="3">
                  <c:v>Remote Australia</c:v>
                </c:pt>
                <c:pt idx="4">
                  <c:v>Very Remote Australia</c:v>
                </c:pt>
              </c:strCache>
            </c:strRef>
          </c:cat>
          <c:val>
            <c:numRef>
              <c:f>PT_Paradox!$E$4:$E$8</c:f>
              <c:numCache>
                <c:formatCode>0.0%</c:formatCode>
                <c:ptCount val="5"/>
                <c:pt idx="0">
                  <c:v>0.56561085972850678</c:v>
                </c:pt>
                <c:pt idx="1">
                  <c:v>0.27511312217194572</c:v>
                </c:pt>
                <c:pt idx="2">
                  <c:v>0.13665158371040723</c:v>
                </c:pt>
                <c:pt idx="3">
                  <c:v>1.5837104072398189E-2</c:v>
                </c:pt>
                <c:pt idx="4">
                  <c:v>6.7873303167420816E-3</c:v>
                </c:pt>
              </c:numCache>
            </c:numRef>
          </c:val>
          <c:smooth val="1"/>
          <c:extLst>
            <c:ext xmlns:c16="http://schemas.microsoft.com/office/drawing/2014/chart" uri="{C3380CC4-5D6E-409C-BE32-E72D297353CC}">
              <c16:uniqueId val="{00000003-EA5E-470F-9592-CDB627C4751E}"/>
            </c:ext>
          </c:extLst>
        </c:ser>
        <c:dLbls>
          <c:showLegendKey val="0"/>
          <c:showVal val="0"/>
          <c:showCatName val="0"/>
          <c:showSerName val="0"/>
          <c:showPercent val="0"/>
          <c:showBubbleSize val="0"/>
        </c:dLbls>
        <c:marker val="1"/>
        <c:smooth val="0"/>
        <c:axId val="1206559"/>
        <c:axId val="1216959"/>
      </c:lineChart>
      <c:catAx>
        <c:axId val="121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67"/>
        <c:crosses val="autoZero"/>
        <c:auto val="1"/>
        <c:lblAlgn val="ctr"/>
        <c:lblOffset val="100"/>
        <c:noMultiLvlLbl val="0"/>
      </c:catAx>
      <c:valAx>
        <c:axId val="1211967"/>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879"/>
        <c:crosses val="autoZero"/>
        <c:crossBetween val="between"/>
      </c:valAx>
      <c:valAx>
        <c:axId val="121695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59"/>
        <c:crosses val="max"/>
        <c:crossBetween val="between"/>
      </c:valAx>
      <c:catAx>
        <c:axId val="1206559"/>
        <c:scaling>
          <c:orientation val="minMax"/>
        </c:scaling>
        <c:delete val="1"/>
        <c:axPos val="b"/>
        <c:numFmt formatCode="General" sourceLinked="1"/>
        <c:majorTickMark val="out"/>
        <c:minorTickMark val="none"/>
        <c:tickLblPos val="nextTo"/>
        <c:crossAx val="121695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(1).xlsx]PT_ICSEA!PivotTable3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PT_ICSEA!$B$3</c:f>
              <c:strCache>
                <c:ptCount val="1"/>
                <c:pt idx="0">
                  <c:v>Total Schools</c:v>
                </c:pt>
              </c:strCache>
            </c:strRef>
          </c:tx>
          <c:spPr>
            <a:solidFill>
              <a:schemeClr val="accent1"/>
            </a:solidFill>
            <a:ln>
              <a:noFill/>
            </a:ln>
            <a:effectLst/>
          </c:spPr>
          <c:invertIfNegative val="0"/>
          <c:cat>
            <c:strRef>
              <c:f>PT_ICSEA!$A$4:$A$8</c:f>
              <c:strCache>
                <c:ptCount val="5"/>
                <c:pt idx="0">
                  <c:v>1</c:v>
                </c:pt>
                <c:pt idx="1">
                  <c:v>2</c:v>
                </c:pt>
                <c:pt idx="2">
                  <c:v>3</c:v>
                </c:pt>
                <c:pt idx="3">
                  <c:v>4</c:v>
                </c:pt>
                <c:pt idx="4">
                  <c:v>No ICSEA</c:v>
                </c:pt>
              </c:strCache>
            </c:strRef>
          </c:cat>
          <c:val>
            <c:numRef>
              <c:f>PT_ICSEA!$B$4:$B$8</c:f>
              <c:numCache>
                <c:formatCode>General</c:formatCode>
                <c:ptCount val="5"/>
                <c:pt idx="0">
                  <c:v>361</c:v>
                </c:pt>
                <c:pt idx="1">
                  <c:v>936</c:v>
                </c:pt>
                <c:pt idx="2">
                  <c:v>603</c:v>
                </c:pt>
                <c:pt idx="3">
                  <c:v>259</c:v>
                </c:pt>
                <c:pt idx="4">
                  <c:v>51</c:v>
                </c:pt>
              </c:numCache>
            </c:numRef>
          </c:val>
          <c:extLst>
            <c:ext xmlns:c16="http://schemas.microsoft.com/office/drawing/2014/chart" uri="{C3380CC4-5D6E-409C-BE32-E72D297353CC}">
              <c16:uniqueId val="{00000000-030D-4638-8B87-C5049B495BE4}"/>
            </c:ext>
          </c:extLst>
        </c:ser>
        <c:dLbls>
          <c:showLegendKey val="0"/>
          <c:showVal val="0"/>
          <c:showCatName val="0"/>
          <c:showSerName val="0"/>
          <c:showPercent val="0"/>
          <c:showBubbleSize val="0"/>
        </c:dLbls>
        <c:gapWidth val="219"/>
        <c:overlap val="-27"/>
        <c:axId val="593466383"/>
        <c:axId val="593462639"/>
      </c:barChart>
      <c:lineChart>
        <c:grouping val="standard"/>
        <c:varyColors val="0"/>
        <c:ser>
          <c:idx val="1"/>
          <c:order val="1"/>
          <c:tx>
            <c:strRef>
              <c:f>PT_ICSEA!$C$3</c:f>
              <c:strCache>
                <c:ptCount val="1"/>
                <c:pt idx="0">
                  <c:v>Avg Indigenous %</c:v>
                </c:pt>
              </c:strCache>
            </c:strRef>
          </c:tx>
          <c:spPr>
            <a:ln w="28575" cap="rnd">
              <a:solidFill>
                <a:schemeClr val="accent2"/>
              </a:solidFill>
              <a:round/>
            </a:ln>
            <a:effectLst/>
          </c:spPr>
          <c:marker>
            <c:symbol val="none"/>
          </c:marker>
          <c:cat>
            <c:strRef>
              <c:f>PT_ICSEA!$A$4:$A$8</c:f>
              <c:strCache>
                <c:ptCount val="5"/>
                <c:pt idx="0">
                  <c:v>1</c:v>
                </c:pt>
                <c:pt idx="1">
                  <c:v>2</c:v>
                </c:pt>
                <c:pt idx="2">
                  <c:v>3</c:v>
                </c:pt>
                <c:pt idx="3">
                  <c:v>4</c:v>
                </c:pt>
                <c:pt idx="4">
                  <c:v>No ICSEA</c:v>
                </c:pt>
              </c:strCache>
            </c:strRef>
          </c:cat>
          <c:val>
            <c:numRef>
              <c:f>PT_ICSEA!$C$4:$C$8</c:f>
              <c:numCache>
                <c:formatCode>?.0\%</c:formatCode>
                <c:ptCount val="5"/>
                <c:pt idx="0">
                  <c:v>42.566265060240966</c:v>
                </c:pt>
                <c:pt idx="1">
                  <c:v>15.571062740076824</c:v>
                </c:pt>
                <c:pt idx="2">
                  <c:v>5.5543478260869561</c:v>
                </c:pt>
                <c:pt idx="3">
                  <c:v>1.5813953488372092</c:v>
                </c:pt>
                <c:pt idx="4">
                  <c:v>14.285714285714286</c:v>
                </c:pt>
              </c:numCache>
            </c:numRef>
          </c:val>
          <c:smooth val="0"/>
          <c:extLst>
            <c:ext xmlns:c16="http://schemas.microsoft.com/office/drawing/2014/chart" uri="{C3380CC4-5D6E-409C-BE32-E72D297353CC}">
              <c16:uniqueId val="{00000001-030D-4638-8B87-C5049B495BE4}"/>
            </c:ext>
          </c:extLst>
        </c:ser>
        <c:dLbls>
          <c:showLegendKey val="0"/>
          <c:showVal val="0"/>
          <c:showCatName val="0"/>
          <c:showSerName val="0"/>
          <c:showPercent val="0"/>
          <c:showBubbleSize val="0"/>
        </c:dLbls>
        <c:marker val="1"/>
        <c:smooth val="0"/>
        <c:axId val="593471791"/>
        <c:axId val="593463055"/>
      </c:lineChart>
      <c:catAx>
        <c:axId val="59346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62639"/>
        <c:crosses val="autoZero"/>
        <c:auto val="1"/>
        <c:lblAlgn val="ctr"/>
        <c:lblOffset val="100"/>
        <c:noMultiLvlLbl val="0"/>
      </c:catAx>
      <c:valAx>
        <c:axId val="59346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66383"/>
        <c:crosses val="autoZero"/>
        <c:crossBetween val="between"/>
      </c:valAx>
      <c:valAx>
        <c:axId val="59346305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71791"/>
        <c:crosses val="max"/>
        <c:crossBetween val="between"/>
      </c:valAx>
      <c:catAx>
        <c:axId val="593471791"/>
        <c:scaling>
          <c:orientation val="minMax"/>
        </c:scaling>
        <c:delete val="1"/>
        <c:axPos val="b"/>
        <c:numFmt formatCode="General" sourceLinked="1"/>
        <c:majorTickMark val="out"/>
        <c:minorTickMark val="none"/>
        <c:tickLblPos val="nextTo"/>
        <c:crossAx val="5934630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[NSW_Schools_Indigenous_Analysis (1).xlsx]PT_Level!PivotTable4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PT_Level!$B$3</c:f>
              <c:strCache>
                <c:ptCount val="1"/>
                <c:pt idx="0">
                  <c:v>Total Schools</c:v>
                </c:pt>
              </c:strCache>
            </c:strRef>
          </c:tx>
          <c:spPr>
            <a:solidFill>
              <a:schemeClr val="accent1"/>
            </a:solidFill>
            <a:ln>
              <a:noFill/>
            </a:ln>
            <a:effectLst/>
          </c:spPr>
          <c:invertIfNegative val="0"/>
          <c:cat>
            <c:strRef>
              <c:f>PT_Level!$A$4:$A$10</c:f>
              <c:strCache>
                <c:ptCount val="7"/>
                <c:pt idx="0">
                  <c:v>Central/Community School</c:v>
                </c:pt>
                <c:pt idx="1">
                  <c:v>Schools for Specific Purposes</c:v>
                </c:pt>
                <c:pt idx="2">
                  <c:v>Primary School</c:v>
                </c:pt>
                <c:pt idx="3">
                  <c:v>Secondary School</c:v>
                </c:pt>
                <c:pt idx="4">
                  <c:v>Infants School</c:v>
                </c:pt>
                <c:pt idx="5">
                  <c:v>Environmental Education Centre</c:v>
                </c:pt>
                <c:pt idx="6">
                  <c:v>Other School</c:v>
                </c:pt>
              </c:strCache>
            </c:strRef>
          </c:cat>
          <c:val>
            <c:numRef>
              <c:f>PT_Level!$B$4:$B$10</c:f>
              <c:numCache>
                <c:formatCode>General</c:formatCode>
                <c:ptCount val="7"/>
                <c:pt idx="0">
                  <c:v>65</c:v>
                </c:pt>
                <c:pt idx="1">
                  <c:v>117</c:v>
                </c:pt>
                <c:pt idx="2">
                  <c:v>1582</c:v>
                </c:pt>
                <c:pt idx="3">
                  <c:v>408</c:v>
                </c:pt>
                <c:pt idx="4">
                  <c:v>14</c:v>
                </c:pt>
                <c:pt idx="5">
                  <c:v>22</c:v>
                </c:pt>
                <c:pt idx="6">
                  <c:v>2</c:v>
                </c:pt>
              </c:numCache>
            </c:numRef>
          </c:val>
          <c:extLst>
            <c:ext xmlns:c16="http://schemas.microsoft.com/office/drawing/2014/chart" uri="{C3380CC4-5D6E-409C-BE32-E72D297353CC}">
              <c16:uniqueId val="{00000000-D5BB-4BB5-92C9-C8246FC92590}"/>
            </c:ext>
          </c:extLst>
        </c:ser>
        <c:dLbls>
          <c:showLegendKey val="0"/>
          <c:showVal val="0"/>
          <c:showCatName val="0"/>
          <c:showSerName val="0"/>
          <c:showPercent val="0"/>
          <c:showBubbleSize val="0"/>
        </c:dLbls>
        <c:gapWidth val="150"/>
        <c:axId val="593419375"/>
        <c:axId val="593421039"/>
      </c:barChart>
      <c:lineChart>
        <c:grouping val="standard"/>
        <c:varyColors val="0"/>
        <c:ser>
          <c:idx val="1"/>
          <c:order val="1"/>
          <c:tx>
            <c:strRef>
              <c:f>PT_Level!$C$3</c:f>
              <c:strCache>
                <c:ptCount val="1"/>
                <c:pt idx="0">
                  <c:v>Avg indigenous %</c:v>
                </c:pt>
              </c:strCache>
            </c:strRef>
          </c:tx>
          <c:spPr>
            <a:ln w="28575" cap="rnd">
              <a:solidFill>
                <a:schemeClr val="accent2"/>
              </a:solidFill>
              <a:round/>
            </a:ln>
            <a:effectLst/>
          </c:spPr>
          <c:marker>
            <c:symbol val="none"/>
          </c:marker>
          <c:cat>
            <c:strRef>
              <c:f>PT_Level!$A$4:$A$10</c:f>
              <c:strCache>
                <c:ptCount val="7"/>
                <c:pt idx="0">
                  <c:v>Central/Community School</c:v>
                </c:pt>
                <c:pt idx="1">
                  <c:v>Schools for Specific Purposes</c:v>
                </c:pt>
                <c:pt idx="2">
                  <c:v>Primary School</c:v>
                </c:pt>
                <c:pt idx="3">
                  <c:v>Secondary School</c:v>
                </c:pt>
                <c:pt idx="4">
                  <c:v>Infants School</c:v>
                </c:pt>
                <c:pt idx="5">
                  <c:v>Environmental Education Centre</c:v>
                </c:pt>
                <c:pt idx="6">
                  <c:v>Other School</c:v>
                </c:pt>
              </c:strCache>
            </c:strRef>
          </c:cat>
          <c:val>
            <c:numRef>
              <c:f>PT_Level!$C$4:$C$10</c:f>
              <c:numCache>
                <c:formatCode>?.0\%</c:formatCode>
                <c:ptCount val="7"/>
                <c:pt idx="0">
                  <c:v>35.048387096774192</c:v>
                </c:pt>
                <c:pt idx="1">
                  <c:v>30.846153846153847</c:v>
                </c:pt>
                <c:pt idx="2">
                  <c:v>16.206030150753769</c:v>
                </c:pt>
                <c:pt idx="3">
                  <c:v>13.953804347826088</c:v>
                </c:pt>
                <c:pt idx="4">
                  <c:v>12.571428571428571</c:v>
                </c:pt>
              </c:numCache>
            </c:numRef>
          </c:val>
          <c:smooth val="0"/>
          <c:extLst>
            <c:ext xmlns:c16="http://schemas.microsoft.com/office/drawing/2014/chart" uri="{C3380CC4-5D6E-409C-BE32-E72D297353CC}">
              <c16:uniqueId val="{00000001-D5BB-4BB5-92C9-C8246FC92590}"/>
            </c:ext>
          </c:extLst>
        </c:ser>
        <c:dLbls>
          <c:showLegendKey val="0"/>
          <c:showVal val="0"/>
          <c:showCatName val="0"/>
          <c:showSerName val="0"/>
          <c:showPercent val="0"/>
          <c:showBubbleSize val="0"/>
        </c:dLbls>
        <c:marker val="1"/>
        <c:smooth val="0"/>
        <c:axId val="1172863"/>
        <c:axId val="1192831"/>
      </c:lineChart>
      <c:catAx>
        <c:axId val="59341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21039"/>
        <c:crosses val="autoZero"/>
        <c:auto val="1"/>
        <c:lblAlgn val="ctr"/>
        <c:lblOffset val="100"/>
        <c:noMultiLvlLbl val="0"/>
      </c:catAx>
      <c:valAx>
        <c:axId val="59342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19375"/>
        <c:crosses val="autoZero"/>
        <c:crossBetween val="between"/>
      </c:valAx>
      <c:valAx>
        <c:axId val="11928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863"/>
        <c:crosses val="max"/>
        <c:crossBetween val="between"/>
      </c:valAx>
      <c:catAx>
        <c:axId val="1172863"/>
        <c:scaling>
          <c:orientation val="minMax"/>
        </c:scaling>
        <c:delete val="1"/>
        <c:axPos val="b"/>
        <c:numFmt formatCode="General" sourceLinked="1"/>
        <c:majorTickMark val="out"/>
        <c:minorTickMark val="none"/>
        <c:tickLblPos val="nextTo"/>
        <c:crossAx val="11928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83279</xdr:colOff>
      <xdr:row>4</xdr:row>
      <xdr:rowOff>0</xdr:rowOff>
    </xdr:from>
    <xdr:to>
      <xdr:col>4</xdr:col>
      <xdr:colOff>364345</xdr:colOff>
      <xdr:row>26</xdr:row>
      <xdr:rowOff>72869</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83279" y="749508"/>
          <a:ext cx="2737787" cy="4195164"/>
          <a:chOff x="981347" y="135328"/>
          <a:chExt cx="2438273" cy="2728741"/>
        </a:xfrm>
      </xdr:grpSpPr>
      <mc:AlternateContent xmlns:mc="http://schemas.openxmlformats.org/markup-compatibility/2006">
        <mc:Choice xmlns:a14="http://schemas.microsoft.com/office/drawing/2010/main" Requires="a14">
          <xdr:graphicFrame macro="">
            <xdr:nvGraphicFramePr>
              <xdr:cNvPr id="7" name="Enrolment_band">
                <a:extLst>
                  <a:ext uri="{FF2B5EF4-FFF2-40B4-BE49-F238E27FC236}">
                    <a16:creationId xmlns:a16="http://schemas.microsoft.com/office/drawing/2014/main" id="{00000000-0008-0000-0100-000007000000}"/>
                  </a:ext>
                </a:extLst>
              </xdr:cNvPr>
              <xdr:cNvGraphicFramePr/>
            </xdr:nvGraphicFramePr>
            <xdr:xfrm>
              <a:off x="1009755" y="135328"/>
              <a:ext cx="2409865" cy="590549"/>
            </xdr:xfrm>
            <a:graphic>
              <a:graphicData uri="http://schemas.microsoft.com/office/drawing/2010/slicer">
                <sle:slicer xmlns:sle="http://schemas.microsoft.com/office/drawing/2010/slicer" name="Enrolment_band"/>
              </a:graphicData>
            </a:graphic>
          </xdr:graphicFrame>
        </mc:Choice>
        <mc:Fallback>
          <xdr:sp macro="" textlink="">
            <xdr:nvSpPr>
              <xdr:cNvPr id="0" name=""/>
              <xdr:cNvSpPr>
                <a:spLocks noTextEdit="1"/>
              </xdr:cNvSpPr>
            </xdr:nvSpPr>
            <xdr:spPr>
              <a:xfrm>
                <a:off x="115177" y="749508"/>
                <a:ext cx="2705889" cy="907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Selective_school">
                <a:extLst>
                  <a:ext uri="{FF2B5EF4-FFF2-40B4-BE49-F238E27FC236}">
                    <a16:creationId xmlns:a16="http://schemas.microsoft.com/office/drawing/2014/main" id="{00000000-0008-0000-0100-000008000000}"/>
                  </a:ext>
                </a:extLst>
              </xdr:cNvPr>
              <xdr:cNvGraphicFramePr/>
            </xdr:nvGraphicFramePr>
            <xdr:xfrm>
              <a:off x="992480" y="811967"/>
              <a:ext cx="2414039" cy="593361"/>
            </xdr:xfrm>
            <a:graphic>
              <a:graphicData uri="http://schemas.microsoft.com/office/drawing/2010/slicer">
                <sle:slicer xmlns:sle="http://schemas.microsoft.com/office/drawing/2010/slicer" name="Selective_school"/>
              </a:graphicData>
            </a:graphic>
          </xdr:graphicFrame>
        </mc:Choice>
        <mc:Fallback>
          <xdr:sp macro="" textlink="">
            <xdr:nvSpPr>
              <xdr:cNvPr id="0" name=""/>
              <xdr:cNvSpPr>
                <a:spLocks noTextEdit="1"/>
              </xdr:cNvSpPr>
            </xdr:nvSpPr>
            <xdr:spPr>
              <a:xfrm>
                <a:off x="95780" y="1789772"/>
                <a:ext cx="2710576" cy="912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Level_of_schooling">
                <a:extLst>
                  <a:ext uri="{FF2B5EF4-FFF2-40B4-BE49-F238E27FC236}">
                    <a16:creationId xmlns:a16="http://schemas.microsoft.com/office/drawing/2014/main" id="{00000000-0008-0000-0100-000009000000}"/>
                  </a:ext>
                </a:extLst>
              </xdr:cNvPr>
              <xdr:cNvGraphicFramePr/>
            </xdr:nvGraphicFramePr>
            <xdr:xfrm>
              <a:off x="989447" y="1482295"/>
              <a:ext cx="2414039" cy="624590"/>
            </xdr:xfrm>
            <a:graphic>
              <a:graphicData uri="http://schemas.microsoft.com/office/drawing/2010/slicer">
                <sle:slicer xmlns:sle="http://schemas.microsoft.com/office/drawing/2010/slicer" name="Level_of_schooling"/>
              </a:graphicData>
            </a:graphic>
          </xdr:graphicFrame>
        </mc:Choice>
        <mc:Fallback>
          <xdr:sp macro="" textlink="">
            <xdr:nvSpPr>
              <xdr:cNvPr id="0" name=""/>
              <xdr:cNvSpPr>
                <a:spLocks noTextEdit="1"/>
              </xdr:cNvSpPr>
            </xdr:nvSpPr>
            <xdr:spPr>
              <a:xfrm>
                <a:off x="92374" y="2820334"/>
                <a:ext cx="2710576" cy="960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Remoteness_order">
                <a:extLst>
                  <a:ext uri="{FF2B5EF4-FFF2-40B4-BE49-F238E27FC236}">
                    <a16:creationId xmlns:a16="http://schemas.microsoft.com/office/drawing/2014/main" id="{00000000-0008-0000-0100-00000A000000}"/>
                  </a:ext>
                </a:extLst>
              </xdr:cNvPr>
              <xdr:cNvGraphicFramePr/>
            </xdr:nvGraphicFramePr>
            <xdr:xfrm>
              <a:off x="981347" y="2218660"/>
              <a:ext cx="2414039" cy="645409"/>
            </xdr:xfrm>
            <a:graphic>
              <a:graphicData uri="http://schemas.microsoft.com/office/drawing/2010/slicer">
                <sle:slicer xmlns:sle="http://schemas.microsoft.com/office/drawing/2010/slicer" name="Remoteness_order"/>
              </a:graphicData>
            </a:graphic>
          </xdr:graphicFrame>
        </mc:Choice>
        <mc:Fallback>
          <xdr:sp macro="" textlink="">
            <xdr:nvSpPr>
              <xdr:cNvPr id="0" name=""/>
              <xdr:cNvSpPr>
                <a:spLocks noTextEdit="1"/>
              </xdr:cNvSpPr>
            </xdr:nvSpPr>
            <xdr:spPr>
              <a:xfrm>
                <a:off x="83279" y="3952421"/>
                <a:ext cx="2710576" cy="992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0</xdr:colOff>
      <xdr:row>0</xdr:row>
      <xdr:rowOff>0</xdr:rowOff>
    </xdr:from>
    <xdr:to>
      <xdr:col>26</xdr:col>
      <xdr:colOff>10409</xdr:colOff>
      <xdr:row>3</xdr:row>
      <xdr:rowOff>31230</xdr:rowOff>
    </xdr:to>
    <xdr:sp macro="" textlink="">
      <xdr:nvSpPr>
        <xdr:cNvPr id="60" name="DashboardTitle">
          <a:extLst>
            <a:ext uri="{FF2B5EF4-FFF2-40B4-BE49-F238E27FC236}">
              <a16:creationId xmlns:a16="http://schemas.microsoft.com/office/drawing/2014/main" id="{00000000-0008-0000-0100-00003C000000}"/>
            </a:ext>
          </a:extLst>
        </xdr:cNvPr>
        <xdr:cNvSpPr/>
      </xdr:nvSpPr>
      <xdr:spPr>
        <a:xfrm>
          <a:off x="0" y="0"/>
          <a:ext cx="15979098" cy="593361"/>
        </a:xfrm>
        <a:prstGeom prst="rect">
          <a:avLst/>
        </a:prstGeom>
        <a:solidFill>
          <a:srgbClr val="1F3864"/>
        </a:solidFill>
      </xdr:spPr>
      <xdr:txBody>
        <a:bodyPr vertOverflow="clip" horzOverflow="clip" wrap="square" lIns="137160" tIns="45720" rIns="91440" bIns="45720" anchor="ctr"/>
        <a:lstStyle/>
        <a:p>
          <a:pPr algn="ctr"/>
          <a:r>
            <a:rPr lang="en-US" sz="2000" b="1">
              <a:solidFill>
                <a:srgbClr val="FFFFFF"/>
              </a:solidFill>
              <a:latin typeface="Arial"/>
            </a:rPr>
            <a:t>NSW Public Schools — Indigenous Enrolment Dashboard</a:t>
          </a:r>
        </a:p>
        <a:p>
          <a:pPr algn="ctr"/>
          <a:r>
            <a:rPr lang="en-US" sz="1100" i="1">
              <a:solidFill>
                <a:srgbClr val="D6E0F0"/>
              </a:solidFill>
              <a:latin typeface="Arial"/>
            </a:rPr>
            <a:t>2,210 NSW government schools  ·  the rate vs. the count of Aboriginal &amp; Torres Strait Islander enrolment  ·  Source: Data NSW (CC‑BY), extracted 2026‑05‑05</a:t>
          </a:r>
        </a:p>
      </xdr:txBody>
    </xdr:sp>
    <xdr:clientData/>
  </xdr:twoCellAnchor>
  <xdr:twoCellAnchor editAs="oneCell">
    <xdr:from>
      <xdr:col>0</xdr:col>
      <xdr:colOff>60210</xdr:colOff>
      <xdr:row>26</xdr:row>
      <xdr:rowOff>104098</xdr:rowOff>
    </xdr:from>
    <xdr:to>
      <xdr:col>4</xdr:col>
      <xdr:colOff>337545</xdr:colOff>
      <xdr:row>38</xdr:row>
      <xdr:rowOff>67950</xdr:rowOff>
    </xdr:to>
    <xdr:sp macro="" textlink="">
      <xdr:nvSpPr>
        <xdr:cNvPr id="61" name="InsightBox">
          <a:extLst>
            <a:ext uri="{FF2B5EF4-FFF2-40B4-BE49-F238E27FC236}">
              <a16:creationId xmlns:a16="http://schemas.microsoft.com/office/drawing/2014/main" id="{00000000-0008-0000-0100-00003D000000}"/>
            </a:ext>
          </a:extLst>
        </xdr:cNvPr>
        <xdr:cNvSpPr/>
      </xdr:nvSpPr>
      <xdr:spPr>
        <a:xfrm>
          <a:off x="60210" y="4975901"/>
          <a:ext cx="2734056" cy="2212377"/>
        </a:xfrm>
        <a:prstGeom prst="roundRect">
          <a:avLst>
            <a:gd name="adj" fmla="val 4000"/>
          </a:avLst>
        </a:prstGeom>
        <a:solidFill>
          <a:srgbClr val="F2F5FB"/>
        </a:solidFill>
        <a:ln w="9525">
          <a:solidFill>
            <a:srgbClr val="1F3864"/>
          </a:solidFill>
        </a:ln>
      </xdr:spPr>
      <xdr:txBody>
        <a:bodyPr vertOverflow="clip" horzOverflow="clip" wrap="square" lIns="91440" tIns="72000" rIns="91440" bIns="45720" anchor="t"/>
        <a:lstStyle/>
        <a:p>
          <a:pPr algn="l"/>
          <a:r>
            <a:rPr lang="en-US" sz="1050" b="1">
              <a:solidFill>
                <a:srgbClr val="1F3864"/>
              </a:solidFill>
              <a:latin typeface="Arial"/>
            </a:rPr>
            <a:t>The headline</a:t>
          </a:r>
        </a:p>
        <a:p>
          <a:pPr algn="l"/>
          <a:endParaRPr lang="en-US" sz="500"/>
        </a:p>
        <a:p>
          <a:pPr algn="l"/>
          <a:r>
            <a:rPr lang="en-US" sz="1000">
              <a:solidFill>
                <a:srgbClr val="404040"/>
              </a:solidFill>
              <a:latin typeface="Arial"/>
            </a:rPr>
            <a:t>The highest Indigenous enrolment rates are remote (up to 72%), but ~85% of all Indigenous students attend Major‑City and Inner‑Regional schools.</a:t>
          </a:r>
        </a:p>
        <a:p>
          <a:pPr algn="l"/>
          <a:endParaRPr lang="en-US" sz="500"/>
        </a:p>
        <a:p>
          <a:pPr algn="l"/>
          <a:r>
            <a:rPr lang="en-US" sz="1000">
              <a:solidFill>
                <a:srgbClr val="404040"/>
              </a:solidFill>
              <a:latin typeface="Arial"/>
            </a:rPr>
            <a:t>Rate and count point to different places - both matter for resourcing. Use the slicers above to explore.</a:t>
          </a:r>
        </a:p>
      </xdr:txBody>
    </xdr:sp>
    <xdr:clientData/>
  </xdr:twoCellAnchor>
  <xdr:twoCellAnchor>
    <xdr:from>
      <xdr:col>15</xdr:col>
      <xdr:colOff>218606</xdr:colOff>
      <xdr:row>4</xdr:row>
      <xdr:rowOff>20820</xdr:rowOff>
    </xdr:from>
    <xdr:to>
      <xdr:col>25</xdr:col>
      <xdr:colOff>322155</xdr:colOff>
      <xdr:row>21</xdr:row>
      <xdr:rowOff>35810</xdr:rowOff>
    </xdr:to>
    <xdr:graphicFrame macro="">
      <xdr:nvGraphicFramePr>
        <xdr:cNvPr id="13" name="Chart 12">
          <a:extLst>
            <a:ext uri="{FF2B5EF4-FFF2-40B4-BE49-F238E27FC236}">
              <a16:creationId xmlns:a16="http://schemas.microsoft.com/office/drawing/2014/main" id="{C585BDF0-09C7-49EF-83BD-FE214F385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41640</xdr:colOff>
      <xdr:row>21</xdr:row>
      <xdr:rowOff>83278</xdr:rowOff>
    </xdr:from>
    <xdr:to>
      <xdr:col>15</xdr:col>
      <xdr:colOff>145189</xdr:colOff>
      <xdr:row>38</xdr:row>
      <xdr:rowOff>98268</xdr:rowOff>
    </xdr:to>
    <xdr:graphicFrame macro="">
      <xdr:nvGraphicFramePr>
        <xdr:cNvPr id="14" name="Chart 13">
          <a:extLst>
            <a:ext uri="{FF2B5EF4-FFF2-40B4-BE49-F238E27FC236}">
              <a16:creationId xmlns:a16="http://schemas.microsoft.com/office/drawing/2014/main" id="{D4CA527F-046C-491A-9887-28070A663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208196</xdr:colOff>
      <xdr:row>21</xdr:row>
      <xdr:rowOff>104099</xdr:rowOff>
    </xdr:from>
    <xdr:to>
      <xdr:col>25</xdr:col>
      <xdr:colOff>311745</xdr:colOff>
      <xdr:row>38</xdr:row>
      <xdr:rowOff>119089</xdr:rowOff>
    </xdr:to>
    <xdr:graphicFrame macro="">
      <xdr:nvGraphicFramePr>
        <xdr:cNvPr id="15" name="Chart 14">
          <a:extLst>
            <a:ext uri="{FF2B5EF4-FFF2-40B4-BE49-F238E27FC236}">
              <a16:creationId xmlns:a16="http://schemas.microsoft.com/office/drawing/2014/main" id="{ACC9F75A-BC90-48FE-B2AD-0DD715BA2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41639</xdr:colOff>
      <xdr:row>4</xdr:row>
      <xdr:rowOff>20820</xdr:rowOff>
    </xdr:from>
    <xdr:to>
      <xdr:col>15</xdr:col>
      <xdr:colOff>145188</xdr:colOff>
      <xdr:row>21</xdr:row>
      <xdr:rowOff>35810</xdr:rowOff>
    </xdr:to>
    <xdr:graphicFrame macro="">
      <xdr:nvGraphicFramePr>
        <xdr:cNvPr id="16" name="Chart 15">
          <a:extLst>
            <a:ext uri="{FF2B5EF4-FFF2-40B4-BE49-F238E27FC236}">
              <a16:creationId xmlns:a16="http://schemas.microsoft.com/office/drawing/2014/main" id="{593A47F7-5F5A-4D53-B0C7-E3195AFCC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104775</xdr:colOff>
      <xdr:row>0</xdr:row>
      <xdr:rowOff>79375</xdr:rowOff>
    </xdr:from>
    <xdr:to>
      <xdr:col>11</xdr:col>
      <xdr:colOff>409575</xdr:colOff>
      <xdr:row>15</xdr:row>
      <xdr:rowOff>9525</xdr:rowOff>
    </xdr:to>
    <xdr:graphicFrame macro="">
      <xdr:nvGraphicFramePr>
        <xdr:cNvPr id="2" name="Chart 1">
          <a:extLst>
            <a:ext uri="{FF2B5EF4-FFF2-40B4-BE49-F238E27FC236}">
              <a16:creationId xmlns:a16="http://schemas.microsoft.com/office/drawing/2014/main" id="{0FB90F1D-8361-49D5-A1B4-C266C241C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1393824</xdr:colOff>
      <xdr:row>0</xdr:row>
      <xdr:rowOff>0</xdr:rowOff>
    </xdr:from>
    <xdr:to>
      <xdr:col>13</xdr:col>
      <xdr:colOff>323850</xdr:colOff>
      <xdr:row>17</xdr:row>
      <xdr:rowOff>177799</xdr:rowOff>
    </xdr:to>
    <xdr:graphicFrame macro="">
      <xdr:nvGraphicFramePr>
        <xdr:cNvPr id="2" name="Chart 1">
          <a:extLst>
            <a:ext uri="{FF2B5EF4-FFF2-40B4-BE49-F238E27FC236}">
              <a16:creationId xmlns:a16="http://schemas.microsoft.com/office/drawing/2014/main" id="{1C7526D1-D32D-4B0B-AEB5-4C67F4AB0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606425</xdr:colOff>
      <xdr:row>2</xdr:row>
      <xdr:rowOff>34925</xdr:rowOff>
    </xdr:from>
    <xdr:to>
      <xdr:col>11</xdr:col>
      <xdr:colOff>301625</xdr:colOff>
      <xdr:row>17</xdr:row>
      <xdr:rowOff>3175</xdr:rowOff>
    </xdr:to>
    <xdr:graphicFrame macro="">
      <xdr:nvGraphicFramePr>
        <xdr:cNvPr id="2" name="Chart 1">
          <a:extLst>
            <a:ext uri="{FF2B5EF4-FFF2-40B4-BE49-F238E27FC236}">
              <a16:creationId xmlns:a16="http://schemas.microsoft.com/office/drawing/2014/main" id="{8E7E6397-D086-4577-B8C6-C922645FA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1200150</xdr:colOff>
      <xdr:row>0</xdr:row>
      <xdr:rowOff>0</xdr:rowOff>
    </xdr:from>
    <xdr:to>
      <xdr:col>11</xdr:col>
      <xdr:colOff>377825</xdr:colOff>
      <xdr:row>17</xdr:row>
      <xdr:rowOff>146050</xdr:rowOff>
    </xdr:to>
    <xdr:graphicFrame macro="">
      <xdr:nvGraphicFramePr>
        <xdr:cNvPr id="2" name="Chart 1">
          <a:extLst>
            <a:ext uri="{FF2B5EF4-FFF2-40B4-BE49-F238E27FC236}">
              <a16:creationId xmlns:a16="http://schemas.microsoft.com/office/drawing/2014/main" id="{C24A1CAF-1151-42C3-B84C-CCDDFE413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510934143516" createdVersion="7" refreshedVersion="7" minRefreshableVersion="3" recordCount="2210" xr:uid="{783ED2B8-B14E-45B5-AE12-1F323586A5F0}">
  <cacheSource type="worksheet">
    <worksheetSource name="tblSchools"/>
  </cacheSource>
  <cacheFields count="23">
    <cacheField name="School_code" numFmtId="0">
      <sharedItems/>
    </cacheField>
    <cacheField name="School_name" numFmtId="0">
      <sharedItems/>
    </cacheField>
    <cacheField name="Town_suburb" numFmtId="0">
      <sharedItems containsBlank="1"/>
    </cacheField>
    <cacheField name="LGA" numFmtId="0">
      <sharedItems/>
    </cacheField>
    <cacheField name="SA4" numFmtId="0">
      <sharedItems containsBlank="1"/>
    </cacheField>
    <cacheField name="ASGS_remoteness" numFmtId="0">
      <sharedItems count="5">
        <s v="Major Cities of Australia"/>
        <s v="Inner Regional Australia"/>
        <s v="Outer Regional Australia"/>
        <s v="Remote Australia"/>
        <s v="Very Remote Australia"/>
      </sharedItems>
    </cacheField>
    <cacheField name="Remoteness_order" numFmtId="0">
      <sharedItems containsSemiMixedTypes="0" containsString="0" containsNumber="1" containsInteger="1" minValue="1" maxValue="5" count="5">
        <n v="1"/>
        <n v="2"/>
        <n v="3"/>
        <n v="4"/>
        <n v="5"/>
      </sharedItems>
    </cacheField>
    <cacheField name="Operational_directorate" numFmtId="0">
      <sharedItems/>
    </cacheField>
    <cacheField name="Level_of_schooling" numFmtId="0">
      <sharedItems count="7">
        <s v="Primary School"/>
        <s v="Central/Community School"/>
        <s v="Schools for Specific Purposes"/>
        <s v="Infants School"/>
        <s v="Secondary School"/>
        <s v="Other School"/>
        <s v="Environmental Education Centre"/>
      </sharedItems>
    </cacheField>
    <cacheField name="Selective_school" numFmtId="0">
      <sharedItems count="3">
        <s v="Not Selective"/>
        <s v="Fully Selective"/>
        <s v="Partially Selective"/>
      </sharedItems>
    </cacheField>
    <cacheField name="School_gender" numFmtId="0">
      <sharedItems/>
    </cacheField>
    <cacheField name="Enrolment_FTE" numFmtId="0">
      <sharedItems containsString="0" containsBlank="1" containsNumber="1" minValue="1" maxValue="2318"/>
    </cacheField>
    <cacheField name="Indigenous_pct" numFmtId="0">
      <sharedItems containsString="0" containsBlank="1" containsNumber="1" containsInteger="1" minValue="0" maxValue="100"/>
    </cacheField>
    <cacheField name="Indigenous_status" numFmtId="0">
      <sharedItems/>
    </cacheField>
    <cacheField name="Indigenous_FTE_est" numFmtId="0">
      <sharedItems containsMixedTypes="1" containsNumber="1" minValue="0" maxValue="316.02000000000004"/>
    </cacheField>
    <cacheField name="LBOTE_pct" numFmtId="0">
      <sharedItems containsString="0" containsBlank="1" containsNumber="1" containsInteger="1" minValue="0" maxValue="100"/>
    </cacheField>
    <cacheField name="ICSEA_value" numFmtId="0">
      <sharedItems containsString="0" containsBlank="1" containsNumber="1" containsInteger="1" minValue="600" maxValue="1222"/>
    </cacheField>
    <cacheField name="ICSEA_band" numFmtId="0">
      <sharedItems count="5">
        <s v="4"/>
        <s v="1"/>
        <s v="2"/>
        <s v="3"/>
        <s v="No ICSEA"/>
      </sharedItems>
    </cacheField>
    <cacheField name="FOEI_value" numFmtId="0">
      <sharedItems containsString="0" containsBlank="1" containsNumber="1" containsInteger="1" minValue="0" maxValue="277"/>
    </cacheField>
    <cacheField name="Enrolment_band" numFmtId="0">
      <sharedItems count="6">
        <s v="3"/>
        <s v="2"/>
        <s v="1"/>
        <s v="4"/>
        <s v="5"/>
        <s v="No enrolment"/>
      </sharedItems>
    </cacheField>
    <cacheField name="Latitude" numFmtId="0">
      <sharedItems containsSemiMixedTypes="0" containsString="0" containsNumber="1" minValue="-37.084209000000001" maxValue="-28.169509999999999"/>
    </cacheField>
    <cacheField name="Longitude" numFmtId="0">
      <sharedItems containsSemiMixedTypes="0" containsString="0" containsNumber="1" minValue="141.43996999999999" maxValue="159.06903199999999"/>
    </cacheField>
    <cacheField name="Indigenous % of Enrollment" numFmtId="0" formula="Indigenous_FTE_est/Enrolment_FTE" databaseField="0"/>
  </cacheFields>
  <extLst>
    <ext xmlns:x14="http://schemas.microsoft.com/office/spreadsheetml/2009/9/main" uri="{725AE2AE-9491-48be-B2B4-4EB974FC3084}">
      <x14:pivotCacheDefinition pivotCacheId="1572155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0">
  <r>
    <s v="1001"/>
    <s v="Abbotsford Public School"/>
    <s v="Abbotsford"/>
    <s v="Canada Bay"/>
    <s v="Sydney - Inner West"/>
    <x v="0"/>
    <x v="0"/>
    <s v="Metropolitan South"/>
    <x v="0"/>
    <x v="0"/>
    <s v="Coed"/>
    <n v="368"/>
    <n v="2"/>
    <s v="Published"/>
    <n v="7.36"/>
    <n v="37"/>
    <n v="1113"/>
    <x v="0"/>
    <n v="27"/>
    <x v="0"/>
    <n v="-33.852727999999999"/>
    <n v="151.13120599999999"/>
  </r>
  <r>
    <s v="1002"/>
    <s v="Aberdeen Public School"/>
    <s v="Aberdeen"/>
    <s v="Upper Hunter"/>
    <s v="Hunter Valley exc Newcastle"/>
    <x v="1"/>
    <x v="1"/>
    <s v="Regional North and West"/>
    <x v="0"/>
    <x v="0"/>
    <s v="Coed"/>
    <n v="151"/>
    <n v="29"/>
    <s v="Published"/>
    <n v="43.79"/>
    <m/>
    <n v="890"/>
    <x v="1"/>
    <n v="128"/>
    <x v="1"/>
    <n v="-32.166097999999998"/>
    <n v="150.88809499999999"/>
  </r>
  <r>
    <s v="1003"/>
    <s v="Abermain Public School"/>
    <s v="Abermain"/>
    <s v="Cessnock"/>
    <s v="Hunter Valley exc Newcastle"/>
    <x v="0"/>
    <x v="0"/>
    <s v="Regional North"/>
    <x v="0"/>
    <x v="0"/>
    <s v="Coed"/>
    <n v="257"/>
    <n v="21"/>
    <s v="Published"/>
    <n v="53.97"/>
    <n v="3"/>
    <n v="917"/>
    <x v="2"/>
    <n v="135"/>
    <x v="1"/>
    <n v="-32.808920000000001"/>
    <n v="151.42649900000001"/>
  </r>
  <r>
    <s v="1007"/>
    <s v="Adaminaby Public School"/>
    <s v="ADAMINABY"/>
    <s v="Snowy Monaro"/>
    <s v="Capital Region"/>
    <x v="2"/>
    <x v="2"/>
    <s v="Rural South and West"/>
    <x v="0"/>
    <x v="0"/>
    <s v="Coed"/>
    <n v="15"/>
    <m/>
    <s v="Suppressed"/>
    <s v=""/>
    <n v="0"/>
    <n v="907"/>
    <x v="2"/>
    <n v="157"/>
    <x v="2"/>
    <n v="-35.993291999999997"/>
    <n v="148.77672100000001"/>
  </r>
  <r>
    <s v="1008"/>
    <s v="Adamstown Public School"/>
    <s v="Adamstown"/>
    <s v="Newcastle"/>
    <s v="Newcastle and Lake Macquarie"/>
    <x v="0"/>
    <x v="0"/>
    <s v="Regional North"/>
    <x v="0"/>
    <x v="0"/>
    <s v="Coed"/>
    <n v="439"/>
    <n v="9"/>
    <s v="Published"/>
    <n v="39.51"/>
    <n v="19"/>
    <n v="1078"/>
    <x v="3"/>
    <n v="37"/>
    <x v="0"/>
    <n v="-32.932212999999997"/>
    <n v="151.73097100000001"/>
  </r>
  <r>
    <s v="1009"/>
    <s v="Adelong Public School"/>
    <s v="ADELONG"/>
    <s v="Snowy Valleys"/>
    <s v="Riverina"/>
    <x v="1"/>
    <x v="1"/>
    <s v="Rural South and West"/>
    <x v="0"/>
    <x v="0"/>
    <s v="Coed"/>
    <n v="24"/>
    <m/>
    <s v="Suppressed"/>
    <s v=""/>
    <m/>
    <n v="929"/>
    <x v="2"/>
    <n v="139"/>
    <x v="2"/>
    <n v="-35.312333000000002"/>
    <n v="148.062802"/>
  </r>
  <r>
    <s v="1015"/>
    <s v="Albion Park Public School"/>
    <s v="Albion Park"/>
    <s v="Shellharbour"/>
    <s v="Illawarra"/>
    <x v="0"/>
    <x v="0"/>
    <s v="Regional South and Connected Communities"/>
    <x v="0"/>
    <x v="0"/>
    <s v="Coed"/>
    <n v="516"/>
    <n v="12"/>
    <s v="Published"/>
    <n v="61.919999999999995"/>
    <n v="9"/>
    <n v="972"/>
    <x v="2"/>
    <n v="103"/>
    <x v="0"/>
    <n v="-34.570256999999998"/>
    <n v="150.77261999999999"/>
  </r>
  <r>
    <s v="1016"/>
    <s v="Timbumburi Public School"/>
    <s v="Timbumburi"/>
    <s v="Tamworth"/>
    <s v="New England and North West"/>
    <x v="2"/>
    <x v="2"/>
    <s v="Rural North"/>
    <x v="0"/>
    <x v="0"/>
    <s v="Coed"/>
    <n v="159"/>
    <n v="10"/>
    <s v="Published"/>
    <n v="15.9"/>
    <n v="4"/>
    <n v="1003"/>
    <x v="3"/>
    <n v="82"/>
    <x v="1"/>
    <n v="-31.203780999999999"/>
    <n v="150.915629"/>
  </r>
  <r>
    <s v="1017"/>
    <s v="Albury Public School"/>
    <s v="Albury"/>
    <s v="Albury"/>
    <s v="Murray"/>
    <x v="1"/>
    <x v="1"/>
    <s v="Rural South and West"/>
    <x v="0"/>
    <x v="0"/>
    <s v="Coed"/>
    <n v="637"/>
    <n v="5"/>
    <s v="Published"/>
    <n v="31.85"/>
    <n v="14"/>
    <n v="1049"/>
    <x v="3"/>
    <n v="56"/>
    <x v="3"/>
    <n v="-36.082453999999998"/>
    <n v="146.919253"/>
  </r>
  <r>
    <s v="1019"/>
    <s v="Albury West Public School"/>
    <s v="Albury"/>
    <s v="Albury"/>
    <s v="Murray"/>
    <x v="1"/>
    <x v="1"/>
    <s v="Rural South and West"/>
    <x v="0"/>
    <x v="0"/>
    <s v="Coed"/>
    <n v="165"/>
    <n v="26"/>
    <s v="Published"/>
    <n v="42.9"/>
    <n v="6"/>
    <n v="918"/>
    <x v="2"/>
    <n v="134"/>
    <x v="1"/>
    <n v="-36.077829999999999"/>
    <n v="146.89554799999999"/>
  </r>
  <r>
    <s v="1028"/>
    <s v="Alma Public School"/>
    <s v="Broken Hill"/>
    <s v="Broken Hill"/>
    <s v="Far West and Orana"/>
    <x v="2"/>
    <x v="2"/>
    <s v="Rural South and West"/>
    <x v="0"/>
    <x v="0"/>
    <s v="Coed"/>
    <n v="255"/>
    <n v="32"/>
    <s v="Published"/>
    <n v="81.600000000000009"/>
    <n v="7"/>
    <n v="875"/>
    <x v="1"/>
    <n v="153"/>
    <x v="1"/>
    <n v="-31.982216999999999"/>
    <n v="141.46244300000001"/>
  </r>
  <r>
    <s v="1030"/>
    <s v="Alstonville Public School"/>
    <s v="Alstonville"/>
    <s v="Ballina"/>
    <s v="Richmond - Tweed"/>
    <x v="1"/>
    <x v="1"/>
    <s v="Rural North"/>
    <x v="0"/>
    <x v="0"/>
    <s v="Coed"/>
    <n v="280"/>
    <n v="11"/>
    <s v="Published"/>
    <n v="30.8"/>
    <n v="12"/>
    <n v="1001"/>
    <x v="3"/>
    <n v="79"/>
    <x v="1"/>
    <n v="-28.838470999999998"/>
    <n v="153.43817200000001"/>
  </r>
  <r>
    <s v="1040"/>
    <s v="Anna Bay Public School"/>
    <s v="Anna Bay"/>
    <s v="Port Stephens"/>
    <s v="Hunter Valley exc Newcastle"/>
    <x v="1"/>
    <x v="1"/>
    <s v="Regional North"/>
    <x v="0"/>
    <x v="0"/>
    <s v="Coed"/>
    <n v="309"/>
    <n v="15"/>
    <s v="Published"/>
    <n v="46.35"/>
    <n v="5"/>
    <n v="962"/>
    <x v="2"/>
    <n v="106"/>
    <x v="0"/>
    <n v="-32.77637"/>
    <n v="152.089912"/>
  </r>
  <r>
    <s v="1041"/>
    <s v="Annandale Public School"/>
    <s v="Annandale"/>
    <s v="Inner West"/>
    <s v="Sydney - Inner West"/>
    <x v="0"/>
    <x v="0"/>
    <s v="Metropolitan South"/>
    <x v="0"/>
    <x v="0"/>
    <s v="Coed"/>
    <n v="363"/>
    <n v="2"/>
    <s v="Published"/>
    <n v="7.26"/>
    <n v="31"/>
    <n v="1145"/>
    <x v="0"/>
    <n v="7"/>
    <x v="0"/>
    <n v="-33.885781999999999"/>
    <n v="151.16959900000001"/>
  </r>
  <r>
    <s v="1042"/>
    <s v="Annandale North Public School"/>
    <s v="Annandale"/>
    <s v="Inner West"/>
    <s v="Sydney - Inner West"/>
    <x v="0"/>
    <x v="0"/>
    <s v="Metropolitan South"/>
    <x v="0"/>
    <x v="0"/>
    <s v="Coed"/>
    <n v="359"/>
    <n v="3"/>
    <s v="Published"/>
    <n v="10.77"/>
    <n v="25"/>
    <n v="1148"/>
    <x v="0"/>
    <n v="5"/>
    <x v="0"/>
    <n v="-33.877904999999998"/>
    <n v="151.17183499999999"/>
  </r>
  <r>
    <s v="1045"/>
    <s v="Appin Public School"/>
    <s v="APPIN"/>
    <s v="Wollondilly"/>
    <s v="Sydney - Outer South West"/>
    <x v="1"/>
    <x v="1"/>
    <s v="Regional South and Connected Communities"/>
    <x v="0"/>
    <x v="0"/>
    <s v="Coed"/>
    <n v="337"/>
    <n v="8"/>
    <s v="Published"/>
    <n v="26.96"/>
    <n v="9"/>
    <n v="989"/>
    <x v="2"/>
    <n v="99"/>
    <x v="0"/>
    <n v="-34.198416999999999"/>
    <n v="150.78765999999999"/>
  </r>
  <r>
    <s v="1048"/>
    <s v="Arcadia Public School"/>
    <s v="ARCADIA"/>
    <s v="Hornsby"/>
    <s v="Sydney - Baulkham Hills and Hawkesbury"/>
    <x v="1"/>
    <x v="1"/>
    <s v="Regional North"/>
    <x v="0"/>
    <x v="0"/>
    <s v="Coed"/>
    <n v="60"/>
    <m/>
    <s v="Suppressed"/>
    <s v=""/>
    <m/>
    <n v="1065"/>
    <x v="3"/>
    <n v="72"/>
    <x v="2"/>
    <n v="-33.623486999999997"/>
    <n v="151.05103099999999"/>
  </r>
  <r>
    <s v="1051"/>
    <s v="Ardlethan Central School"/>
    <s v="Ardlethan"/>
    <s v="Coolamon"/>
    <s v="Riverina"/>
    <x v="2"/>
    <x v="2"/>
    <s v="Rural South and West"/>
    <x v="1"/>
    <x v="0"/>
    <s v="Coed"/>
    <n v="65.8"/>
    <n v="33"/>
    <s v="Published"/>
    <n v="21.713999999999999"/>
    <m/>
    <n v="867"/>
    <x v="1"/>
    <n v="165"/>
    <x v="2"/>
    <n v="-34.354098"/>
    <n v="146.90055699999999"/>
  </r>
  <r>
    <s v="1055"/>
    <s v="Ariah Park Central School"/>
    <s v="Ariah Park"/>
    <s v="Temora"/>
    <s v="Riverina"/>
    <x v="2"/>
    <x v="2"/>
    <s v="Rural South and West"/>
    <x v="1"/>
    <x v="0"/>
    <s v="Coed"/>
    <n v="122.8"/>
    <m/>
    <s v="Suppressed"/>
    <s v=""/>
    <m/>
    <n v="947"/>
    <x v="2"/>
    <n v="114"/>
    <x v="1"/>
    <n v="-34.346924999999999"/>
    <n v="147.218018"/>
  </r>
  <r>
    <s v="1057"/>
    <s v="Armidale City Public School"/>
    <s v="Armidale"/>
    <s v="Armidale"/>
    <s v="New England and North West"/>
    <x v="1"/>
    <x v="1"/>
    <s v="Rural North"/>
    <x v="0"/>
    <x v="0"/>
    <s v="Coed"/>
    <n v="349"/>
    <n v="22"/>
    <s v="Published"/>
    <n v="76.78"/>
    <n v="37"/>
    <n v="963"/>
    <x v="2"/>
    <n v="97"/>
    <x v="0"/>
    <n v="-30.519501000000002"/>
    <n v="151.66405599999999"/>
  </r>
  <r>
    <s v="1058"/>
    <s v="Drummond Memorial Public School"/>
    <s v="Armidale"/>
    <s v="Armidale"/>
    <s v="New England and North West"/>
    <x v="1"/>
    <x v="1"/>
    <s v="Rural North"/>
    <x v="0"/>
    <x v="0"/>
    <s v="Coed"/>
    <n v="233"/>
    <n v="42"/>
    <s v="Published"/>
    <n v="97.86"/>
    <n v="45"/>
    <n v="827"/>
    <x v="1"/>
    <n v="161"/>
    <x v="1"/>
    <n v="-30.511469000000002"/>
    <n v="151.65071499999999"/>
  </r>
  <r>
    <s v="1061"/>
    <s v="Artarmon Public School"/>
    <s v="Artarmon"/>
    <s v="Willoughby"/>
    <s v="Sydney - North Sydney and Hornsby"/>
    <x v="0"/>
    <x v="0"/>
    <s v="Metropolitan North"/>
    <x v="0"/>
    <x v="0"/>
    <s v="Coed"/>
    <n v="1063"/>
    <m/>
    <s v="Suppressed"/>
    <s v=""/>
    <n v="85"/>
    <n v="1167"/>
    <x v="0"/>
    <n v="0"/>
    <x v="4"/>
    <n v="-33.811248999999997"/>
    <n v="151.186001"/>
  </r>
  <r>
    <s v="1064"/>
    <s v="Ashbury Public School"/>
    <s v="Ashbury"/>
    <s v="Canterbury-Bankstown"/>
    <s v="Sydney - Inner West"/>
    <x v="0"/>
    <x v="0"/>
    <s v="Metropolitan South"/>
    <x v="0"/>
    <x v="0"/>
    <s v="Coed"/>
    <n v="356"/>
    <n v="2"/>
    <s v="Published"/>
    <n v="7.12"/>
    <n v="33"/>
    <n v="1111"/>
    <x v="0"/>
    <n v="25"/>
    <x v="0"/>
    <n v="-33.898833000000003"/>
    <n v="151.11944"/>
  </r>
  <r>
    <s v="1065"/>
    <s v="Ashfield Public School"/>
    <s v="Ashfield"/>
    <s v="Inner West"/>
    <s v="Sydney - Inner West"/>
    <x v="0"/>
    <x v="0"/>
    <s v="Metropolitan South"/>
    <x v="0"/>
    <x v="0"/>
    <s v="Coed"/>
    <n v="474"/>
    <n v="2"/>
    <s v="Published"/>
    <n v="9.48"/>
    <n v="76"/>
    <n v="1096"/>
    <x v="3"/>
    <n v="43"/>
    <x v="0"/>
    <n v="-33.889722999999996"/>
    <n v="151.12821"/>
  </r>
  <r>
    <s v="1066"/>
    <s v="Ashford Central School"/>
    <s v="Ashford"/>
    <s v="Inverell"/>
    <s v="New England and North West"/>
    <x v="2"/>
    <x v="2"/>
    <s v="Rural North"/>
    <x v="1"/>
    <x v="0"/>
    <s v="Coed"/>
    <n v="119"/>
    <n v="43"/>
    <s v="Published"/>
    <n v="51.17"/>
    <n v="30"/>
    <n v="808"/>
    <x v="1"/>
    <n v="165"/>
    <x v="1"/>
    <n v="-29.321262000000001"/>
    <n v="151.094638"/>
  </r>
  <r>
    <s v="1070"/>
    <s v="Asquith Public School"/>
    <s v="Asquith"/>
    <s v="Hornsby"/>
    <s v="Sydney - North Sydney and Hornsby"/>
    <x v="0"/>
    <x v="0"/>
    <s v="Metropolitan North"/>
    <x v="0"/>
    <x v="0"/>
    <s v="Coed"/>
    <n v="384"/>
    <m/>
    <s v="Suppressed"/>
    <s v=""/>
    <n v="58"/>
    <n v="1102"/>
    <x v="0"/>
    <n v="30"/>
    <x v="0"/>
    <n v="-33.685729000000002"/>
    <n v="151.112177"/>
  </r>
  <r>
    <s v="1071"/>
    <s v="Attunga Public School"/>
    <s v="Attunga"/>
    <s v="Tamworth"/>
    <s v="New England and North West"/>
    <x v="2"/>
    <x v="2"/>
    <s v="Rural North"/>
    <x v="0"/>
    <x v="0"/>
    <s v="Coed"/>
    <n v="39"/>
    <n v="33"/>
    <s v="Published"/>
    <n v="12.870000000000001"/>
    <m/>
    <n v="908"/>
    <x v="2"/>
    <n v="135"/>
    <x v="2"/>
    <n v="-30.930444999999999"/>
    <n v="150.846575"/>
  </r>
  <r>
    <s v="1073"/>
    <s v="Auburn North Public School"/>
    <s v="Auburn"/>
    <s v="Cumberland"/>
    <s v="Sydney - Parramatta"/>
    <x v="0"/>
    <x v="0"/>
    <s v="Metropolitan South"/>
    <x v="0"/>
    <x v="0"/>
    <s v="Coed"/>
    <n v="645"/>
    <m/>
    <s v="Suppressed"/>
    <s v=""/>
    <n v="96"/>
    <n v="1015"/>
    <x v="3"/>
    <n v="112"/>
    <x v="3"/>
    <n v="-33.841669000000003"/>
    <n v="151.03861800000001"/>
  </r>
  <r>
    <s v="1075"/>
    <s v="Auburn West Public School"/>
    <s v="Auburn"/>
    <s v="Cumberland"/>
    <s v="Sydney - Parramatta"/>
    <x v="0"/>
    <x v="0"/>
    <s v="Metropolitan South"/>
    <x v="0"/>
    <x v="0"/>
    <s v="Coed"/>
    <n v="572"/>
    <n v="1"/>
    <s v="Published"/>
    <n v="5.72"/>
    <n v="96"/>
    <n v="928"/>
    <x v="2"/>
    <n v="166"/>
    <x v="0"/>
    <n v="-33.860931000000001"/>
    <n v="151.01976400000001"/>
  </r>
  <r>
    <s v="1076"/>
    <s v="Austinmer Public School"/>
    <s v="Austinmer"/>
    <s v="Wollongong"/>
    <s v="Illawarra"/>
    <x v="0"/>
    <x v="0"/>
    <s v="Regional South and Connected Communities"/>
    <x v="0"/>
    <x v="0"/>
    <s v="Coed"/>
    <n v="227"/>
    <m/>
    <s v="Suppressed"/>
    <s v=""/>
    <n v="14"/>
    <n v="1132"/>
    <x v="0"/>
    <n v="7"/>
    <x v="1"/>
    <n v="-34.305397999999997"/>
    <n v="150.934991"/>
  </r>
  <r>
    <s v="1077"/>
    <s v="Austral Public School"/>
    <s v="AUSTRAL"/>
    <s v="Liverpool"/>
    <s v="Sydney - South West"/>
    <x v="0"/>
    <x v="0"/>
    <s v="Metropolitan South and West"/>
    <x v="0"/>
    <x v="0"/>
    <s v="Coed"/>
    <n v="846"/>
    <n v="2"/>
    <s v="Published"/>
    <n v="16.920000000000002"/>
    <n v="88"/>
    <n v="1032"/>
    <x v="3"/>
    <n v="74"/>
    <x v="3"/>
    <n v="-33.934486999999997"/>
    <n v="150.81263799999999"/>
  </r>
  <r>
    <s v="1082"/>
    <s v="Avoca Beach Public School"/>
    <s v="Avoca Beach"/>
    <s v="Central Coast (NSW)"/>
    <s v="Central Coast"/>
    <x v="0"/>
    <x v="0"/>
    <s v="Regional North"/>
    <x v="0"/>
    <x v="0"/>
    <s v="Coed"/>
    <n v="455"/>
    <n v="4"/>
    <s v="Published"/>
    <n v="18.2"/>
    <n v="8"/>
    <n v="1081"/>
    <x v="3"/>
    <n v="46"/>
    <x v="0"/>
    <n v="-33.471153999999999"/>
    <n v="151.430745"/>
  </r>
  <r>
    <s v="1084"/>
    <s v="Awaba Public School"/>
    <s v="Awaba"/>
    <s v="Lake Macquarie"/>
    <s v="Newcastle and Lake Macquarie"/>
    <x v="0"/>
    <x v="0"/>
    <s v="Regional North"/>
    <x v="0"/>
    <x v="0"/>
    <s v="Coed"/>
    <n v="29"/>
    <n v="24"/>
    <s v="Published"/>
    <n v="6.96"/>
    <m/>
    <n v="940"/>
    <x v="2"/>
    <n v="120"/>
    <x v="2"/>
    <n v="-33.010553999999999"/>
    <n v="151.53806800000001"/>
  </r>
  <r>
    <s v="1085"/>
    <s v="Colo Vale Public School"/>
    <s v="Colo Vale"/>
    <s v="Wingecarribee"/>
    <s v="Southern Highlands and Shoalhaven"/>
    <x v="1"/>
    <x v="1"/>
    <s v="Regional South and Connected Communities"/>
    <x v="0"/>
    <x v="0"/>
    <s v="Coed"/>
    <n v="144"/>
    <n v="13"/>
    <s v="Published"/>
    <n v="18.72"/>
    <n v="8"/>
    <n v="952"/>
    <x v="2"/>
    <n v="115"/>
    <x v="1"/>
    <n v="-34.401280999999997"/>
    <n v="150.476178"/>
  </r>
  <r>
    <s v="1098"/>
    <s v="Bald Blair Public School"/>
    <s v="GUYRA"/>
    <s v="Armidale"/>
    <s v="New England and North West"/>
    <x v="2"/>
    <x v="2"/>
    <s v="Rural North"/>
    <x v="0"/>
    <x v="0"/>
    <s v="Coed"/>
    <n v="32"/>
    <n v="19"/>
    <s v="Published"/>
    <n v="6.08"/>
    <m/>
    <n v="969"/>
    <x v="2"/>
    <n v="98"/>
    <x v="2"/>
    <n v="-30.229893000000001"/>
    <n v="151.785056"/>
  </r>
  <r>
    <s v="1104"/>
    <s v="Seaforth Public School"/>
    <s v="Seaforth"/>
    <s v="Northern Beaches"/>
    <s v="Sydney - Northern Beaches"/>
    <x v="0"/>
    <x v="0"/>
    <s v="Metropolitan North"/>
    <x v="0"/>
    <x v="0"/>
    <s v="Coed"/>
    <n v="394"/>
    <m/>
    <s v="Suppressed"/>
    <s v=""/>
    <n v="16"/>
    <n v="1165"/>
    <x v="0"/>
    <n v="9"/>
    <x v="0"/>
    <n v="-33.793261999999999"/>
    <n v="151.25123500000001"/>
  </r>
  <r>
    <s v="1106"/>
    <s v="Balgownie Public School"/>
    <s v="Balgownie"/>
    <s v="Wollongong"/>
    <s v="Illawarra"/>
    <x v="0"/>
    <x v="0"/>
    <s v="Regional South and Connected Communities"/>
    <x v="0"/>
    <x v="0"/>
    <s v="Coed"/>
    <n v="329"/>
    <n v="4"/>
    <s v="Published"/>
    <n v="13.16"/>
    <n v="10"/>
    <n v="1076"/>
    <x v="3"/>
    <n v="48"/>
    <x v="0"/>
    <n v="-34.386983999999998"/>
    <n v="150.87207599999999"/>
  </r>
  <r>
    <s v="1111"/>
    <s v="Ballimore Public School"/>
    <s v="Ballimore"/>
    <s v="Dubbo"/>
    <s v="Far West and Orana"/>
    <x v="2"/>
    <x v="2"/>
    <s v="Regional North and West"/>
    <x v="0"/>
    <x v="0"/>
    <s v="Coed"/>
    <n v="13"/>
    <m/>
    <s v="Suppressed"/>
    <s v=""/>
    <n v="0"/>
    <n v="923"/>
    <x v="2"/>
    <n v="100"/>
    <x v="2"/>
    <n v="-32.193595999999999"/>
    <n v="148.899631"/>
  </r>
  <r>
    <s v="1112"/>
    <s v="Ballina Public School"/>
    <s v="Ballina"/>
    <s v="Ballina"/>
    <s v="Richmond - Tweed"/>
    <x v="1"/>
    <x v="1"/>
    <s v="Rural North"/>
    <x v="0"/>
    <x v="0"/>
    <s v="Coed"/>
    <n v="254"/>
    <n v="41"/>
    <s v="Published"/>
    <n v="104.14"/>
    <n v="16"/>
    <n v="869"/>
    <x v="1"/>
    <n v="150"/>
    <x v="1"/>
    <n v="-28.869724000000001"/>
    <n v="153.56370699999999"/>
  </r>
  <r>
    <s v="1115"/>
    <s v="Balranald Central School"/>
    <s v="Balranald"/>
    <s v="Balranald"/>
    <s v="Murray"/>
    <x v="2"/>
    <x v="2"/>
    <s v="Rural South and West"/>
    <x v="1"/>
    <x v="0"/>
    <s v="Coed"/>
    <n v="179"/>
    <n v="20"/>
    <s v="Published"/>
    <n v="35.800000000000004"/>
    <n v="10"/>
    <n v="876"/>
    <x v="1"/>
    <n v="154"/>
    <x v="1"/>
    <n v="-34.635575000000003"/>
    <n v="143.56476900000001"/>
  </r>
  <r>
    <s v="1118"/>
    <s v="Bangalow Public School"/>
    <s v="Bangalow"/>
    <s v="Byron"/>
    <s v="Richmond - Tweed"/>
    <x v="1"/>
    <x v="1"/>
    <s v="Rural North"/>
    <x v="0"/>
    <x v="0"/>
    <s v="Coed"/>
    <n v="295"/>
    <n v="4"/>
    <s v="Published"/>
    <n v="11.8"/>
    <n v="13"/>
    <n v="1088"/>
    <x v="3"/>
    <n v="31"/>
    <x v="1"/>
    <n v="-28.68554"/>
    <n v="153.52574300000001"/>
  </r>
  <r>
    <s v="1121"/>
    <s v="Banksmeadow Public School"/>
    <s v="Botany"/>
    <s v="Bayside (NSW)"/>
    <s v="Sydney - City and Inner South"/>
    <x v="0"/>
    <x v="0"/>
    <s v="Metropolitan South"/>
    <x v="0"/>
    <x v="0"/>
    <s v="Coed"/>
    <n v="268"/>
    <n v="7"/>
    <s v="Published"/>
    <n v="18.760000000000002"/>
    <n v="39"/>
    <n v="1032"/>
    <x v="3"/>
    <n v="61"/>
    <x v="1"/>
    <n v="-33.953738999999999"/>
    <n v="151.20661000000001"/>
  </r>
  <r>
    <s v="1123"/>
    <s v="Greenacre Public School"/>
    <s v="Greenacre"/>
    <s v="Canterbury-Bankstown"/>
    <s v="Sydney - Inner South West"/>
    <x v="0"/>
    <x v="0"/>
    <s v="Metropolitan South"/>
    <x v="0"/>
    <x v="0"/>
    <s v="Coed"/>
    <n v="611"/>
    <n v="1"/>
    <s v="Published"/>
    <n v="6.11"/>
    <n v="96"/>
    <n v="938"/>
    <x v="2"/>
    <n v="157"/>
    <x v="3"/>
    <n v="-33.911161"/>
    <n v="151.057581"/>
  </r>
  <r>
    <s v="1124"/>
    <s v="Bankstown North Public School"/>
    <s v="Bankstown"/>
    <s v="Canterbury-Bankstown"/>
    <s v="Sydney - Inner South West"/>
    <x v="0"/>
    <x v="0"/>
    <s v="Metropolitan South"/>
    <x v="0"/>
    <x v="0"/>
    <s v="Coed"/>
    <n v="382"/>
    <m/>
    <s v="Suppressed"/>
    <s v=""/>
    <n v="94"/>
    <n v="986"/>
    <x v="2"/>
    <n v="129"/>
    <x v="0"/>
    <n v="-33.904888"/>
    <n v="151.03804299999999"/>
  </r>
  <r>
    <s v="1129"/>
    <s v="Banora Point Public School"/>
    <s v="Banora Point"/>
    <s v="Tweed"/>
    <s v="Richmond - Tweed"/>
    <x v="0"/>
    <x v="0"/>
    <s v="Rural North"/>
    <x v="0"/>
    <x v="0"/>
    <s v="Coed"/>
    <n v="390"/>
    <n v="13"/>
    <s v="Published"/>
    <n v="50.7"/>
    <n v="10"/>
    <n v="992"/>
    <x v="2"/>
    <n v="89"/>
    <x v="0"/>
    <n v="-28.222422000000002"/>
    <n v="153.543702"/>
  </r>
  <r>
    <s v="1130"/>
    <s v="Baradine Central School"/>
    <s v="Baradine"/>
    <s v="Warrumbungle"/>
    <s v="Far West and Orana"/>
    <x v="3"/>
    <x v="3"/>
    <s v="Rural North"/>
    <x v="1"/>
    <x v="0"/>
    <s v="Coed"/>
    <n v="101"/>
    <n v="50"/>
    <s v="Published"/>
    <n v="50.5"/>
    <m/>
    <n v="785"/>
    <x v="1"/>
    <n v="170"/>
    <x v="1"/>
    <n v="-30.950735999999999"/>
    <n v="149.070198"/>
  </r>
  <r>
    <s v="1131"/>
    <s v="Barellan Central School"/>
    <s v="Barellan"/>
    <s v="Narrandera"/>
    <s v="Riverina"/>
    <x v="2"/>
    <x v="2"/>
    <s v="Rural South and West"/>
    <x v="1"/>
    <x v="0"/>
    <s v="Coed"/>
    <n v="54"/>
    <n v="30"/>
    <s v="Published"/>
    <n v="16.2"/>
    <m/>
    <n v="894"/>
    <x v="1"/>
    <n v="148"/>
    <x v="2"/>
    <n v="-34.287799"/>
    <n v="146.57192800000001"/>
  </r>
  <r>
    <s v="1134"/>
    <s v="Bargo Public School"/>
    <s v="Bargo"/>
    <s v="Wollondilly"/>
    <s v="Sydney - Outer South West"/>
    <x v="1"/>
    <x v="1"/>
    <s v="Regional South and Connected Communities"/>
    <x v="0"/>
    <x v="0"/>
    <s v="Coed"/>
    <n v="268"/>
    <n v="15"/>
    <s v="Published"/>
    <n v="40.199999999999996"/>
    <n v="14"/>
    <n v="945"/>
    <x v="2"/>
    <n v="130"/>
    <x v="1"/>
    <n v="-34.292889000000002"/>
    <n v="150.58274"/>
  </r>
  <r>
    <s v="1135"/>
    <s v="Barham Public School"/>
    <s v="Barham"/>
    <s v="Murray River"/>
    <s v="Murray"/>
    <x v="2"/>
    <x v="2"/>
    <s v="Rural South and West"/>
    <x v="0"/>
    <x v="0"/>
    <s v="Coed"/>
    <n v="162"/>
    <n v="5"/>
    <s v="Published"/>
    <n v="8.1"/>
    <n v="7"/>
    <n v="982"/>
    <x v="2"/>
    <n v="94"/>
    <x v="1"/>
    <n v="-35.626914999999997"/>
    <n v="144.12797699999999"/>
  </r>
  <r>
    <s v="1136"/>
    <s v="Barkers Vale Public School"/>
    <s v="Wadeville"/>
    <s v="Kyogle"/>
    <s v="Richmond - Tweed"/>
    <x v="1"/>
    <x v="1"/>
    <s v="Rural North"/>
    <x v="0"/>
    <x v="0"/>
    <s v="Coed"/>
    <n v="42"/>
    <n v="21"/>
    <s v="Published"/>
    <n v="8.82"/>
    <n v="24"/>
    <n v="971"/>
    <x v="2"/>
    <n v="114"/>
    <x v="2"/>
    <n v="-28.549019999999999"/>
    <n v="153.14927"/>
  </r>
  <r>
    <s v="1137"/>
    <s v="Barmedman Public School"/>
    <s v="Barmedman"/>
    <s v="Bland"/>
    <s v="Central West"/>
    <x v="2"/>
    <x v="2"/>
    <s v="Rural South and West"/>
    <x v="0"/>
    <x v="0"/>
    <s v="Coed"/>
    <n v="5"/>
    <m/>
    <s v="Suppressed"/>
    <s v=""/>
    <n v="0"/>
    <n v="756"/>
    <x v="1"/>
    <n v="260"/>
    <x v="2"/>
    <n v="-34.148277"/>
    <n v="147.38507799999999"/>
  </r>
  <r>
    <s v="1138"/>
    <s v="Barnsley Public School"/>
    <s v="Barnsley"/>
    <s v="Lake Macquarie"/>
    <s v="Newcastle and Lake Macquarie"/>
    <x v="0"/>
    <x v="0"/>
    <s v="Regional North"/>
    <x v="0"/>
    <x v="0"/>
    <s v="Coed"/>
    <n v="276"/>
    <n v="14"/>
    <s v="Published"/>
    <n v="38.64"/>
    <n v="5"/>
    <n v="950"/>
    <x v="2"/>
    <n v="116"/>
    <x v="1"/>
    <n v="-32.933093999999997"/>
    <n v="151.59455199999999"/>
  </r>
  <r>
    <s v="1139"/>
    <s v="Barooga Public School"/>
    <s v="Barooga"/>
    <s v="Berrigan"/>
    <s v="Murray"/>
    <x v="1"/>
    <x v="1"/>
    <s v="Rural South and West"/>
    <x v="0"/>
    <x v="0"/>
    <s v="Coed"/>
    <n v="109"/>
    <n v="7"/>
    <s v="Published"/>
    <n v="7.6300000000000008"/>
    <n v="10"/>
    <n v="962"/>
    <x v="2"/>
    <n v="112"/>
    <x v="1"/>
    <n v="-35.912962999999998"/>
    <n v="145.69598500000001"/>
  </r>
  <r>
    <s v="1140"/>
    <s v="Barraba Central School"/>
    <s v="BARRABA"/>
    <s v="Tamworth"/>
    <s v="New England and North West"/>
    <x v="2"/>
    <x v="2"/>
    <s v="Rural North"/>
    <x v="1"/>
    <x v="0"/>
    <s v="Coed"/>
    <n v="160"/>
    <n v="33"/>
    <s v="Published"/>
    <n v="52.800000000000004"/>
    <m/>
    <n v="839"/>
    <x v="1"/>
    <n v="163"/>
    <x v="1"/>
    <n v="-30.382390000000001"/>
    <n v="150.599478"/>
  </r>
  <r>
    <s v="1143"/>
    <s v="Barrington Public School"/>
    <s v="Barrington"/>
    <s v="Mid-Coast"/>
    <s v="Mid North Coast"/>
    <x v="2"/>
    <x v="2"/>
    <s v="Regional North and West"/>
    <x v="0"/>
    <x v="0"/>
    <s v="Coed"/>
    <n v="52"/>
    <n v="19"/>
    <s v="Published"/>
    <n v="9.8800000000000008"/>
    <m/>
    <n v="966"/>
    <x v="2"/>
    <n v="89"/>
    <x v="2"/>
    <n v="-31.971159"/>
    <n v="151.911058"/>
  </r>
  <r>
    <s v="1146"/>
    <s v="Baryulgil Public School"/>
    <s v="Baryulgil"/>
    <s v="Clarence Valley"/>
    <s v="Coffs Harbour - Grafton"/>
    <x v="2"/>
    <x v="2"/>
    <s v="Rural North"/>
    <x v="0"/>
    <x v="0"/>
    <s v="Coed"/>
    <n v="14"/>
    <n v="57"/>
    <s v="Published"/>
    <n v="7.9799999999999995"/>
    <m/>
    <n v="775"/>
    <x v="1"/>
    <n v="201"/>
    <x v="2"/>
    <n v="-29.223500000000001"/>
    <n v="152.605615"/>
  </r>
  <r>
    <s v="1148"/>
    <s v="Bass Hill Public School"/>
    <s v="Bass Hill"/>
    <s v="Canterbury-Bankstown"/>
    <s v="Sydney - Inner South West"/>
    <x v="0"/>
    <x v="0"/>
    <s v="Metropolitan South and West"/>
    <x v="0"/>
    <x v="0"/>
    <s v="Coed"/>
    <n v="346"/>
    <m/>
    <s v="Suppressed"/>
    <s v=""/>
    <n v="94"/>
    <n v="929"/>
    <x v="2"/>
    <n v="152"/>
    <x v="0"/>
    <n v="-33.905901999999998"/>
    <n v="151.00577899999999"/>
  </r>
  <r>
    <s v="1149"/>
    <s v="Batemans Bay Public School"/>
    <s v="Surfside"/>
    <s v="Eurobodalla"/>
    <s v="Capital Region"/>
    <x v="1"/>
    <x v="1"/>
    <s v="Regional South and Connected Communities"/>
    <x v="0"/>
    <x v="0"/>
    <s v="Coed"/>
    <n v="494"/>
    <n v="30"/>
    <s v="Published"/>
    <n v="148.19999999999999"/>
    <n v="5"/>
    <n v="896"/>
    <x v="1"/>
    <n v="136"/>
    <x v="0"/>
    <n v="-35.700051000000002"/>
    <n v="150.18837300000001"/>
  </r>
  <r>
    <s v="1150"/>
    <s v="Bathurst Public School"/>
    <s v="Bathurst"/>
    <s v="Bathurst"/>
    <s v="Central West"/>
    <x v="1"/>
    <x v="1"/>
    <s v="Regional North and West"/>
    <x v="0"/>
    <x v="0"/>
    <s v="Coed"/>
    <n v="424"/>
    <n v="14"/>
    <s v="Published"/>
    <n v="59.360000000000007"/>
    <n v="15"/>
    <n v="983"/>
    <x v="2"/>
    <n v="92"/>
    <x v="0"/>
    <n v="-33.420941999999997"/>
    <n v="149.570615"/>
  </r>
  <r>
    <s v="1152"/>
    <s v="Batlow Central School"/>
    <s v="Batlow"/>
    <s v="Snowy Valleys"/>
    <s v="Riverina"/>
    <x v="2"/>
    <x v="2"/>
    <s v="Rural South and West"/>
    <x v="1"/>
    <x v="0"/>
    <s v="Coed"/>
    <n v="103"/>
    <n v="7"/>
    <s v="Published"/>
    <n v="7.2100000000000009"/>
    <n v="9"/>
    <n v="904"/>
    <x v="2"/>
    <n v="155"/>
    <x v="1"/>
    <n v="-35.523007"/>
    <n v="148.146548"/>
  </r>
  <r>
    <s v="1164"/>
    <s v="Bedgerabong Public School"/>
    <s v="BEDGERABONG"/>
    <s v="Forbes"/>
    <s v="Central West"/>
    <x v="2"/>
    <x v="2"/>
    <s v="Rural South and West"/>
    <x v="0"/>
    <x v="0"/>
    <s v="Coed"/>
    <n v="31"/>
    <m/>
    <s v="Suppressed"/>
    <s v=""/>
    <m/>
    <n v="950"/>
    <x v="2"/>
    <n v="137"/>
    <x v="2"/>
    <n v="-33.361353000000001"/>
    <n v="147.67931799999999"/>
  </r>
  <r>
    <s v="1165"/>
    <s v="Beechwood Public School"/>
    <s v="Wauchope"/>
    <s v="Port Macquarie-Hastings"/>
    <s v="Mid North Coast"/>
    <x v="1"/>
    <x v="1"/>
    <s v="Regional North and West"/>
    <x v="0"/>
    <x v="0"/>
    <s v="Coed"/>
    <n v="184"/>
    <n v="19"/>
    <s v="Published"/>
    <n v="34.96"/>
    <n v="4"/>
    <n v="959"/>
    <x v="2"/>
    <n v="109"/>
    <x v="1"/>
    <n v="-31.435535000000002"/>
    <n v="152.68093999999999"/>
  </r>
  <r>
    <s v="1166"/>
    <s v="Beecroft Public School"/>
    <s v="Beecroft"/>
    <s v="Hornsby"/>
    <s v="Sydney - Ryde"/>
    <x v="0"/>
    <x v="0"/>
    <s v="Metropolitan North"/>
    <x v="0"/>
    <x v="0"/>
    <s v="Coed"/>
    <n v="837"/>
    <m/>
    <s v="Suppressed"/>
    <s v=""/>
    <n v="75"/>
    <n v="1187"/>
    <x v="0"/>
    <n v="0"/>
    <x v="3"/>
    <n v="-33.752085000000001"/>
    <n v="151.06461999999999"/>
  </r>
  <r>
    <s v="1167"/>
    <s v="Beelbangera Public School"/>
    <s v="Beelbangera"/>
    <s v="Griffith"/>
    <s v="Riverina"/>
    <x v="2"/>
    <x v="2"/>
    <s v="Rural South and West"/>
    <x v="0"/>
    <x v="0"/>
    <s v="Coed"/>
    <n v="142"/>
    <n v="7"/>
    <s v="Published"/>
    <n v="9.9400000000000013"/>
    <n v="38"/>
    <n v="983"/>
    <x v="2"/>
    <n v="91"/>
    <x v="1"/>
    <n v="-34.252836000000002"/>
    <n v="146.101067"/>
  </r>
  <r>
    <s v="1168"/>
    <s v="Bega Valley Public School"/>
    <s v="Bega"/>
    <s v="Bega Valley"/>
    <s v="Capital Region"/>
    <x v="2"/>
    <x v="2"/>
    <s v="Regional South and Connected Communities"/>
    <x v="0"/>
    <x v="0"/>
    <s v="Coed"/>
    <n v="291"/>
    <n v="22"/>
    <s v="Published"/>
    <n v="64.02"/>
    <n v="9"/>
    <n v="917"/>
    <x v="2"/>
    <n v="132"/>
    <x v="1"/>
    <n v="-36.670544999999997"/>
    <n v="149.83909499999999"/>
  </r>
  <r>
    <s v="1175"/>
    <s v="Bellata Public School"/>
    <s v="Bellata"/>
    <s v="Narrabri"/>
    <s v="New England and North West"/>
    <x v="2"/>
    <x v="2"/>
    <s v="Rural North"/>
    <x v="0"/>
    <x v="0"/>
    <s v="Coed"/>
    <n v="17"/>
    <n v="35"/>
    <s v="Published"/>
    <n v="5.9499999999999993"/>
    <n v="0"/>
    <n v="913"/>
    <x v="2"/>
    <n v="108"/>
    <x v="2"/>
    <n v="-29.918659000000002"/>
    <n v="149.79621599999999"/>
  </r>
  <r>
    <s v="1177"/>
    <s v="Bellbird Public School"/>
    <s v="BELLBIRD"/>
    <s v="Cessnock"/>
    <s v="Hunter Valley exc Newcastle"/>
    <x v="0"/>
    <x v="0"/>
    <s v="Regional North"/>
    <x v="0"/>
    <x v="0"/>
    <s v="Coed"/>
    <n v="355"/>
    <n v="29"/>
    <s v="Published"/>
    <n v="102.94999999999999"/>
    <n v="5"/>
    <n v="907"/>
    <x v="2"/>
    <n v="134"/>
    <x v="0"/>
    <n v="-32.859420999999998"/>
    <n v="151.31670500000001"/>
  </r>
  <r>
    <s v="1178"/>
    <s v="Bellbrook Public School"/>
    <s v="Bellbrook"/>
    <s v="Kempsey"/>
    <s v="Mid North Coast"/>
    <x v="2"/>
    <x v="2"/>
    <s v="Regional North and West"/>
    <x v="0"/>
    <x v="0"/>
    <s v="Coed"/>
    <n v="24"/>
    <n v="83"/>
    <s v="Published"/>
    <n v="19.919999999999998"/>
    <n v="0"/>
    <n v="732"/>
    <x v="1"/>
    <n v="194"/>
    <x v="2"/>
    <n v="-30.819094"/>
    <n v="152.50869800000001"/>
  </r>
  <r>
    <s v="1179"/>
    <s v="Bellevue Hill Public School"/>
    <s v="Bellevue Hill"/>
    <s v="Woollahra"/>
    <s v="Sydney - Eastern Suburbs"/>
    <x v="0"/>
    <x v="0"/>
    <s v="Metropolitan South"/>
    <x v="0"/>
    <x v="0"/>
    <s v="Coed"/>
    <n v="573"/>
    <m/>
    <s v="Suppressed"/>
    <s v=""/>
    <n v="77"/>
    <n v="1156"/>
    <x v="0"/>
    <n v="5"/>
    <x v="0"/>
    <n v="-33.886986"/>
    <n v="151.25978499999999"/>
  </r>
  <r>
    <s v="1181"/>
    <s v="Bellingen Public School"/>
    <s v="Bellingen"/>
    <s v="Bellingen"/>
    <s v="Coffs Harbour - Grafton"/>
    <x v="1"/>
    <x v="1"/>
    <s v="Regional North and West"/>
    <x v="0"/>
    <x v="0"/>
    <s v="Coed"/>
    <n v="219"/>
    <n v="14"/>
    <s v="Published"/>
    <n v="30.660000000000004"/>
    <n v="8"/>
    <n v="998"/>
    <x v="2"/>
    <n v="87"/>
    <x v="1"/>
    <n v="-30.453489999999999"/>
    <n v="152.891887"/>
  </r>
  <r>
    <s v="1182"/>
    <s v="Belltrees Public School"/>
    <s v="Belltrees"/>
    <s v="Upper Hunter"/>
    <s v="Hunter Valley exc Newcastle"/>
    <x v="2"/>
    <x v="2"/>
    <s v="Regional North and West"/>
    <x v="0"/>
    <x v="0"/>
    <s v="Coed"/>
    <n v="9"/>
    <m/>
    <s v="Suppressed"/>
    <s v=""/>
    <m/>
    <n v="927"/>
    <x v="2"/>
    <n v="61"/>
    <x v="2"/>
    <n v="-31.988752999999999"/>
    <n v="151.12948700000001"/>
  </r>
  <r>
    <s v="1183"/>
    <s v="Belmont Public School"/>
    <s v="Belmont"/>
    <s v="Lake Macquarie"/>
    <s v="Newcastle and Lake Macquarie"/>
    <x v="0"/>
    <x v="0"/>
    <s v="Regional North"/>
    <x v="0"/>
    <x v="0"/>
    <s v="Coed"/>
    <n v="257"/>
    <n v="16"/>
    <s v="Published"/>
    <n v="41.12"/>
    <n v="7"/>
    <n v="956"/>
    <x v="2"/>
    <n v="122"/>
    <x v="1"/>
    <n v="-33.030133999999997"/>
    <n v="151.66220300000001"/>
  </r>
  <r>
    <s v="1185"/>
    <s v="Belmore North Public School"/>
    <s v="Belmore"/>
    <s v="Canterbury-Bankstown"/>
    <s v="Sydney - Inner South West"/>
    <x v="0"/>
    <x v="0"/>
    <s v="Metropolitan South"/>
    <x v="0"/>
    <x v="0"/>
    <s v="Coed"/>
    <n v="252"/>
    <n v="3"/>
    <s v="Published"/>
    <n v="7.56"/>
    <n v="86"/>
    <n v="977"/>
    <x v="2"/>
    <n v="126"/>
    <x v="1"/>
    <n v="-33.909885000000003"/>
    <n v="151.08488500000001"/>
  </r>
  <r>
    <s v="1186"/>
    <s v="Belmore South Public School"/>
    <s v="Belmore"/>
    <s v="Canterbury-Bankstown"/>
    <s v="Sydney - Inner South West"/>
    <x v="0"/>
    <x v="0"/>
    <s v="Metropolitan South"/>
    <x v="0"/>
    <x v="0"/>
    <s v="Coed"/>
    <n v="230"/>
    <m/>
    <s v="Suppressed"/>
    <s v=""/>
    <n v="83"/>
    <n v="1012"/>
    <x v="3"/>
    <n v="94"/>
    <x v="1"/>
    <n v="-33.925735000000003"/>
    <n v="151.09198499999999"/>
  </r>
  <r>
    <s v="1189"/>
    <s v="Bemboka Public School"/>
    <s v="Bemboka"/>
    <s v="Bega Valley"/>
    <s v="Capital Region"/>
    <x v="2"/>
    <x v="2"/>
    <s v="Rural South and West"/>
    <x v="0"/>
    <x v="0"/>
    <s v="Coed"/>
    <n v="29"/>
    <n v="28"/>
    <s v="Published"/>
    <n v="8.120000000000001"/>
    <n v="0"/>
    <n v="927"/>
    <x v="2"/>
    <n v="124"/>
    <x v="2"/>
    <n v="-36.631309000000002"/>
    <n v="149.57107500000001"/>
  </r>
  <r>
    <s v="1191"/>
    <s v="Bendemeer Public School"/>
    <s v="Bendemeer"/>
    <s v="Tamworth"/>
    <s v="New England and North West"/>
    <x v="2"/>
    <x v="2"/>
    <s v="Rural North"/>
    <x v="0"/>
    <x v="0"/>
    <s v="Coed"/>
    <n v="29"/>
    <n v="24"/>
    <s v="Published"/>
    <n v="6.96"/>
    <m/>
    <n v="920"/>
    <x v="2"/>
    <n v="122"/>
    <x v="2"/>
    <n v="-30.886984000000002"/>
    <n v="151.150991"/>
  </r>
  <r>
    <s v="1198"/>
    <s v="Ben Venue Public School"/>
    <s v="Armidale"/>
    <s v="Armidale"/>
    <s v="New England and North West"/>
    <x v="1"/>
    <x v="1"/>
    <s v="Rural North"/>
    <x v="0"/>
    <x v="0"/>
    <s v="Coed"/>
    <n v="509"/>
    <n v="16"/>
    <s v="Published"/>
    <n v="81.44"/>
    <n v="19"/>
    <n v="1008"/>
    <x v="3"/>
    <n v="74"/>
    <x v="0"/>
    <n v="-30.502884000000002"/>
    <n v="151.67462"/>
  </r>
  <r>
    <s v="1199"/>
    <s v="Berala Public School"/>
    <s v="Berala"/>
    <s v="Cumberland"/>
    <s v="Sydney - Parramatta"/>
    <x v="0"/>
    <x v="0"/>
    <s v="Metropolitan South"/>
    <x v="0"/>
    <x v="0"/>
    <s v="Coed"/>
    <n v="656"/>
    <m/>
    <s v="Suppressed"/>
    <s v=""/>
    <n v="95"/>
    <n v="980"/>
    <x v="2"/>
    <n v="135"/>
    <x v="3"/>
    <n v="-33.869714000000002"/>
    <n v="151.028244"/>
  </r>
  <r>
    <s v="1201"/>
    <s v="Beresfield Public School"/>
    <s v="Beresfield"/>
    <s v="Newcastle"/>
    <s v="Newcastle and Lake Macquarie"/>
    <x v="0"/>
    <x v="0"/>
    <s v="Regional North and West"/>
    <x v="0"/>
    <x v="0"/>
    <s v="Coed"/>
    <n v="262"/>
    <n v="26"/>
    <s v="Published"/>
    <n v="68.12"/>
    <n v="11"/>
    <n v="918"/>
    <x v="2"/>
    <n v="135"/>
    <x v="1"/>
    <n v="-32.803964000000001"/>
    <n v="151.65486300000001"/>
  </r>
  <r>
    <s v="1202"/>
    <s v="Berkeley Public School"/>
    <s v="BERKELEY"/>
    <s v="Wollongong"/>
    <s v="Illawarra"/>
    <x v="0"/>
    <x v="0"/>
    <s v="Regional South and Connected Communities"/>
    <x v="0"/>
    <x v="0"/>
    <s v="Coed"/>
    <n v="259"/>
    <n v="27"/>
    <s v="Published"/>
    <n v="69.930000000000007"/>
    <n v="25"/>
    <n v="926"/>
    <x v="2"/>
    <n v="136"/>
    <x v="1"/>
    <n v="-34.480213999999997"/>
    <n v="150.856493"/>
  </r>
  <r>
    <s v="1203"/>
    <s v="Berkeley Vale Public School"/>
    <s v="Berkeley Vale"/>
    <s v="Central Coast (NSW)"/>
    <s v="Central Coast"/>
    <x v="0"/>
    <x v="0"/>
    <s v="Regional North"/>
    <x v="0"/>
    <x v="0"/>
    <s v="Coed"/>
    <n v="524"/>
    <n v="12"/>
    <s v="Published"/>
    <n v="62.879999999999995"/>
    <n v="7"/>
    <n v="988"/>
    <x v="2"/>
    <n v="102"/>
    <x v="0"/>
    <n v="-33.350515000000001"/>
    <n v="151.43588800000001"/>
  </r>
  <r>
    <s v="1204"/>
    <s v="Bermagui Public School"/>
    <s v="Bermagui"/>
    <s v="Bega Valley"/>
    <s v="Capital Region"/>
    <x v="2"/>
    <x v="2"/>
    <s v="Regional South and Connected Communities"/>
    <x v="0"/>
    <x v="0"/>
    <s v="Coed"/>
    <n v="165"/>
    <n v="16"/>
    <s v="Published"/>
    <n v="26.400000000000002"/>
    <n v="8"/>
    <n v="944"/>
    <x v="2"/>
    <n v="116"/>
    <x v="1"/>
    <n v="-36.420775999999996"/>
    <n v="150.063625"/>
  </r>
  <r>
    <s v="1205"/>
    <s v="Berowra Public School"/>
    <s v="Berowra"/>
    <s v="Hornsby"/>
    <s v="Sydney - North Sydney and Hornsby"/>
    <x v="0"/>
    <x v="0"/>
    <s v="Regional North"/>
    <x v="0"/>
    <x v="0"/>
    <s v="Coed"/>
    <n v="272"/>
    <m/>
    <s v="Suppressed"/>
    <s v=""/>
    <n v="14"/>
    <n v="1085"/>
    <x v="3"/>
    <n v="44"/>
    <x v="1"/>
    <n v="-33.618521999999999"/>
    <n v="151.14899600000001"/>
  </r>
  <r>
    <s v="1206"/>
    <s v="Berridale Public School"/>
    <s v="Berridale"/>
    <s v="Snowy Monaro"/>
    <s v="Capital Region"/>
    <x v="1"/>
    <x v="1"/>
    <s v="Rural South and West"/>
    <x v="0"/>
    <x v="0"/>
    <s v="Coed"/>
    <n v="69"/>
    <n v="9"/>
    <s v="Published"/>
    <n v="6.21"/>
    <m/>
    <n v="982"/>
    <x v="2"/>
    <n v="96"/>
    <x v="2"/>
    <n v="-36.371443999999997"/>
    <n v="148.82720900000001"/>
  </r>
  <r>
    <s v="1207"/>
    <s v="Berrigan Public School"/>
    <s v="Berrigan"/>
    <s v="Berrigan"/>
    <s v="Murray"/>
    <x v="2"/>
    <x v="2"/>
    <s v="Rural South and West"/>
    <x v="0"/>
    <x v="0"/>
    <s v="Coed"/>
    <n v="66"/>
    <m/>
    <s v="Suppressed"/>
    <s v=""/>
    <m/>
    <n v="984"/>
    <x v="2"/>
    <n v="105"/>
    <x v="2"/>
    <n v="-35.659666999999999"/>
    <n v="145.815664"/>
  </r>
  <r>
    <s v="1209"/>
    <s v="Berrima Public School"/>
    <s v="Berrima"/>
    <s v="Wingecarribee"/>
    <s v="Southern Highlands and Shoalhaven"/>
    <x v="1"/>
    <x v="1"/>
    <s v="Regional South and Connected Communities"/>
    <x v="0"/>
    <x v="0"/>
    <s v="Coed"/>
    <n v="158"/>
    <m/>
    <s v="Suppressed"/>
    <s v=""/>
    <n v="5"/>
    <n v="1029"/>
    <x v="3"/>
    <n v="70"/>
    <x v="1"/>
    <n v="-34.485881999999997"/>
    <n v="150.34077500000001"/>
  </r>
  <r>
    <s v="1211"/>
    <s v="Berry Public School"/>
    <s v="Berry"/>
    <s v="Shoalhaven"/>
    <s v="Southern Highlands and Shoalhaven"/>
    <x v="1"/>
    <x v="1"/>
    <s v="Regional South and Connected Communities"/>
    <x v="0"/>
    <x v="0"/>
    <s v="Coed"/>
    <n v="268"/>
    <n v="6"/>
    <s v="Published"/>
    <n v="16.079999999999998"/>
    <n v="4"/>
    <n v="1067"/>
    <x v="3"/>
    <n v="50"/>
    <x v="1"/>
    <n v="-34.778317000000001"/>
    <n v="150.689706"/>
  </r>
  <r>
    <s v="1215"/>
    <s v="Beverly Hills Public School"/>
    <s v="Beverly Hills"/>
    <s v="Georges River"/>
    <s v="Sydney - Inner South West"/>
    <x v="0"/>
    <x v="0"/>
    <s v="Metropolitan South"/>
    <x v="0"/>
    <x v="0"/>
    <s v="Coed"/>
    <n v="320"/>
    <m/>
    <s v="Suppressed"/>
    <s v=""/>
    <n v="83"/>
    <n v="1051"/>
    <x v="3"/>
    <n v="62"/>
    <x v="0"/>
    <n v="-33.953448999999999"/>
    <n v="151.08520899999999"/>
  </r>
  <r>
    <s v="1217"/>
    <s v="Bexhill Public School"/>
    <s v="Bexhill"/>
    <s v="Lismore"/>
    <s v="Richmond - Tweed"/>
    <x v="1"/>
    <x v="1"/>
    <s v="Rural North"/>
    <x v="0"/>
    <x v="0"/>
    <s v="Coed"/>
    <n v="113"/>
    <n v="18"/>
    <s v="Published"/>
    <n v="20.34"/>
    <n v="5"/>
    <n v="995"/>
    <x v="2"/>
    <n v="93"/>
    <x v="1"/>
    <n v="-28.766026"/>
    <n v="153.34583499999999"/>
  </r>
  <r>
    <s v="1223"/>
    <s v="Bigga Public School"/>
    <s v="Bigga"/>
    <s v="Upper Lachlan"/>
    <s v="Capital Region"/>
    <x v="2"/>
    <x v="2"/>
    <s v="Regional South and Connected Communities"/>
    <x v="0"/>
    <x v="0"/>
    <s v="Coed"/>
    <n v="15"/>
    <m/>
    <s v="Suppressed"/>
    <s v=""/>
    <m/>
    <n v="988"/>
    <x v="2"/>
    <n v="89"/>
    <x v="2"/>
    <n v="-34.084699999999998"/>
    <n v="149.14460199999999"/>
  </r>
  <r>
    <s v="1224"/>
    <s v="Bilambil Public School"/>
    <s v="Bilambil"/>
    <s v="Tweed"/>
    <s v="Richmond - Tweed"/>
    <x v="0"/>
    <x v="0"/>
    <s v="Rural North"/>
    <x v="0"/>
    <x v="0"/>
    <s v="Coed"/>
    <n v="314"/>
    <n v="9"/>
    <s v="Published"/>
    <n v="28.259999999999998"/>
    <n v="14"/>
    <n v="997"/>
    <x v="2"/>
    <n v="93"/>
    <x v="0"/>
    <n v="-28.223742000000001"/>
    <n v="153.46843100000001"/>
  </r>
  <r>
    <s v="1227"/>
    <s v="Ocean Shores Public School"/>
    <s v="OCEAN SHORES"/>
    <s v="Byron"/>
    <s v="Richmond - Tweed"/>
    <x v="1"/>
    <x v="1"/>
    <s v="Rural North"/>
    <x v="0"/>
    <x v="0"/>
    <s v="Coed"/>
    <n v="294"/>
    <n v="5"/>
    <s v="Published"/>
    <n v="14.700000000000001"/>
    <n v="18"/>
    <n v="1051"/>
    <x v="3"/>
    <n v="56"/>
    <x v="1"/>
    <n v="-28.491202999999999"/>
    <n v="153.54033699999999"/>
  </r>
  <r>
    <s v="1228"/>
    <s v="Bilpin Public School"/>
    <s v="Bilpin"/>
    <s v="Hawkesbury"/>
    <s v="Sydney - Baulkham Hills and Hawkesbury"/>
    <x v="1"/>
    <x v="1"/>
    <s v="Regional North"/>
    <x v="0"/>
    <x v="0"/>
    <s v="Coed"/>
    <n v="37"/>
    <m/>
    <s v="Suppressed"/>
    <s v=""/>
    <n v="17"/>
    <n v="1033"/>
    <x v="3"/>
    <n v="92"/>
    <x v="2"/>
    <n v="-33.497331000000003"/>
    <n v="150.51676499999999"/>
  </r>
  <r>
    <s v="1230"/>
    <s v="Binalong Public School"/>
    <s v="BINALONG"/>
    <s v="Yass Valley"/>
    <s v="Capital Region"/>
    <x v="1"/>
    <x v="1"/>
    <s v="Regional South and Connected Communities"/>
    <x v="0"/>
    <x v="0"/>
    <s v="Coed"/>
    <n v="38"/>
    <m/>
    <s v="Suppressed"/>
    <s v=""/>
    <m/>
    <n v="1005"/>
    <x v="3"/>
    <n v="66"/>
    <x v="2"/>
    <n v="-34.670107999999999"/>
    <n v="148.62571800000001"/>
  </r>
  <r>
    <s v="1231"/>
    <s v="Binda Public School"/>
    <s v="Binda"/>
    <s v="Upper Lachlan"/>
    <s v="Capital Region"/>
    <x v="2"/>
    <x v="2"/>
    <s v="Regional South and Connected Communities"/>
    <x v="0"/>
    <x v="0"/>
    <s v="Coed"/>
    <n v="11"/>
    <m/>
    <s v="Suppressed"/>
    <s v=""/>
    <n v="0"/>
    <n v="788"/>
    <x v="1"/>
    <n v="181"/>
    <x v="2"/>
    <n v="-34.331462999999999"/>
    <n v="149.36811399999999"/>
  </r>
  <r>
    <s v="1234"/>
    <s v="Bingara Central School"/>
    <s v="Bingara"/>
    <s v="Gwydir"/>
    <s v="New England and North West"/>
    <x v="2"/>
    <x v="2"/>
    <s v="Rural North"/>
    <x v="1"/>
    <x v="0"/>
    <s v="Coed"/>
    <n v="175"/>
    <n v="22"/>
    <s v="Published"/>
    <n v="38.5"/>
    <n v="6"/>
    <n v="916"/>
    <x v="2"/>
    <n v="124"/>
    <x v="1"/>
    <n v="-29.866705"/>
    <n v="150.56725"/>
  </r>
  <r>
    <s v="1237"/>
    <s v="Binnaway Central School"/>
    <s v="Binnaway"/>
    <s v="Warrumbungle"/>
    <s v="Far West and Orana"/>
    <x v="2"/>
    <x v="2"/>
    <s v="Regional North and West"/>
    <x v="1"/>
    <x v="0"/>
    <s v="Coed"/>
    <n v="44"/>
    <n v="36"/>
    <s v="Published"/>
    <n v="15.84"/>
    <m/>
    <n v="815"/>
    <x v="1"/>
    <n v="179"/>
    <x v="2"/>
    <n v="-31.552793000000001"/>
    <n v="149.37495100000001"/>
  </r>
  <r>
    <s v="1238"/>
    <s v="Binya Public School"/>
    <s v="Binya"/>
    <s v="Narrandera"/>
    <s v="Riverina"/>
    <x v="2"/>
    <x v="2"/>
    <s v="Rural South and West"/>
    <x v="0"/>
    <x v="0"/>
    <s v="Coed"/>
    <n v="19"/>
    <m/>
    <s v="Suppressed"/>
    <s v=""/>
    <n v="0"/>
    <n v="1008"/>
    <x v="3"/>
    <n v="118"/>
    <x v="2"/>
    <n v="-34.228678000000002"/>
    <n v="146.35303400000001"/>
  </r>
  <r>
    <s v="1240"/>
    <s v="Birchgrove Public School"/>
    <s v="Balmain"/>
    <s v="Inner West"/>
    <s v="Sydney - Inner West"/>
    <x v="0"/>
    <x v="0"/>
    <s v="Metropolitan South"/>
    <x v="0"/>
    <x v="0"/>
    <s v="Coed"/>
    <n v="214"/>
    <n v="4"/>
    <s v="Published"/>
    <n v="8.56"/>
    <n v="21"/>
    <n v="1132"/>
    <x v="0"/>
    <n v="17"/>
    <x v="1"/>
    <n v="-33.853009"/>
    <n v="151.17704499999999"/>
  </r>
  <r>
    <s v="1246"/>
    <s v="Blackheath Public School"/>
    <s v="Blackheath"/>
    <s v="Blue Mountains"/>
    <s v="Sydney - Outer West and Blue Mountains"/>
    <x v="1"/>
    <x v="1"/>
    <s v="Regional North"/>
    <x v="0"/>
    <x v="0"/>
    <s v="Coed"/>
    <n v="254"/>
    <n v="9"/>
    <s v="Published"/>
    <n v="22.86"/>
    <n v="12"/>
    <n v="1050"/>
    <x v="3"/>
    <n v="65"/>
    <x v="1"/>
    <n v="-33.639284000000004"/>
    <n v="150.285831"/>
  </r>
  <r>
    <s v="1247"/>
    <s v="Black Hill Public School"/>
    <s v="Black Hill"/>
    <s v="Cessnock"/>
    <s v="Hunter Valley exc Newcastle"/>
    <x v="0"/>
    <x v="0"/>
    <s v="Regional North and West"/>
    <x v="0"/>
    <x v="0"/>
    <s v="Coed"/>
    <n v="67"/>
    <n v="18"/>
    <s v="Published"/>
    <n v="12.059999999999999"/>
    <m/>
    <n v="982"/>
    <x v="2"/>
    <n v="102"/>
    <x v="2"/>
    <n v="-32.838523000000002"/>
    <n v="151.617131"/>
  </r>
  <r>
    <s v="1249"/>
    <s v="Black Mountain Public School"/>
    <s v="Black Mountain"/>
    <s v="Armidale"/>
    <s v="New England and North West"/>
    <x v="1"/>
    <x v="1"/>
    <s v="Rural North"/>
    <x v="0"/>
    <x v="0"/>
    <s v="Coed"/>
    <n v="20"/>
    <n v="80"/>
    <s v="Published"/>
    <n v="16"/>
    <n v="50"/>
    <n v="807"/>
    <x v="1"/>
    <n v="133"/>
    <x v="2"/>
    <n v="-30.308489000000002"/>
    <n v="151.65768800000001"/>
  </r>
  <r>
    <s v="1252"/>
    <s v="Blackville Public School"/>
    <s v="Blackville"/>
    <s v="Liverpool Plains"/>
    <s v="New England and North West"/>
    <x v="2"/>
    <x v="2"/>
    <s v="Rural North"/>
    <x v="0"/>
    <x v="0"/>
    <s v="Coed"/>
    <n v="9"/>
    <m/>
    <s v="Suppressed"/>
    <s v=""/>
    <n v="0"/>
    <n v="914"/>
    <x v="2"/>
    <n v="134"/>
    <x v="2"/>
    <n v="-31.640440000000002"/>
    <n v="150.23748900000001"/>
  </r>
  <r>
    <s v="1254"/>
    <s v="Blakebrook Public School"/>
    <s v="Blakebrook"/>
    <s v="Lismore"/>
    <s v="Richmond - Tweed"/>
    <x v="1"/>
    <x v="1"/>
    <s v="Rural North"/>
    <x v="0"/>
    <x v="0"/>
    <s v="Coed"/>
    <n v="36"/>
    <n v="17"/>
    <s v="Published"/>
    <n v="6.12"/>
    <n v="0"/>
    <n v="942"/>
    <x v="2"/>
    <n v="114"/>
    <x v="2"/>
    <n v="-28.763425999999999"/>
    <n v="153.22999200000001"/>
  </r>
  <r>
    <s v="1255"/>
    <s v="Blakehurst Public School"/>
    <s v="Blakehurst"/>
    <s v="Georges River"/>
    <s v="Sydney - Inner South West"/>
    <x v="0"/>
    <x v="0"/>
    <s v="Metropolitan South"/>
    <x v="0"/>
    <x v="0"/>
    <s v="Coed"/>
    <n v="256"/>
    <n v="3"/>
    <s v="Published"/>
    <n v="7.68"/>
    <n v="61"/>
    <n v="1049"/>
    <x v="3"/>
    <n v="71"/>
    <x v="1"/>
    <n v="-33.982979999999998"/>
    <n v="151.115779"/>
  </r>
  <r>
    <s v="1256"/>
    <s v="Blandford Public School"/>
    <s v="Blandford"/>
    <s v="Upper Hunter"/>
    <s v="Hunter Valley exc Newcastle"/>
    <x v="2"/>
    <x v="2"/>
    <s v="Regional North and West"/>
    <x v="0"/>
    <x v="0"/>
    <s v="Coed"/>
    <n v="10"/>
    <m/>
    <s v="Suppressed"/>
    <s v=""/>
    <n v="0"/>
    <n v="978"/>
    <x v="2"/>
    <n v="116"/>
    <x v="2"/>
    <n v="-31.778585"/>
    <n v="150.89272500000001"/>
  </r>
  <r>
    <s v="1257"/>
    <s v="Blaxcell Street Public School"/>
    <s v="Granville"/>
    <s v="Cumberland"/>
    <s v="Sydney - Parramatta"/>
    <x v="0"/>
    <x v="0"/>
    <s v="Metropolitan South"/>
    <x v="0"/>
    <x v="0"/>
    <s v="Coed"/>
    <n v="948"/>
    <n v="1"/>
    <s v="Published"/>
    <n v="9.48"/>
    <n v="91"/>
    <n v="957"/>
    <x v="2"/>
    <n v="153"/>
    <x v="3"/>
    <n v="-33.858068000000003"/>
    <n v="151.006125"/>
  </r>
  <r>
    <s v="1258"/>
    <s v="Blaxland Public School"/>
    <s v="Blaxland"/>
    <s v="Blue Mountains"/>
    <s v="Sydney - Outer West and Blue Mountains"/>
    <x v="0"/>
    <x v="0"/>
    <s v="Regional North"/>
    <x v="0"/>
    <x v="0"/>
    <s v="Coed"/>
    <n v="137"/>
    <n v="8"/>
    <s v="Published"/>
    <n v="10.96"/>
    <n v="9"/>
    <n v="1068"/>
    <x v="3"/>
    <n v="67"/>
    <x v="1"/>
    <n v="-33.737102999999998"/>
    <n v="150.603489"/>
  </r>
  <r>
    <s v="1260"/>
    <s v="Blayney Public School"/>
    <s v="Blayney"/>
    <s v="Blayney"/>
    <s v="Central West"/>
    <x v="1"/>
    <x v="1"/>
    <s v="Regional North and West"/>
    <x v="0"/>
    <x v="0"/>
    <s v="Coed"/>
    <n v="248"/>
    <n v="20"/>
    <s v="Published"/>
    <n v="49.6"/>
    <n v="3"/>
    <n v="928"/>
    <x v="2"/>
    <n v="121"/>
    <x v="1"/>
    <n v="-33.528987000000001"/>
    <n v="149.25158300000001"/>
  </r>
  <r>
    <s v="1261"/>
    <s v="Blighty Public School"/>
    <s v="Blighty"/>
    <s v="Edward River"/>
    <s v="Murray"/>
    <x v="2"/>
    <x v="2"/>
    <s v="Rural South and West"/>
    <x v="0"/>
    <x v="0"/>
    <s v="Coed"/>
    <n v="19"/>
    <n v="0"/>
    <s v="Published"/>
    <n v="0"/>
    <m/>
    <n v="1012"/>
    <x v="3"/>
    <n v="67"/>
    <x v="2"/>
    <n v="-35.580094000000003"/>
    <n v="145.34927200000001"/>
  </r>
  <r>
    <s v="1266"/>
    <s v="Boambee Public School"/>
    <s v="Boambee"/>
    <s v="Coffs Harbour"/>
    <s v="Coffs Harbour - Grafton"/>
    <x v="1"/>
    <x v="1"/>
    <s v="Regional North and West"/>
    <x v="0"/>
    <x v="0"/>
    <s v="Coed"/>
    <n v="383"/>
    <n v="14"/>
    <s v="Published"/>
    <n v="53.620000000000005"/>
    <n v="5"/>
    <n v="996"/>
    <x v="2"/>
    <n v="90"/>
    <x v="0"/>
    <n v="-30.334054999999999"/>
    <n v="153.077009"/>
  </r>
  <r>
    <s v="1269"/>
    <s v="Bobin Public School"/>
    <s v="Bobin"/>
    <s v="Mid-Coast"/>
    <s v="Mid North Coast"/>
    <x v="2"/>
    <x v="2"/>
    <s v="Regional North and West"/>
    <x v="0"/>
    <x v="0"/>
    <s v="Coed"/>
    <n v="13"/>
    <m/>
    <s v="Suppressed"/>
    <s v=""/>
    <m/>
    <n v="938"/>
    <x v="2"/>
    <n v="137"/>
    <x v="2"/>
    <n v="-31.712682000000001"/>
    <n v="152.28388000000001"/>
  </r>
  <r>
    <s v="1271"/>
    <s v="Bobs Farm Public School"/>
    <s v="Bobs Farm"/>
    <s v="Port Stephens"/>
    <s v="Hunter Valley exc Newcastle"/>
    <x v="1"/>
    <x v="1"/>
    <s v="Regional North"/>
    <x v="0"/>
    <x v="0"/>
    <s v="Coed"/>
    <n v="30"/>
    <m/>
    <s v="Suppressed"/>
    <s v=""/>
    <m/>
    <n v="979"/>
    <x v="2"/>
    <n v="88"/>
    <x v="2"/>
    <n v="-32.766795999999999"/>
    <n v="152.01093700000001"/>
  </r>
  <r>
    <s v="1272"/>
    <s v="Bodalla Public School"/>
    <s v="Bodalla"/>
    <s v="Eurobodalla"/>
    <s v="Capital Region"/>
    <x v="2"/>
    <x v="2"/>
    <s v="Regional South and Connected Communities"/>
    <x v="0"/>
    <x v="0"/>
    <s v="Coed"/>
    <n v="65"/>
    <n v="32"/>
    <s v="Published"/>
    <n v="20.8"/>
    <m/>
    <n v="890"/>
    <x v="1"/>
    <n v="129"/>
    <x v="2"/>
    <n v="-36.099379999999996"/>
    <n v="150.05387899999999"/>
  </r>
  <r>
    <s v="1274"/>
    <s v="Bogan Gate Public School"/>
    <s v="Bogan Gate"/>
    <s v="Parkes"/>
    <s v="Central West"/>
    <x v="2"/>
    <x v="2"/>
    <s v="Rural South and West"/>
    <x v="0"/>
    <x v="0"/>
    <s v="Coed"/>
    <n v="11"/>
    <m/>
    <s v="Suppressed"/>
    <s v=""/>
    <n v="0"/>
    <n v="828"/>
    <x v="1"/>
    <n v="164"/>
    <x v="2"/>
    <n v="-33.104968"/>
    <n v="147.79785899999999"/>
  </r>
  <r>
    <s v="1275"/>
    <s v="Boggabilla Central School"/>
    <s v="Boggabilla"/>
    <s v="Moree Plains"/>
    <s v="New England and North West"/>
    <x v="2"/>
    <x v="2"/>
    <s v="Regional South and Connected Communities"/>
    <x v="1"/>
    <x v="0"/>
    <s v="Coed"/>
    <n v="79"/>
    <n v="99"/>
    <s v="Published"/>
    <n v="78.209999999999994"/>
    <n v="60"/>
    <n v="670"/>
    <x v="1"/>
    <n v="224"/>
    <x v="2"/>
    <n v="-28.616586000000002"/>
    <n v="150.361593"/>
  </r>
  <r>
    <s v="1276"/>
    <s v="Boggabri Public School"/>
    <s v="Boggabri"/>
    <s v="Narrabri"/>
    <s v="New England and North West"/>
    <x v="2"/>
    <x v="2"/>
    <s v="Rural North"/>
    <x v="0"/>
    <x v="0"/>
    <s v="Coed"/>
    <n v="96"/>
    <n v="26"/>
    <s v="Published"/>
    <n v="24.96"/>
    <m/>
    <n v="908"/>
    <x v="2"/>
    <n v="126"/>
    <x v="2"/>
    <n v="-30.705681999999999"/>
    <n v="150.04305299999999"/>
  </r>
  <r>
    <s v="1286"/>
    <s v="Bolwarra Public School"/>
    <s v="Bolwarra"/>
    <s v="Maitland"/>
    <s v="Hunter Valley exc Newcastle"/>
    <x v="0"/>
    <x v="0"/>
    <s v="Regional North and West"/>
    <x v="0"/>
    <x v="0"/>
    <s v="Coed"/>
    <n v="390"/>
    <n v="11"/>
    <s v="Published"/>
    <n v="42.9"/>
    <n v="7"/>
    <n v="1032"/>
    <x v="3"/>
    <n v="75"/>
    <x v="0"/>
    <n v="-32.706994000000002"/>
    <n v="151.57300799999999"/>
  </r>
  <r>
    <s v="1287"/>
    <s v="Bomaderry Public School"/>
    <s v="Bomaderry"/>
    <s v="Shoalhaven"/>
    <s v="Southern Highlands and Shoalhaven"/>
    <x v="1"/>
    <x v="1"/>
    <s v="Regional South and Connected Communities"/>
    <x v="0"/>
    <x v="0"/>
    <s v="Coed"/>
    <n v="406"/>
    <n v="32"/>
    <s v="Published"/>
    <n v="129.92000000000002"/>
    <n v="12"/>
    <n v="908"/>
    <x v="2"/>
    <n v="136"/>
    <x v="0"/>
    <n v="-34.847378999999997"/>
    <n v="150.60826900000001"/>
  </r>
  <r>
    <s v="1288"/>
    <s v="Bombala Public School"/>
    <s v="Bombala"/>
    <s v="Snowy Monaro"/>
    <s v="Capital Region"/>
    <x v="2"/>
    <x v="2"/>
    <s v="Rural South and West"/>
    <x v="0"/>
    <x v="0"/>
    <s v="Coed"/>
    <n v="104"/>
    <n v="19"/>
    <s v="Published"/>
    <n v="19.760000000000002"/>
    <n v="0"/>
    <n v="899"/>
    <x v="1"/>
    <n v="134"/>
    <x v="1"/>
    <n v="-36.918985999999997"/>
    <n v="149.23379199999999"/>
  </r>
  <r>
    <s v="1290"/>
    <s v="Bonalbo Central School"/>
    <s v="Bonalbo"/>
    <s v="Kyogle"/>
    <s v="Richmond - Tweed"/>
    <x v="2"/>
    <x v="2"/>
    <s v="Rural North"/>
    <x v="1"/>
    <x v="0"/>
    <s v="Coed"/>
    <n v="84"/>
    <n v="36"/>
    <s v="Published"/>
    <n v="30.24"/>
    <m/>
    <n v="791"/>
    <x v="1"/>
    <n v="199"/>
    <x v="2"/>
    <n v="-28.735472000000001"/>
    <n v="152.62395900000001"/>
  </r>
  <r>
    <s v="1292"/>
    <s v="Bondi Beach Public School"/>
    <s v="Bondi Beach"/>
    <s v="Waverley"/>
    <s v="Sydney - Eastern Suburbs"/>
    <x v="0"/>
    <x v="0"/>
    <s v="Metropolitan South"/>
    <x v="0"/>
    <x v="0"/>
    <s v="Coed"/>
    <n v="348"/>
    <m/>
    <s v="Suppressed"/>
    <s v=""/>
    <n v="34"/>
    <n v="1120"/>
    <x v="0"/>
    <n v="19"/>
    <x v="0"/>
    <n v="-33.888300000000001"/>
    <n v="151.27682100000001"/>
  </r>
  <r>
    <s v="1293"/>
    <s v="Bongongo Public School"/>
    <s v="Adjungbilly"/>
    <s v="Cootamundra-Gundagai"/>
    <s v="Riverina"/>
    <x v="2"/>
    <x v="2"/>
    <s v="Rural South and West"/>
    <x v="0"/>
    <x v="0"/>
    <s v="Coed"/>
    <n v="9"/>
    <m/>
    <s v="Suppressed"/>
    <s v=""/>
    <n v="0"/>
    <n v="1062"/>
    <x v="3"/>
    <n v="15"/>
    <x v="2"/>
    <n v="-35.084629999999997"/>
    <n v="148.399517"/>
  </r>
  <r>
    <s v="1296"/>
    <s v="Bonshaw Public School"/>
    <s v="Bonshaw"/>
    <s v="Inverell"/>
    <s v="New England and North West"/>
    <x v="2"/>
    <x v="2"/>
    <s v="Rural North"/>
    <x v="0"/>
    <x v="0"/>
    <s v="Coed"/>
    <n v="8"/>
    <n v="0"/>
    <s v="Published"/>
    <n v="0"/>
    <n v="0"/>
    <n v="951"/>
    <x v="2"/>
    <n v="150"/>
    <x v="2"/>
    <n v="-29.046365999999999"/>
    <n v="151.27809199999999"/>
  </r>
  <r>
    <s v="1297"/>
    <s v="Bonville Public School"/>
    <s v="BONVILLE"/>
    <s v="Coffs Harbour"/>
    <s v="Coffs Harbour - Grafton"/>
    <x v="1"/>
    <x v="1"/>
    <s v="Regional North and West"/>
    <x v="0"/>
    <x v="0"/>
    <s v="Coed"/>
    <n v="121"/>
    <n v="10"/>
    <s v="Published"/>
    <n v="12.100000000000001"/>
    <m/>
    <n v="979"/>
    <x v="2"/>
    <n v="105"/>
    <x v="1"/>
    <n v="-30.379781999999999"/>
    <n v="153.03231600000001"/>
  </r>
  <r>
    <s v="1302"/>
    <s v="Boolaroo Public School"/>
    <s v="Boolaroo"/>
    <s v="Lake Macquarie"/>
    <s v="Newcastle and Lake Macquarie"/>
    <x v="0"/>
    <x v="0"/>
    <s v="Regional North"/>
    <x v="0"/>
    <x v="0"/>
    <s v="Coed"/>
    <n v="99"/>
    <n v="21"/>
    <s v="Published"/>
    <n v="20.79"/>
    <n v="8"/>
    <n v="981"/>
    <x v="2"/>
    <n v="107"/>
    <x v="2"/>
    <n v="-32.951196000000003"/>
    <n v="151.62276499999999"/>
  </r>
  <r>
    <s v="1307"/>
    <s v="Boomi Public School"/>
    <s v="Boomi"/>
    <s v="Moree Plains"/>
    <s v="New England and North West"/>
    <x v="3"/>
    <x v="3"/>
    <s v="Rural North"/>
    <x v="0"/>
    <x v="0"/>
    <s v="Coed"/>
    <n v="7"/>
    <n v="100"/>
    <s v="Published"/>
    <n v="7"/>
    <n v="0"/>
    <n v="770"/>
    <x v="1"/>
    <n v="62"/>
    <x v="2"/>
    <n v="-28.724129000000001"/>
    <n v="149.577268"/>
  </r>
  <r>
    <s v="1311"/>
    <s v="Booral Public School"/>
    <s v="Booral"/>
    <s v="Mid-Coast"/>
    <s v="Mid North Coast"/>
    <x v="1"/>
    <x v="1"/>
    <s v="Regional North and West"/>
    <x v="0"/>
    <x v="0"/>
    <s v="Coed"/>
    <n v="84"/>
    <n v="21"/>
    <s v="Published"/>
    <n v="17.64"/>
    <m/>
    <n v="938"/>
    <x v="2"/>
    <n v="120"/>
    <x v="2"/>
    <n v="-32.471428000000003"/>
    <n v="151.960736"/>
  </r>
  <r>
    <s v="1313"/>
    <s v="Boorowa Central School"/>
    <s v="Boorowa"/>
    <s v="Hilltops"/>
    <s v="Capital Region"/>
    <x v="1"/>
    <x v="1"/>
    <s v="Regional South and Connected Communities"/>
    <x v="1"/>
    <x v="0"/>
    <s v="Coed"/>
    <n v="239.8"/>
    <n v="13"/>
    <s v="Published"/>
    <n v="31.174000000000003"/>
    <n v="2"/>
    <n v="934"/>
    <x v="2"/>
    <n v="130"/>
    <x v="1"/>
    <n v="-34.436712"/>
    <n v="148.72610800000001"/>
  </r>
  <r>
    <s v="1318"/>
    <s v="Boree Creek Public School"/>
    <s v="Boree Creek"/>
    <s v="Federation"/>
    <s v="Riverina"/>
    <x v="2"/>
    <x v="2"/>
    <s v="Rural South and West"/>
    <x v="0"/>
    <x v="0"/>
    <s v="Coed"/>
    <n v="19"/>
    <m/>
    <s v="Suppressed"/>
    <s v=""/>
    <n v="0"/>
    <n v="927"/>
    <x v="2"/>
    <n v="117"/>
    <x v="2"/>
    <n v="-35.105936999999997"/>
    <n v="146.60633799999999"/>
  </r>
  <r>
    <s v="1320"/>
    <s v="Boronia Park Public School"/>
    <s v="HUNTERS HILL"/>
    <s v="Hunters Hill"/>
    <s v="Sydney - Ryde"/>
    <x v="0"/>
    <x v="0"/>
    <s v="Metropolitan North"/>
    <x v="0"/>
    <x v="0"/>
    <s v="Coed"/>
    <n v="409"/>
    <m/>
    <s v="Suppressed"/>
    <s v=""/>
    <n v="32"/>
    <n v="1145"/>
    <x v="0"/>
    <n v="10"/>
    <x v="0"/>
    <n v="-33.821413999999997"/>
    <n v="151.135558"/>
  </r>
  <r>
    <s v="1321"/>
    <s v="Bossley Park Public School"/>
    <s v="Bossley Park"/>
    <s v="Fairfield"/>
    <s v="Sydney - South West"/>
    <x v="0"/>
    <x v="0"/>
    <s v="Metropolitan South and West"/>
    <x v="0"/>
    <x v="0"/>
    <s v="Coed"/>
    <n v="265"/>
    <m/>
    <s v="Suppressed"/>
    <s v=""/>
    <n v="89"/>
    <n v="934"/>
    <x v="2"/>
    <n v="157"/>
    <x v="1"/>
    <n v="-33.858524000000003"/>
    <n v="150.88307599999999"/>
  </r>
  <r>
    <s v="1323"/>
    <s v="Botany Public School"/>
    <s v="Botany"/>
    <s v="Bayside (NSW)"/>
    <s v="Sydney - City and Inner South"/>
    <x v="0"/>
    <x v="0"/>
    <s v="Metropolitan South"/>
    <x v="0"/>
    <x v="0"/>
    <s v="Coed"/>
    <n v="232"/>
    <n v="3"/>
    <s v="Published"/>
    <n v="6.96"/>
    <n v="33"/>
    <n v="1062"/>
    <x v="3"/>
    <n v="52"/>
    <x v="1"/>
    <n v="-33.943159999999999"/>
    <n v="151.19468699999999"/>
  </r>
  <r>
    <s v="1326"/>
    <s v="Bourke Public School"/>
    <s v="BOURKE"/>
    <s v="Bourke"/>
    <s v="Far West and Orana"/>
    <x v="4"/>
    <x v="4"/>
    <s v="Regional South and Connected Communities"/>
    <x v="0"/>
    <x v="0"/>
    <s v="Coed"/>
    <n v="145"/>
    <n v="81"/>
    <s v="Published"/>
    <n v="117.45"/>
    <m/>
    <n v="702"/>
    <x v="1"/>
    <n v="190"/>
    <x v="1"/>
    <n v="-30.093509999999998"/>
    <n v="145.94968"/>
  </r>
  <r>
    <s v="1334"/>
    <s v="Bowning Public School"/>
    <s v="Bowning"/>
    <s v="Yass Valley"/>
    <s v="Capital Region"/>
    <x v="1"/>
    <x v="1"/>
    <s v="Regional South and Connected Communities"/>
    <x v="0"/>
    <x v="0"/>
    <s v="Coed"/>
    <n v="26"/>
    <m/>
    <s v="Suppressed"/>
    <s v=""/>
    <n v="0"/>
    <n v="994"/>
    <x v="2"/>
    <n v="120"/>
    <x v="2"/>
    <n v="-34.769376000000001"/>
    <n v="148.81153"/>
  </r>
  <r>
    <s v="1335"/>
    <s v="Bowral Public School"/>
    <s v="BOWRAL"/>
    <s v="Wingecarribee"/>
    <s v="Southern Highlands and Shoalhaven"/>
    <x v="1"/>
    <x v="1"/>
    <s v="Regional South and Connected Communities"/>
    <x v="0"/>
    <x v="0"/>
    <s v="Coed"/>
    <n v="484"/>
    <n v="3"/>
    <s v="Published"/>
    <n v="14.52"/>
    <n v="20"/>
    <n v="1090"/>
    <x v="3"/>
    <n v="47"/>
    <x v="0"/>
    <n v="-34.481178"/>
    <n v="150.41919100000001"/>
  </r>
  <r>
    <s v="1336"/>
    <s v="Bowraville Central School"/>
    <s v="BOWRAVILLE"/>
    <s v="Nambucca Valley"/>
    <s v="Mid North Coast"/>
    <x v="1"/>
    <x v="1"/>
    <s v="Regional South and Connected Communities"/>
    <x v="1"/>
    <x v="0"/>
    <s v="Coed"/>
    <n v="206.2"/>
    <n v="33"/>
    <s v="Published"/>
    <n v="68.046000000000006"/>
    <n v="7"/>
    <n v="861"/>
    <x v="1"/>
    <n v="156"/>
    <x v="1"/>
    <n v="-30.645288999999998"/>
    <n v="152.85389799999999"/>
  </r>
  <r>
    <s v="1340"/>
    <s v="Braidwood Central School"/>
    <s v="Braidwood"/>
    <s v="Queanbeyan-Palerang"/>
    <s v="Capital Region"/>
    <x v="1"/>
    <x v="1"/>
    <s v="Rural South and West"/>
    <x v="1"/>
    <x v="0"/>
    <s v="Coed"/>
    <n v="305.8"/>
    <n v="6"/>
    <s v="Published"/>
    <n v="18.347999999999999"/>
    <n v="7"/>
    <n v="1005"/>
    <x v="3"/>
    <n v="92"/>
    <x v="0"/>
    <n v="-35.440595000000002"/>
    <n v="149.79888800000001"/>
  </r>
  <r>
    <s v="1341"/>
    <s v="Branxton Public School"/>
    <s v="BRANXTON"/>
    <s v="Cessnock"/>
    <s v="Hunter Valley exc Newcastle"/>
    <x v="1"/>
    <x v="1"/>
    <s v="Regional North and West"/>
    <x v="0"/>
    <x v="0"/>
    <s v="Coed"/>
    <n v="540"/>
    <n v="17"/>
    <s v="Published"/>
    <n v="91.800000000000011"/>
    <n v="6"/>
    <n v="949"/>
    <x v="2"/>
    <n v="116"/>
    <x v="0"/>
    <n v="-32.659390999999999"/>
    <n v="151.35068200000001"/>
  </r>
  <r>
    <s v="1345"/>
    <s v="Breadalbane Public School"/>
    <s v="BREADALBANE"/>
    <s v="Upper Lachlan"/>
    <s v="Capital Region"/>
    <x v="1"/>
    <x v="1"/>
    <s v="Regional South and Connected Communities"/>
    <x v="0"/>
    <x v="0"/>
    <s v="Coed"/>
    <n v="9"/>
    <n v="0"/>
    <s v="Published"/>
    <n v="0"/>
    <m/>
    <n v="1005"/>
    <x v="3"/>
    <n v="120"/>
    <x v="2"/>
    <n v="-34.790545999999999"/>
    <n v="149.48757599999999"/>
  </r>
  <r>
    <s v="1346"/>
    <s v="Colo Heights Public School"/>
    <s v="Colo Heights"/>
    <s v="Hawkesbury"/>
    <s v="Sydney - Baulkham Hills and Hawkesbury"/>
    <x v="2"/>
    <x v="2"/>
    <s v="Regional North"/>
    <x v="0"/>
    <x v="0"/>
    <s v="Coed"/>
    <n v="29"/>
    <m/>
    <s v="Suppressed"/>
    <s v=""/>
    <m/>
    <n v="949"/>
    <x v="2"/>
    <n v="128"/>
    <x v="2"/>
    <n v="-33.372971999999997"/>
    <n v="150.73977600000001"/>
  </r>
  <r>
    <s v="1347"/>
    <s v="Bredbo Public School"/>
    <s v="Bredbo"/>
    <s v="Snowy Monaro"/>
    <s v="Capital Region"/>
    <x v="1"/>
    <x v="1"/>
    <s v="Rural South and West"/>
    <x v="0"/>
    <x v="0"/>
    <s v="Coed"/>
    <n v="15"/>
    <n v="0"/>
    <s v="Published"/>
    <n v="0"/>
    <n v="0"/>
    <n v="1045"/>
    <x v="3"/>
    <n v="68"/>
    <x v="2"/>
    <n v="-35.953989999999997"/>
    <n v="149.14796999999999"/>
  </r>
  <r>
    <s v="1350"/>
    <s v="Brewarrina Central School"/>
    <s v="BREWARRINA"/>
    <s v="Brewarrina"/>
    <s v="Far West and Orana"/>
    <x v="4"/>
    <x v="4"/>
    <s v="Regional South and Connected Communities"/>
    <x v="1"/>
    <x v="0"/>
    <s v="Coed"/>
    <n v="122"/>
    <n v="99"/>
    <s v="Published"/>
    <n v="120.78"/>
    <m/>
    <n v="652"/>
    <x v="1"/>
    <n v="207"/>
    <x v="1"/>
    <n v="-29.963668999999999"/>
    <n v="146.85908800000001"/>
  </r>
  <r>
    <s v="1354"/>
    <s v="Bribbaree Public School"/>
    <s v="Bribbaree"/>
    <s v="Hilltops"/>
    <s v="Capital Region"/>
    <x v="2"/>
    <x v="2"/>
    <s v="Rural South and West"/>
    <x v="0"/>
    <x v="0"/>
    <s v="Coed"/>
    <n v="8"/>
    <n v="0"/>
    <s v="Published"/>
    <n v="0"/>
    <m/>
    <n v="903"/>
    <x v="2"/>
    <n v="136"/>
    <x v="2"/>
    <n v="-34.120420000000003"/>
    <n v="147.87469899999999"/>
  </r>
  <r>
    <s v="1358"/>
    <s v="Brighton-Le-Sands Public School"/>
    <s v="BRIGHTON-LE-SANDS"/>
    <s v="Bayside (NSW)"/>
    <s v="Sydney - Inner South West"/>
    <x v="0"/>
    <x v="0"/>
    <s v="Metropolitan South"/>
    <x v="0"/>
    <x v="0"/>
    <s v="Coed"/>
    <n v="433"/>
    <n v="2"/>
    <s v="Published"/>
    <n v="8.66"/>
    <n v="69"/>
    <n v="1064"/>
    <x v="3"/>
    <n v="63"/>
    <x v="0"/>
    <n v="-33.962356999999997"/>
    <n v="151.14892900000001"/>
  </r>
  <r>
    <s v="1360"/>
    <s v="Bringelly Public School"/>
    <s v="BRINGELLY"/>
    <s v="Liverpool"/>
    <s v="Sydney - South West"/>
    <x v="1"/>
    <x v="1"/>
    <s v="Regional South and Connected Communities"/>
    <x v="0"/>
    <x v="0"/>
    <s v="Coed"/>
    <n v="114"/>
    <n v="15"/>
    <s v="Published"/>
    <n v="17.099999999999998"/>
    <n v="41"/>
    <n v="929"/>
    <x v="2"/>
    <n v="153"/>
    <x v="1"/>
    <n v="-33.937910000000002"/>
    <n v="150.730266"/>
  </r>
  <r>
    <s v="1361"/>
    <s v="Broadwater Public School"/>
    <s v="Broadwater"/>
    <s v="Richmond Valley"/>
    <s v="Richmond - Tweed"/>
    <x v="1"/>
    <x v="1"/>
    <s v="Rural North"/>
    <x v="0"/>
    <x v="0"/>
    <s v="Coed"/>
    <n v="47"/>
    <n v="0"/>
    <s v="Published"/>
    <n v="0"/>
    <m/>
    <n v="979"/>
    <x v="2"/>
    <n v="124"/>
    <x v="2"/>
    <n v="-29.002773000000001"/>
    <n v="153.43727899999999"/>
  </r>
  <r>
    <s v="1363"/>
    <s v="Brocklesby Public School"/>
    <s v="Brocklesby"/>
    <s v="Greater Hume"/>
    <s v="Murray"/>
    <x v="1"/>
    <x v="1"/>
    <s v="Rural South and West"/>
    <x v="0"/>
    <x v="0"/>
    <s v="Coed"/>
    <n v="21"/>
    <m/>
    <s v="Suppressed"/>
    <s v=""/>
    <m/>
    <n v="968"/>
    <x v="2"/>
    <n v="102"/>
    <x v="2"/>
    <n v="-35.823911000000003"/>
    <n v="146.677989"/>
  </r>
  <r>
    <s v="1367"/>
    <s v="Broke Public School"/>
    <s v="Broke"/>
    <s v="Singleton"/>
    <s v="Hunter Valley exc Newcastle"/>
    <x v="1"/>
    <x v="1"/>
    <s v="Regional North and West"/>
    <x v="0"/>
    <x v="0"/>
    <s v="Coed"/>
    <n v="30"/>
    <n v="50"/>
    <s v="Published"/>
    <n v="15"/>
    <m/>
    <n v="861"/>
    <x v="1"/>
    <n v="150"/>
    <x v="2"/>
    <n v="-32.744976000000001"/>
    <n v="151.10433399999999"/>
  </r>
  <r>
    <s v="1369"/>
    <s v="Broken Hill Public School"/>
    <s v="Broken Hill"/>
    <s v="Broken Hill"/>
    <s v="Far West and Orana"/>
    <x v="2"/>
    <x v="2"/>
    <s v="Rural South and West"/>
    <x v="0"/>
    <x v="0"/>
    <s v="Coed"/>
    <n v="162"/>
    <n v="33"/>
    <s v="Published"/>
    <n v="53.46"/>
    <n v="9"/>
    <n v="881"/>
    <x v="1"/>
    <n v="143"/>
    <x v="1"/>
    <n v="-31.956108"/>
    <n v="141.456502"/>
  </r>
  <r>
    <s v="1371"/>
    <s v="Broken Hill North Public School"/>
    <s v="Broken Hill"/>
    <s v="Broken Hill"/>
    <s v="Far West and Orana"/>
    <x v="2"/>
    <x v="2"/>
    <s v="Rural South and West"/>
    <x v="0"/>
    <x v="0"/>
    <s v="Coed"/>
    <n v="206"/>
    <n v="33"/>
    <s v="Published"/>
    <n v="67.98"/>
    <n v="7"/>
    <n v="864"/>
    <x v="1"/>
    <n v="159"/>
    <x v="1"/>
    <n v="-31.944457"/>
    <n v="141.471518"/>
  </r>
  <r>
    <s v="1372"/>
    <s v="Bronte Public School"/>
    <s v="BRONTE"/>
    <s v="Waverley"/>
    <s v="Sydney - Eastern Suburbs"/>
    <x v="0"/>
    <x v="0"/>
    <s v="Metropolitan South"/>
    <x v="0"/>
    <x v="0"/>
    <s v="Coed"/>
    <n v="257"/>
    <m/>
    <s v="Suppressed"/>
    <s v=""/>
    <n v="18"/>
    <n v="1176"/>
    <x v="0"/>
    <n v="1"/>
    <x v="1"/>
    <n v="-33.900604999999999"/>
    <n v="151.262011"/>
  </r>
  <r>
    <s v="1377"/>
    <s v="Brooklyn Public School"/>
    <s v="Brooklyn"/>
    <s v="Hornsby"/>
    <s v="Sydney - North Sydney and Hornsby"/>
    <x v="1"/>
    <x v="1"/>
    <s v="Regional North"/>
    <x v="0"/>
    <x v="0"/>
    <s v="Coed"/>
    <n v="79"/>
    <m/>
    <s v="Suppressed"/>
    <s v=""/>
    <n v="21"/>
    <n v="1064"/>
    <x v="3"/>
    <n v="36"/>
    <x v="2"/>
    <n v="-33.548414000000001"/>
    <n v="151.214992"/>
  </r>
  <r>
    <s v="1379"/>
    <s v="Brookvale Public School"/>
    <s v="Brookvale"/>
    <s v="Northern Beaches"/>
    <s v="Sydney - Northern Beaches"/>
    <x v="0"/>
    <x v="0"/>
    <s v="Metropolitan North"/>
    <x v="0"/>
    <x v="0"/>
    <s v="Coed"/>
    <n v="306"/>
    <m/>
    <s v="Suppressed"/>
    <s v=""/>
    <n v="43"/>
    <n v="1075"/>
    <x v="3"/>
    <n v="43"/>
    <x v="0"/>
    <n v="-33.761678000000003"/>
    <n v="151.27078700000001"/>
  </r>
  <r>
    <s v="1387"/>
    <s v="Brungle Public School"/>
    <s v="Brungle"/>
    <s v="Snowy Valleys"/>
    <s v="Riverina"/>
    <x v="1"/>
    <x v="1"/>
    <s v="Rural South and West"/>
    <x v="0"/>
    <x v="0"/>
    <s v="Coed"/>
    <n v="16"/>
    <n v="81"/>
    <s v="Published"/>
    <n v="12.96"/>
    <n v="0"/>
    <n v="646"/>
    <x v="1"/>
    <n v="223"/>
    <x v="2"/>
    <n v="-35.156754999999997"/>
    <n v="148.23357200000001"/>
  </r>
  <r>
    <s v="1389"/>
    <s v="Brunswick Heads Public School"/>
    <s v="Brunswick Heads"/>
    <s v="Byron"/>
    <s v="Richmond - Tweed"/>
    <x v="1"/>
    <x v="1"/>
    <s v="Rural North"/>
    <x v="0"/>
    <x v="0"/>
    <s v="Coed"/>
    <n v="222"/>
    <n v="10"/>
    <s v="Published"/>
    <n v="22.200000000000003"/>
    <n v="13"/>
    <n v="1025"/>
    <x v="3"/>
    <n v="59"/>
    <x v="1"/>
    <n v="-28.541343000000001"/>
    <n v="153.550848"/>
  </r>
  <r>
    <s v="1402"/>
    <s v="Bulahdelah Central School"/>
    <s v="Bulahdelah"/>
    <s v="Mid-Coast"/>
    <s v="Mid North Coast"/>
    <x v="1"/>
    <x v="1"/>
    <s v="Regional North and West"/>
    <x v="1"/>
    <x v="0"/>
    <s v="Coed"/>
    <n v="288.8"/>
    <n v="24"/>
    <s v="Published"/>
    <n v="69.311999999999998"/>
    <n v="4"/>
    <n v="902"/>
    <x v="2"/>
    <n v="145"/>
    <x v="1"/>
    <n v="-32.413373999999997"/>
    <n v="152.211848"/>
  </r>
  <r>
    <s v="1411"/>
    <s v="Bulli Public School"/>
    <s v="Bulli"/>
    <s v="Wollongong"/>
    <s v="Illawarra"/>
    <x v="0"/>
    <x v="0"/>
    <s v="Regional South and Connected Communities"/>
    <x v="0"/>
    <x v="0"/>
    <s v="Coed"/>
    <n v="318"/>
    <n v="7"/>
    <s v="Published"/>
    <n v="22.26"/>
    <n v="8"/>
    <n v="1069"/>
    <x v="3"/>
    <n v="52"/>
    <x v="0"/>
    <n v="-34.326951000000001"/>
    <n v="150.91270299999999"/>
  </r>
  <r>
    <s v="1414"/>
    <s v="Bundanoon Public School"/>
    <s v="Bundanoon"/>
    <s v="Wingecarribee"/>
    <s v="Southern Highlands and Shoalhaven"/>
    <x v="1"/>
    <x v="1"/>
    <s v="Regional South and Connected Communities"/>
    <x v="0"/>
    <x v="0"/>
    <s v="Coed"/>
    <n v="125"/>
    <n v="6"/>
    <s v="Published"/>
    <n v="7.5"/>
    <n v="11"/>
    <n v="1036"/>
    <x v="3"/>
    <n v="55"/>
    <x v="1"/>
    <n v="-34.657877999999997"/>
    <n v="150.300442"/>
  </r>
  <r>
    <s v="1415"/>
    <s v="Bundarra Central School"/>
    <s v="BUNDARRA"/>
    <s v="Uralla"/>
    <s v="New England and North West"/>
    <x v="2"/>
    <x v="2"/>
    <s v="Rural North"/>
    <x v="1"/>
    <x v="0"/>
    <s v="Coed"/>
    <n v="99"/>
    <n v="23"/>
    <s v="Published"/>
    <n v="22.77"/>
    <m/>
    <n v="874"/>
    <x v="1"/>
    <n v="144"/>
    <x v="2"/>
    <n v="-30.168353"/>
    <n v="151.07762500000001"/>
  </r>
  <r>
    <s v="1421"/>
    <s v="Bungendore Public School"/>
    <s v="Bungendore"/>
    <s v="Queanbeyan-Palerang"/>
    <s v="Capital Region"/>
    <x v="1"/>
    <x v="1"/>
    <s v="Rural South and West"/>
    <x v="0"/>
    <x v="0"/>
    <s v="Coed"/>
    <n v="444"/>
    <n v="5"/>
    <s v="Published"/>
    <n v="22.200000000000003"/>
    <n v="4"/>
    <n v="1047"/>
    <x v="3"/>
    <n v="70"/>
    <x v="0"/>
    <n v="-35.255619000000003"/>
    <n v="149.44462799999999"/>
  </r>
  <r>
    <s v="1424"/>
    <s v="Bungwahl Public School"/>
    <s v="BUNGWAHL"/>
    <s v="Mid-Coast"/>
    <s v="Mid North Coast"/>
    <x v="1"/>
    <x v="1"/>
    <s v="Regional North and West"/>
    <x v="0"/>
    <x v="0"/>
    <s v="Coed"/>
    <n v="36"/>
    <m/>
    <s v="Suppressed"/>
    <s v=""/>
    <m/>
    <n v="1037"/>
    <x v="3"/>
    <n v="81"/>
    <x v="2"/>
    <n v="-32.389144000000002"/>
    <n v="152.44855799999999"/>
  </r>
  <r>
    <s v="1425"/>
    <s v="Bunnaloo Public School"/>
    <s v="Bunnaloo"/>
    <s v="Murray River"/>
    <s v="Murray"/>
    <x v="2"/>
    <x v="2"/>
    <s v="Rural South and West"/>
    <x v="0"/>
    <x v="0"/>
    <s v="Coed"/>
    <n v="31"/>
    <m/>
    <s v="Suppressed"/>
    <s v=""/>
    <m/>
    <n v="990"/>
    <x v="2"/>
    <n v="94"/>
    <x v="2"/>
    <n v="-35.786399000000003"/>
    <n v="144.59792300000001"/>
  </r>
  <r>
    <s v="1432"/>
    <s v="Burke Ward Public School"/>
    <s v="Broken Hill"/>
    <s v="Broken Hill"/>
    <s v="Far West and Orana"/>
    <x v="2"/>
    <x v="2"/>
    <s v="Rural South and West"/>
    <x v="0"/>
    <x v="0"/>
    <s v="Coed"/>
    <n v="200"/>
    <n v="37"/>
    <s v="Published"/>
    <n v="74"/>
    <n v="5"/>
    <n v="858"/>
    <x v="1"/>
    <n v="164"/>
    <x v="1"/>
    <n v="-31.960360999999999"/>
    <n v="141.44105400000001"/>
  </r>
  <r>
    <s v="1433"/>
    <s v="Burnside Public School"/>
    <s v="North Parramatta"/>
    <s v="Parramatta"/>
    <s v="Sydney - Parramatta"/>
    <x v="0"/>
    <x v="0"/>
    <s v="Metropolitan North"/>
    <x v="0"/>
    <x v="0"/>
    <s v="Coed"/>
    <n v="218"/>
    <m/>
    <s v="Suppressed"/>
    <s v=""/>
    <n v="57"/>
    <n v="1124"/>
    <x v="0"/>
    <n v="32"/>
    <x v="1"/>
    <n v="-33.792580000000001"/>
    <n v="151.018316"/>
  </r>
  <r>
    <s v="1445"/>
    <s v="Burrawang Public School"/>
    <s v="Burrawang"/>
    <s v="Wingecarribee"/>
    <s v="Southern Highlands and Shoalhaven"/>
    <x v="1"/>
    <x v="1"/>
    <s v="Regional South and Connected Communities"/>
    <x v="0"/>
    <x v="0"/>
    <s v="Coed"/>
    <n v="30"/>
    <n v="0"/>
    <s v="Published"/>
    <n v="0"/>
    <m/>
    <n v="1076"/>
    <x v="3"/>
    <n v="44"/>
    <x v="2"/>
    <n v="-34.592222"/>
    <n v="150.51724999999999"/>
  </r>
  <r>
    <s v="1447"/>
    <s v="Burren Junction Public School"/>
    <s v="Burren Junction"/>
    <s v="Walgett"/>
    <s v="Far West and Orana"/>
    <x v="3"/>
    <x v="3"/>
    <s v="Rural North"/>
    <x v="0"/>
    <x v="0"/>
    <s v="Coed"/>
    <n v="36"/>
    <m/>
    <s v="Suppressed"/>
    <s v=""/>
    <m/>
    <n v="969"/>
    <x v="2"/>
    <n v="107"/>
    <x v="2"/>
    <n v="-30.102685999999999"/>
    <n v="148.96470299999999"/>
  </r>
  <r>
    <s v="1449"/>
    <s v="Burringbar Public School"/>
    <s v="Burringbar"/>
    <s v="Tweed"/>
    <s v="Richmond - Tweed"/>
    <x v="1"/>
    <x v="1"/>
    <s v="Rural North"/>
    <x v="0"/>
    <x v="0"/>
    <s v="Coed"/>
    <n v="93"/>
    <n v="11"/>
    <s v="Published"/>
    <n v="10.23"/>
    <n v="24"/>
    <n v="992"/>
    <x v="2"/>
    <n v="95"/>
    <x v="2"/>
    <n v="-28.436644999999999"/>
    <n v="153.46673799999999"/>
  </r>
  <r>
    <s v="1453"/>
    <s v="Burrumbuttock Public School"/>
    <s v="Burrumbuttock"/>
    <s v="Greater Hume"/>
    <s v="Murray"/>
    <x v="1"/>
    <x v="1"/>
    <s v="Rural South and West"/>
    <x v="0"/>
    <x v="0"/>
    <s v="Coed"/>
    <n v="33"/>
    <m/>
    <s v="Suppressed"/>
    <s v=""/>
    <m/>
    <n v="964"/>
    <x v="2"/>
    <n v="99"/>
    <x v="2"/>
    <n v="-35.837488999999998"/>
    <n v="146.800049"/>
  </r>
  <r>
    <s v="1455"/>
    <s v="Burwood Public School"/>
    <s v="BURWOOD"/>
    <s v="Burwood"/>
    <s v="Sydney - Inner West"/>
    <x v="0"/>
    <x v="0"/>
    <s v="Metropolitan South"/>
    <x v="0"/>
    <x v="0"/>
    <s v="Coed"/>
    <n v="476"/>
    <m/>
    <s v="Suppressed"/>
    <s v=""/>
    <n v="96"/>
    <n v="1092"/>
    <x v="3"/>
    <n v="41"/>
    <x v="0"/>
    <n v="-33.876800000000003"/>
    <n v="151.09898699999999"/>
  </r>
  <r>
    <s v="1460"/>
    <s v="Buxton Public School"/>
    <s v="Buxton"/>
    <s v="Wollondilly"/>
    <s v="Sydney - Outer South West"/>
    <x v="1"/>
    <x v="1"/>
    <s v="Regional South and Connected Communities"/>
    <x v="0"/>
    <x v="0"/>
    <s v="Coed"/>
    <n v="163"/>
    <n v="13"/>
    <s v="Published"/>
    <n v="21.19"/>
    <n v="4"/>
    <n v="949"/>
    <x v="2"/>
    <n v="120"/>
    <x v="1"/>
    <n v="-34.246971000000002"/>
    <n v="150.544826"/>
  </r>
  <r>
    <s v="1470"/>
    <s v="Byron Bay Public School"/>
    <s v="Byron Bay"/>
    <s v="Byron"/>
    <s v="Richmond - Tweed"/>
    <x v="1"/>
    <x v="1"/>
    <s v="Rural North"/>
    <x v="0"/>
    <x v="0"/>
    <s v="Coed"/>
    <n v="461"/>
    <n v="6"/>
    <s v="Published"/>
    <n v="27.66"/>
    <n v="22"/>
    <n v="1067"/>
    <x v="3"/>
    <n v="43"/>
    <x v="0"/>
    <n v="-28.647416"/>
    <n v="153.61482599999999"/>
  </r>
  <r>
    <s v="1471"/>
    <s v="Cabbage Tree Island Public School"/>
    <s v="Wardell"/>
    <s v="Ballina"/>
    <s v="Richmond - Tweed"/>
    <x v="1"/>
    <x v="1"/>
    <s v="Rural North"/>
    <x v="0"/>
    <x v="0"/>
    <s v="Coed"/>
    <n v="21"/>
    <n v="100"/>
    <s v="Published"/>
    <n v="21"/>
    <m/>
    <n v="694"/>
    <x v="1"/>
    <n v="193"/>
    <x v="2"/>
    <n v="-28.947741000000001"/>
    <n v="153.45849899999999"/>
  </r>
  <r>
    <s v="1472"/>
    <s v="Cabramatta Public School"/>
    <s v="Cabramatta"/>
    <s v="Fairfield"/>
    <s v="Sydney - South West"/>
    <x v="0"/>
    <x v="0"/>
    <s v="Metropolitan South and West"/>
    <x v="0"/>
    <x v="0"/>
    <s v="Coed"/>
    <n v="435"/>
    <m/>
    <s v="Suppressed"/>
    <s v=""/>
    <n v="94"/>
    <n v="950"/>
    <x v="2"/>
    <n v="152"/>
    <x v="0"/>
    <n v="-33.895823"/>
    <n v="150.94262900000001"/>
  </r>
  <r>
    <s v="1481"/>
    <s v="Cambewarra Public School"/>
    <s v="CAMBEWARRA"/>
    <s v="Shoalhaven"/>
    <s v="Southern Highlands and Shoalhaven"/>
    <x v="1"/>
    <x v="1"/>
    <s v="Regional South and Connected Communities"/>
    <x v="0"/>
    <x v="0"/>
    <s v="Coed"/>
    <n v="216"/>
    <n v="11"/>
    <s v="Published"/>
    <n v="23.76"/>
    <n v="5"/>
    <n v="1029"/>
    <x v="3"/>
    <n v="73"/>
    <x v="1"/>
    <n v="-34.821536999999999"/>
    <n v="150.55604299999999"/>
  </r>
  <r>
    <s v="1482"/>
    <s v="Camden Public School"/>
    <s v="CAMDEN"/>
    <s v="Camden"/>
    <s v="Sydney - Outer South West"/>
    <x v="0"/>
    <x v="0"/>
    <s v="Regional South and Connected Communities"/>
    <x v="0"/>
    <x v="0"/>
    <s v="Coed"/>
    <n v="313"/>
    <n v="6"/>
    <s v="Published"/>
    <n v="18.779999999999998"/>
    <n v="13"/>
    <n v="1041"/>
    <x v="3"/>
    <n v="82"/>
    <x v="0"/>
    <n v="-34.051997999999998"/>
    <n v="150.69323600000001"/>
  </r>
  <r>
    <s v="1483"/>
    <s v="Camdenville Public School"/>
    <s v="Newtown"/>
    <s v="Inner West"/>
    <s v="Sydney - City and Inner South"/>
    <x v="0"/>
    <x v="0"/>
    <s v="Metropolitan South"/>
    <x v="0"/>
    <x v="0"/>
    <s v="Coed"/>
    <n v="310"/>
    <n v="5"/>
    <s v="Published"/>
    <n v="15.5"/>
    <n v="26"/>
    <n v="1132"/>
    <x v="0"/>
    <n v="24"/>
    <x v="0"/>
    <n v="-33.906146"/>
    <n v="151.17574099999999"/>
  </r>
  <r>
    <s v="1485"/>
    <s v="Cammeray Public School"/>
    <s v="Cammeray"/>
    <s v="North Sydney"/>
    <s v="Sydney - North Sydney and Hornsby"/>
    <x v="0"/>
    <x v="0"/>
    <s v="Metropolitan North"/>
    <x v="0"/>
    <x v="0"/>
    <s v="Coed"/>
    <n v="622"/>
    <m/>
    <s v="Suppressed"/>
    <s v=""/>
    <n v="35"/>
    <n v="1168"/>
    <x v="0"/>
    <n v="0"/>
    <x v="3"/>
    <n v="-33.820422000000001"/>
    <n v="151.21154200000001"/>
  </r>
  <r>
    <s v="1486"/>
    <s v="Campbelltown Public School"/>
    <s v="Campbelltown"/>
    <s v="Campbelltown (NSW)"/>
    <s v="Sydney - Outer South West"/>
    <x v="0"/>
    <x v="0"/>
    <s v="Regional South and Connected Communities"/>
    <x v="0"/>
    <x v="0"/>
    <s v="Coed"/>
    <n v="284"/>
    <n v="11"/>
    <s v="Published"/>
    <n v="31.24"/>
    <n v="56"/>
    <n v="946"/>
    <x v="2"/>
    <n v="123"/>
    <x v="1"/>
    <n v="-34.070109000000002"/>
    <n v="150.81563399999999"/>
  </r>
  <r>
    <s v="1488"/>
    <s v="Campsie Public School"/>
    <s v="Campsie"/>
    <s v="Canterbury-Bankstown"/>
    <s v="Sydney - Inner South West"/>
    <x v="0"/>
    <x v="0"/>
    <s v="Metropolitan South"/>
    <x v="0"/>
    <x v="0"/>
    <s v="Coed"/>
    <n v="515"/>
    <m/>
    <s v="Suppressed"/>
    <s v=""/>
    <n v="97"/>
    <n v="1016"/>
    <x v="3"/>
    <n v="96"/>
    <x v="0"/>
    <n v="-33.911862999999997"/>
    <n v="151.10484600000001"/>
  </r>
  <r>
    <s v="1490"/>
    <s v="Candelo Public School"/>
    <s v="Candelo"/>
    <s v="Bega Valley"/>
    <s v="Capital Region"/>
    <x v="2"/>
    <x v="2"/>
    <s v="Regional South and Connected Communities"/>
    <x v="0"/>
    <x v="0"/>
    <s v="Coed"/>
    <n v="84"/>
    <m/>
    <s v="Suppressed"/>
    <s v=""/>
    <m/>
    <n v="982"/>
    <x v="2"/>
    <n v="104"/>
    <x v="2"/>
    <n v="-36.768391999999999"/>
    <n v="149.695674"/>
  </r>
  <r>
    <s v="1492"/>
    <s v="Caniaba Public School"/>
    <s v="Lismore"/>
    <s v="Lismore"/>
    <s v="Richmond - Tweed"/>
    <x v="1"/>
    <x v="1"/>
    <s v="Rural North"/>
    <x v="0"/>
    <x v="0"/>
    <s v="Coed"/>
    <n v="29"/>
    <n v="21"/>
    <s v="Published"/>
    <n v="6.09"/>
    <m/>
    <n v="955"/>
    <x v="2"/>
    <n v="118"/>
    <x v="2"/>
    <n v="-28.830798999999999"/>
    <n v="153.23131699999999"/>
  </r>
  <r>
    <s v="1494"/>
    <s v="Canley Vale Public School"/>
    <s v="Canley Vale"/>
    <s v="Fairfield"/>
    <s v="Sydney - South West"/>
    <x v="0"/>
    <x v="0"/>
    <s v="Metropolitan South and West"/>
    <x v="0"/>
    <x v="0"/>
    <s v="Coed"/>
    <n v="752"/>
    <m/>
    <s v="Suppressed"/>
    <s v=""/>
    <n v="98"/>
    <n v="973"/>
    <x v="2"/>
    <n v="131"/>
    <x v="3"/>
    <n v="-33.886760000000002"/>
    <n v="150.93763200000001"/>
  </r>
  <r>
    <s v="1495"/>
    <s v="Canobolas Public School"/>
    <s v="Orange"/>
    <s v="Orange"/>
    <s v="Central West"/>
    <x v="1"/>
    <x v="1"/>
    <s v="Rural South and West"/>
    <x v="0"/>
    <x v="0"/>
    <s v="Coed"/>
    <n v="136"/>
    <m/>
    <s v="Suppressed"/>
    <s v=""/>
    <n v="11"/>
    <n v="1098"/>
    <x v="3"/>
    <n v="38"/>
    <x v="1"/>
    <n v="-33.305942000000002"/>
    <n v="149.04621"/>
  </r>
  <r>
    <s v="1497"/>
    <s v="Canterbury Public School"/>
    <s v="Canterbury"/>
    <s v="Canterbury-Bankstown"/>
    <s v="Sydney - Inner West"/>
    <x v="0"/>
    <x v="0"/>
    <s v="Metropolitan South"/>
    <x v="0"/>
    <x v="0"/>
    <s v="Coed"/>
    <n v="346"/>
    <n v="3"/>
    <s v="Published"/>
    <n v="10.379999999999999"/>
    <n v="51"/>
    <n v="1082"/>
    <x v="3"/>
    <n v="34"/>
    <x v="0"/>
    <n v="-33.908760999999998"/>
    <n v="151.12230600000001"/>
  </r>
  <r>
    <s v="1498"/>
    <s v="Brisbania Public School"/>
    <s v="Saratoga"/>
    <s v="Central Coast (NSW)"/>
    <s v="Central Coast"/>
    <x v="0"/>
    <x v="0"/>
    <s v="Regional North"/>
    <x v="0"/>
    <x v="0"/>
    <s v="Coed"/>
    <n v="358"/>
    <n v="11"/>
    <s v="Published"/>
    <n v="39.380000000000003"/>
    <n v="5"/>
    <n v="1014"/>
    <x v="3"/>
    <n v="79"/>
    <x v="0"/>
    <n v="-33.478822000000001"/>
    <n v="151.357294"/>
  </r>
  <r>
    <s v="1499"/>
    <s v="Uranquinty Public School"/>
    <s v="URANQUINTY"/>
    <s v="Wagga Wagga"/>
    <s v="Riverina"/>
    <x v="1"/>
    <x v="1"/>
    <s v="Rural South and West"/>
    <x v="0"/>
    <x v="0"/>
    <s v="Coed"/>
    <n v="27"/>
    <m/>
    <s v="Suppressed"/>
    <s v=""/>
    <n v="25"/>
    <n v="940"/>
    <x v="2"/>
    <n v="99"/>
    <x v="2"/>
    <n v="-35.188792999999997"/>
    <n v="147.24948599999999"/>
  </r>
  <r>
    <s v="1502"/>
    <s v="Captains Flat Public School"/>
    <s v="CAPTAINS FLAT"/>
    <s v="Queanbeyan-Palerang"/>
    <s v="Capital Region"/>
    <x v="1"/>
    <x v="1"/>
    <s v="Rural South and West"/>
    <x v="0"/>
    <x v="0"/>
    <s v="Coed"/>
    <n v="26"/>
    <n v="23"/>
    <s v="Published"/>
    <n v="5.98"/>
    <m/>
    <n v="903"/>
    <x v="2"/>
    <n v="122"/>
    <x v="2"/>
    <n v="-35.587192000000002"/>
    <n v="149.45014699999999"/>
  </r>
  <r>
    <s v="1503"/>
    <s v="Caragabal Public School"/>
    <s v="Caragabal"/>
    <s v="Weddin"/>
    <s v="Central West"/>
    <x v="2"/>
    <x v="2"/>
    <s v="Rural South and West"/>
    <x v="0"/>
    <x v="0"/>
    <s v="Coed"/>
    <n v="15"/>
    <m/>
    <s v="Suppressed"/>
    <s v=""/>
    <n v="0"/>
    <n v="986"/>
    <x v="2"/>
    <n v="67"/>
    <x v="2"/>
    <n v="-33.845320000000001"/>
    <n v="147.744452"/>
  </r>
  <r>
    <s v="1504"/>
    <s v="Carcoar Public School"/>
    <s v="Carcoar"/>
    <s v="Blayney"/>
    <s v="Central West"/>
    <x v="1"/>
    <x v="1"/>
    <s v="Regional North and West"/>
    <x v="0"/>
    <x v="0"/>
    <s v="Coed"/>
    <n v="31"/>
    <n v="26"/>
    <s v="Published"/>
    <n v="8.06"/>
    <m/>
    <n v="941"/>
    <x v="2"/>
    <n v="122"/>
    <x v="2"/>
    <n v="-33.612326000000003"/>
    <n v="149.14243200000001"/>
  </r>
  <r>
    <s v="1505"/>
    <s v="Cardiff Public School"/>
    <s v="Cardiff"/>
    <s v="Lake Macquarie"/>
    <s v="Newcastle and Lake Macquarie"/>
    <x v="0"/>
    <x v="0"/>
    <s v="Regional North"/>
    <x v="0"/>
    <x v="0"/>
    <s v="Coed"/>
    <n v="283"/>
    <n v="12"/>
    <s v="Published"/>
    <n v="33.96"/>
    <n v="7"/>
    <n v="1000"/>
    <x v="3"/>
    <n v="94"/>
    <x v="1"/>
    <n v="-32.945779000000002"/>
    <n v="151.65775400000001"/>
  </r>
  <r>
    <s v="1506"/>
    <s v="Cargo Public School"/>
    <s v="Cargo"/>
    <s v="Cabonne"/>
    <s v="Central West"/>
    <x v="2"/>
    <x v="2"/>
    <s v="Rural South and West"/>
    <x v="0"/>
    <x v="0"/>
    <s v="Coed"/>
    <n v="12"/>
    <n v="67"/>
    <s v="Published"/>
    <n v="8.0400000000000009"/>
    <n v="0"/>
    <n v="764"/>
    <x v="1"/>
    <n v="181"/>
    <x v="2"/>
    <n v="-33.427612000000003"/>
    <n v="148.80769699999999"/>
  </r>
  <r>
    <s v="1507"/>
    <s v="Carinda Public School"/>
    <s v="Carinda"/>
    <s v="Walgett"/>
    <s v="Far West and Orana"/>
    <x v="3"/>
    <x v="3"/>
    <s v="Rural North"/>
    <x v="0"/>
    <x v="0"/>
    <s v="Coed"/>
    <n v="18"/>
    <m/>
    <s v="Suppressed"/>
    <s v=""/>
    <n v="0"/>
    <n v="1017"/>
    <x v="3"/>
    <n v="95"/>
    <x v="2"/>
    <n v="-30.461881999999999"/>
    <n v="147.687555"/>
  </r>
  <r>
    <s v="1508"/>
    <s v="Caringbah Public School"/>
    <s v="Caringbah"/>
    <s v="Sutherland"/>
    <s v="Sydney - Sutherland"/>
    <x v="0"/>
    <x v="0"/>
    <s v="Metropolitan South and West"/>
    <x v="0"/>
    <x v="0"/>
    <s v="Coed"/>
    <n v="394"/>
    <n v="5"/>
    <s v="Published"/>
    <n v="19.700000000000003"/>
    <n v="14"/>
    <n v="1088"/>
    <x v="3"/>
    <n v="47"/>
    <x v="0"/>
    <n v="-34.053432999999998"/>
    <n v="151.12298799999999"/>
  </r>
  <r>
    <s v="1512"/>
    <s v="Carlton Public School"/>
    <s v="Bexley"/>
    <s v="Bayside (NSW)"/>
    <s v="Sydney - Inner South West"/>
    <x v="0"/>
    <x v="0"/>
    <s v="Metropolitan South"/>
    <x v="0"/>
    <x v="0"/>
    <s v="Coed"/>
    <n v="599"/>
    <m/>
    <s v="Suppressed"/>
    <s v=""/>
    <n v="89"/>
    <n v="1041"/>
    <x v="3"/>
    <n v="67"/>
    <x v="0"/>
    <n v="-33.963495999999999"/>
    <n v="151.12245999999999"/>
  </r>
  <r>
    <s v="1513"/>
    <s v="Carlton South Public School"/>
    <s v="CARLTON"/>
    <s v="Georges River"/>
    <s v="Sydney - Inner South West"/>
    <x v="0"/>
    <x v="0"/>
    <s v="Metropolitan South"/>
    <x v="0"/>
    <x v="0"/>
    <s v="Coed"/>
    <n v="514"/>
    <m/>
    <s v="Suppressed"/>
    <s v=""/>
    <n v="78"/>
    <n v="1064"/>
    <x v="3"/>
    <n v="53"/>
    <x v="0"/>
    <n v="-33.973044999999999"/>
    <n v="151.128287"/>
  </r>
  <r>
    <s v="1518"/>
    <s v="Carrington Public School"/>
    <s v="Carrington"/>
    <s v="Newcastle"/>
    <s v="Newcastle and Lake Macquarie"/>
    <x v="0"/>
    <x v="0"/>
    <s v="Regional North"/>
    <x v="0"/>
    <x v="0"/>
    <s v="Coed"/>
    <n v="110"/>
    <n v="22"/>
    <s v="Published"/>
    <n v="24.2"/>
    <n v="6"/>
    <n v="996"/>
    <x v="2"/>
    <n v="64"/>
    <x v="1"/>
    <n v="-32.912446000000003"/>
    <n v="151.76532800000001"/>
  </r>
  <r>
    <s v="1520"/>
    <s v="Carroll Public School"/>
    <s v="Carroll"/>
    <s v="Gunnedah"/>
    <s v="New England and North West"/>
    <x v="2"/>
    <x v="2"/>
    <s v="Rural North"/>
    <x v="0"/>
    <x v="0"/>
    <s v="Coed"/>
    <n v="46"/>
    <n v="20"/>
    <s v="Published"/>
    <n v="9.2000000000000011"/>
    <m/>
    <n v="987"/>
    <x v="2"/>
    <n v="79"/>
    <x v="2"/>
    <n v="-30.986073999999999"/>
    <n v="150.44709599999999"/>
  </r>
  <r>
    <s v="1526"/>
    <s v="Casino Public School"/>
    <s v="Casino"/>
    <s v="Richmond Valley"/>
    <s v="Richmond - Tweed"/>
    <x v="1"/>
    <x v="1"/>
    <s v="Rural North"/>
    <x v="0"/>
    <x v="0"/>
    <s v="Coed"/>
    <n v="428"/>
    <n v="37"/>
    <s v="Published"/>
    <n v="158.35999999999999"/>
    <n v="4"/>
    <n v="860"/>
    <x v="1"/>
    <n v="158"/>
    <x v="0"/>
    <n v="-28.867384000000001"/>
    <n v="153.04805300000001"/>
  </r>
  <r>
    <s v="1527"/>
    <s v="Cassilis Public School"/>
    <s v="Cassilis"/>
    <s v="Upper Hunter"/>
    <s v="Hunter Valley exc Newcastle"/>
    <x v="2"/>
    <x v="2"/>
    <s v="Regional North and West"/>
    <x v="0"/>
    <x v="0"/>
    <s v="Coed"/>
    <n v="11"/>
    <m/>
    <s v="Suppressed"/>
    <s v=""/>
    <n v="0"/>
    <n v="959"/>
    <x v="2"/>
    <n v="54"/>
    <x v="2"/>
    <n v="-32.004551999999997"/>
    <n v="149.97807499999999"/>
  </r>
  <r>
    <s v="1529"/>
    <s v="Castle Hill Public School"/>
    <s v="Castle Hill"/>
    <s v="The Hills"/>
    <s v="Sydney - Baulkham Hills and Hawkesbury"/>
    <x v="0"/>
    <x v="0"/>
    <s v="Metropolitan North"/>
    <x v="0"/>
    <x v="0"/>
    <s v="Coed"/>
    <n v="970"/>
    <m/>
    <s v="Suppressed"/>
    <s v=""/>
    <n v="83"/>
    <n v="1128"/>
    <x v="0"/>
    <n v="14"/>
    <x v="3"/>
    <n v="-33.727887000000003"/>
    <n v="151.00466299999999"/>
  </r>
  <r>
    <s v="1535"/>
    <s v="Cattai Public School"/>
    <s v="Cattai"/>
    <s v="Hawkesbury"/>
    <s v="Sydney - Baulkham Hills and Hawkesbury"/>
    <x v="1"/>
    <x v="1"/>
    <s v="Regional North"/>
    <x v="0"/>
    <x v="0"/>
    <s v="Coed"/>
    <n v="57"/>
    <m/>
    <s v="Suppressed"/>
    <s v=""/>
    <n v="16"/>
    <n v="990"/>
    <x v="2"/>
    <n v="92"/>
    <x v="2"/>
    <n v="-33.558762000000002"/>
    <n v="150.906904"/>
  </r>
  <r>
    <s v="1537"/>
    <s v="Cawdor Public School"/>
    <s v="CAWDOR"/>
    <s v="Wollondilly"/>
    <s v="Sydney - Outer South West"/>
    <x v="0"/>
    <x v="0"/>
    <s v="Regional South and Connected Communities"/>
    <x v="0"/>
    <x v="0"/>
    <s v="Coed"/>
    <n v="76"/>
    <n v="11"/>
    <s v="Published"/>
    <n v="8.36"/>
    <n v="10"/>
    <n v="982"/>
    <x v="2"/>
    <n v="101"/>
    <x v="2"/>
    <n v="-34.109710999999997"/>
    <n v="150.67372700000001"/>
  </r>
  <r>
    <s v="1542"/>
    <s v="Cessnock Public School"/>
    <s v="Cessnock"/>
    <s v="Cessnock"/>
    <s v="Hunter Valley exc Newcastle"/>
    <x v="0"/>
    <x v="0"/>
    <s v="Regional North"/>
    <x v="0"/>
    <x v="0"/>
    <s v="Coed"/>
    <n v="276"/>
    <n v="30"/>
    <s v="Published"/>
    <n v="82.8"/>
    <n v="7"/>
    <n v="876"/>
    <x v="1"/>
    <n v="150"/>
    <x v="1"/>
    <n v="-32.840404999999997"/>
    <n v="151.36380800000001"/>
  </r>
  <r>
    <s v="1543"/>
    <s v="Cessnock East Public School"/>
    <s v="Cessnock"/>
    <s v="Cessnock"/>
    <s v="Hunter Valley exc Newcastle"/>
    <x v="0"/>
    <x v="0"/>
    <s v="Regional North"/>
    <x v="0"/>
    <x v="0"/>
    <s v="Coed"/>
    <n v="215"/>
    <n v="43"/>
    <s v="Published"/>
    <n v="92.45"/>
    <m/>
    <n v="835"/>
    <x v="1"/>
    <n v="175"/>
    <x v="1"/>
    <n v="-32.827606000000003"/>
    <n v="151.36974599999999"/>
  </r>
  <r>
    <s v="1545"/>
    <s v="Cessnock West Public School"/>
    <s v="Cessnock"/>
    <s v="Cessnock"/>
    <s v="Hunter Valley exc Newcastle"/>
    <x v="0"/>
    <x v="0"/>
    <s v="Regional North"/>
    <x v="0"/>
    <x v="0"/>
    <s v="Coed"/>
    <n v="399"/>
    <n v="30"/>
    <s v="Published"/>
    <n v="119.69999999999999"/>
    <n v="9"/>
    <n v="884"/>
    <x v="1"/>
    <n v="152"/>
    <x v="0"/>
    <n v="-32.838386999999997"/>
    <n v="151.344863"/>
  </r>
  <r>
    <s v="1547"/>
    <s v="Chandler Public School"/>
    <s v="Wollomombi"/>
    <s v="Armidale"/>
    <s v="New England and North West"/>
    <x v="2"/>
    <x v="2"/>
    <s v="Rural North"/>
    <x v="0"/>
    <x v="0"/>
    <s v="Coed"/>
    <n v="4"/>
    <n v="0"/>
    <s v="Published"/>
    <n v="0"/>
    <m/>
    <m/>
    <x v="4"/>
    <n v="137"/>
    <x v="2"/>
    <n v="-30.518553000000001"/>
    <n v="152.053551"/>
  </r>
  <r>
    <s v="1548"/>
    <s v="The Channon Public School"/>
    <s v="The Channon"/>
    <s v="Lismore"/>
    <s v="Richmond - Tweed"/>
    <x v="1"/>
    <x v="1"/>
    <s v="Rural North"/>
    <x v="0"/>
    <x v="0"/>
    <s v="Coed"/>
    <n v="25"/>
    <m/>
    <s v="Suppressed"/>
    <s v=""/>
    <m/>
    <n v="1019"/>
    <x v="3"/>
    <n v="56"/>
    <x v="2"/>
    <n v="-28.675098999999999"/>
    <n v="153.28028800000001"/>
  </r>
  <r>
    <s v="1550"/>
    <s v="Charlestown Public School"/>
    <s v="Charlestown"/>
    <s v="Lake Macquarie"/>
    <s v="Newcastle and Lake Macquarie"/>
    <x v="0"/>
    <x v="0"/>
    <s v="Regional North"/>
    <x v="0"/>
    <x v="0"/>
    <s v="Coed"/>
    <n v="234"/>
    <n v="11"/>
    <s v="Published"/>
    <n v="25.74"/>
    <n v="21"/>
    <n v="1037"/>
    <x v="3"/>
    <n v="66"/>
    <x v="1"/>
    <n v="-32.965494"/>
    <n v="151.697486"/>
  </r>
  <r>
    <s v="1551"/>
    <s v="Pacific Palms Public School"/>
    <s v="BOOMERANG BEACH"/>
    <s v="Mid-Coast"/>
    <s v="Mid North Coast"/>
    <x v="1"/>
    <x v="1"/>
    <s v="Regional North and West"/>
    <x v="0"/>
    <x v="0"/>
    <s v="Coed"/>
    <n v="247"/>
    <n v="8"/>
    <s v="Published"/>
    <n v="19.760000000000002"/>
    <n v="11"/>
    <n v="1007"/>
    <x v="3"/>
    <n v="82"/>
    <x v="1"/>
    <n v="-32.341023"/>
    <n v="152.53930600000001"/>
  </r>
  <r>
    <s v="1553"/>
    <s v="Chatsworth Island Public School"/>
    <s v="CHATSWORTH"/>
    <s v="Clarence Valley"/>
    <s v="Coffs Harbour - Grafton"/>
    <x v="1"/>
    <x v="1"/>
    <s v="Rural North"/>
    <x v="0"/>
    <x v="0"/>
    <s v="Coed"/>
    <n v="83"/>
    <m/>
    <s v="Suppressed"/>
    <s v=""/>
    <n v="0"/>
    <n v="977"/>
    <x v="2"/>
    <n v="99"/>
    <x v="2"/>
    <n v="-29.387954000000001"/>
    <n v="153.23164499999999"/>
  </r>
  <r>
    <s v="1558"/>
    <s v="Chillingham Public School"/>
    <s v="Chillingham"/>
    <s v="Tweed"/>
    <s v="Richmond - Tweed"/>
    <x v="1"/>
    <x v="1"/>
    <s v="Rural North"/>
    <x v="0"/>
    <x v="0"/>
    <s v="Coed"/>
    <n v="35"/>
    <m/>
    <s v="Suppressed"/>
    <s v=""/>
    <n v="0"/>
    <n v="1005"/>
    <x v="3"/>
    <n v="89"/>
    <x v="2"/>
    <n v="-28.311937"/>
    <n v="153.27556899999999"/>
  </r>
  <r>
    <s v="1560"/>
    <s v="Chipping Norton Public School"/>
    <s v="Chipping Norton"/>
    <s v="Liverpool"/>
    <s v="Sydney - South West"/>
    <x v="0"/>
    <x v="0"/>
    <s v="Metropolitan South and West"/>
    <x v="0"/>
    <x v="0"/>
    <s v="Coed"/>
    <n v="333"/>
    <n v="6"/>
    <s v="Published"/>
    <n v="19.98"/>
    <n v="59"/>
    <n v="1018"/>
    <x v="3"/>
    <n v="93"/>
    <x v="0"/>
    <n v="-33.909108000000003"/>
    <n v="150.96084999999999"/>
  </r>
  <r>
    <s v="1564"/>
    <s v="Clarence Town Public School"/>
    <s v="CLARENCE TOWN"/>
    <s v="Dungog"/>
    <s v="Hunter Valley exc Newcastle"/>
    <x v="1"/>
    <x v="1"/>
    <s v="Regional North and West"/>
    <x v="0"/>
    <x v="0"/>
    <s v="Coed"/>
    <n v="158"/>
    <n v="10"/>
    <s v="Published"/>
    <n v="15.8"/>
    <m/>
    <n v="980"/>
    <x v="2"/>
    <n v="110"/>
    <x v="1"/>
    <n v="-32.588731000000003"/>
    <n v="151.777207"/>
  </r>
  <r>
    <s v="1566"/>
    <s v="Clemton Park Public School"/>
    <s v="Earlwood"/>
    <s v="Canterbury-Bankstown"/>
    <s v="Sydney - Inner South West"/>
    <x v="0"/>
    <x v="0"/>
    <s v="Metropolitan South"/>
    <x v="0"/>
    <x v="0"/>
    <s v="Coed"/>
    <n v="500"/>
    <n v="3"/>
    <s v="Published"/>
    <n v="15"/>
    <n v="84"/>
    <n v="1038"/>
    <x v="3"/>
    <n v="81"/>
    <x v="0"/>
    <n v="-33.929707999999998"/>
    <n v="151.10842299999999"/>
  </r>
  <r>
    <s v="1573"/>
    <s v="Clovelly Public School"/>
    <s v="Waverley"/>
    <s v="Waverley"/>
    <s v="Sydney - Eastern Suburbs"/>
    <x v="0"/>
    <x v="0"/>
    <s v="Metropolitan South"/>
    <x v="0"/>
    <x v="0"/>
    <s v="Coed"/>
    <n v="513"/>
    <m/>
    <s v="Suppressed"/>
    <s v=""/>
    <n v="18"/>
    <n v="1161"/>
    <x v="0"/>
    <n v="3"/>
    <x v="0"/>
    <n v="-33.907431000000003"/>
    <n v="151.26027999999999"/>
  </r>
  <r>
    <s v="1574"/>
    <s v="Clunes Public School"/>
    <s v="Clunes"/>
    <s v="Lismore"/>
    <s v="Richmond - Tweed"/>
    <x v="1"/>
    <x v="1"/>
    <s v="Rural North"/>
    <x v="0"/>
    <x v="0"/>
    <s v="Coed"/>
    <n v="86"/>
    <m/>
    <s v="Suppressed"/>
    <s v=""/>
    <n v="9"/>
    <n v="1056"/>
    <x v="3"/>
    <n v="44"/>
    <x v="2"/>
    <n v="-28.724778000000001"/>
    <n v="153.408852"/>
  </r>
  <r>
    <s v="1578"/>
    <s v="Cobar Public School"/>
    <s v="Cobar"/>
    <s v="Cobar"/>
    <s v="Far West and Orana"/>
    <x v="3"/>
    <x v="3"/>
    <s v="Rural South and West"/>
    <x v="0"/>
    <x v="0"/>
    <s v="Coed"/>
    <n v="228"/>
    <n v="46"/>
    <s v="Published"/>
    <n v="104.88000000000001"/>
    <n v="9"/>
    <n v="849"/>
    <x v="1"/>
    <n v="137"/>
    <x v="1"/>
    <n v="-31.502199000000001"/>
    <n v="145.83660900000001"/>
  </r>
  <r>
    <s v="1579"/>
    <s v="Cobargo Public School"/>
    <s v="Cobargo"/>
    <s v="Bega Valley"/>
    <s v="Capital Region"/>
    <x v="2"/>
    <x v="2"/>
    <s v="Regional South and Connected Communities"/>
    <x v="0"/>
    <x v="0"/>
    <s v="Coed"/>
    <n v="77"/>
    <n v="19"/>
    <s v="Published"/>
    <n v="14.63"/>
    <m/>
    <n v="941"/>
    <x v="2"/>
    <n v="108"/>
    <x v="2"/>
    <n v="-36.386941999999998"/>
    <n v="149.88281799999999"/>
  </r>
  <r>
    <s v="1580"/>
    <s v="Cobbitty Public School"/>
    <s v="COBBITTY"/>
    <s v="Camden"/>
    <s v="Sydney - South West"/>
    <x v="0"/>
    <x v="0"/>
    <s v="Regional South and Connected Communities"/>
    <x v="0"/>
    <x v="0"/>
    <s v="Coed"/>
    <n v="360"/>
    <n v="7"/>
    <s v="Published"/>
    <n v="25.200000000000003"/>
    <n v="29"/>
    <n v="1021"/>
    <x v="3"/>
    <n v="90"/>
    <x v="0"/>
    <n v="-34.015900000000002"/>
    <n v="150.68593799999999"/>
  </r>
  <r>
    <s v="1583"/>
    <s v="Coffee Camp Public School"/>
    <s v="Coffee Camp"/>
    <s v="Lismore"/>
    <s v="Richmond - Tweed"/>
    <x v="1"/>
    <x v="1"/>
    <s v="Rural North"/>
    <x v="0"/>
    <x v="0"/>
    <s v="Coed"/>
    <n v="25"/>
    <m/>
    <s v="Suppressed"/>
    <s v=""/>
    <m/>
    <n v="964"/>
    <x v="2"/>
    <n v="121"/>
    <x v="2"/>
    <n v="-28.662663999999999"/>
    <n v="153.22063800000001"/>
  </r>
  <r>
    <s v="1584"/>
    <s v="Coffs Harbour Public School"/>
    <s v="COFFS HARBOUR"/>
    <s v="Coffs Harbour"/>
    <s v="Coffs Harbour - Grafton"/>
    <x v="1"/>
    <x v="1"/>
    <s v="Regional North and West"/>
    <x v="0"/>
    <x v="0"/>
    <s v="Coed"/>
    <n v="474"/>
    <n v="11"/>
    <s v="Published"/>
    <n v="52.14"/>
    <n v="62"/>
    <n v="897"/>
    <x v="1"/>
    <n v="152"/>
    <x v="0"/>
    <n v="-30.301960000000001"/>
    <n v="153.120372"/>
  </r>
  <r>
    <s v="1587"/>
    <s v="Coledale Public School"/>
    <s v="Coledale"/>
    <s v="Wollongong"/>
    <s v="Illawarra"/>
    <x v="0"/>
    <x v="0"/>
    <s v="Regional South and Connected Communities"/>
    <x v="0"/>
    <x v="0"/>
    <s v="Coed"/>
    <n v="135"/>
    <m/>
    <s v="Suppressed"/>
    <s v=""/>
    <n v="9"/>
    <n v="1118"/>
    <x v="0"/>
    <n v="24"/>
    <x v="1"/>
    <n v="-34.289546000000001"/>
    <n v="150.94736599999999"/>
  </r>
  <r>
    <s v="1589"/>
    <s v="Collarenebri Central School"/>
    <s v="COLLARENEBRI"/>
    <s v="Walgett"/>
    <s v="Far West and Orana"/>
    <x v="3"/>
    <x v="3"/>
    <s v="Rural North"/>
    <x v="1"/>
    <x v="0"/>
    <s v="Coed"/>
    <n v="67.2"/>
    <n v="94"/>
    <s v="Published"/>
    <n v="63.167999999999999"/>
    <m/>
    <n v="625"/>
    <x v="1"/>
    <n v="231"/>
    <x v="2"/>
    <n v="-29.543823"/>
    <n v="148.57808600000001"/>
  </r>
  <r>
    <s v="1590"/>
    <s v="Collector Public School"/>
    <s v="Collector"/>
    <s v="Upper Lachlan"/>
    <s v="Capital Region"/>
    <x v="1"/>
    <x v="1"/>
    <s v="Rural South and West"/>
    <x v="0"/>
    <x v="0"/>
    <s v="Coed"/>
    <n v="25"/>
    <m/>
    <s v="Suppressed"/>
    <s v=""/>
    <m/>
    <n v="1038"/>
    <x v="3"/>
    <n v="72"/>
    <x v="2"/>
    <n v="-34.914220999999998"/>
    <n v="149.433144"/>
  </r>
  <r>
    <s v="1593"/>
    <s v="Collins Creek Public School"/>
    <s v="Collins Creek"/>
    <s v="Kyogle"/>
    <s v="Richmond - Tweed"/>
    <x v="1"/>
    <x v="1"/>
    <s v="Rural North"/>
    <x v="0"/>
    <x v="0"/>
    <s v="Coed"/>
    <n v="15"/>
    <m/>
    <s v="Suppressed"/>
    <s v=""/>
    <m/>
    <n v="996"/>
    <x v="2"/>
    <n v="65"/>
    <x v="2"/>
    <n v="-28.489297000000001"/>
    <n v="153.022547"/>
  </r>
  <r>
    <s v="1596"/>
    <s v="Colyton Public School"/>
    <s v="Mount Druitt"/>
    <s v="Blacktown"/>
    <s v="Sydney - Blacktown"/>
    <x v="0"/>
    <x v="0"/>
    <s v="Metropolitan South and West"/>
    <x v="0"/>
    <x v="0"/>
    <s v="Coed"/>
    <n v="714"/>
    <n v="7"/>
    <s v="Published"/>
    <n v="49.980000000000004"/>
    <n v="76"/>
    <n v="1007"/>
    <x v="3"/>
    <n v="94"/>
    <x v="3"/>
    <n v="-33.777199000000003"/>
    <n v="150.81316000000001"/>
  </r>
  <r>
    <s v="1601"/>
    <s v="Comboyne Public School"/>
    <s v="Comboyne"/>
    <s v="Port Macquarie-Hastings"/>
    <s v="Mid North Coast"/>
    <x v="2"/>
    <x v="2"/>
    <s v="Regional North and West"/>
    <x v="0"/>
    <x v="0"/>
    <s v="Coed"/>
    <n v="36"/>
    <n v="22"/>
    <s v="Published"/>
    <n v="7.92"/>
    <n v="21"/>
    <n v="926"/>
    <x v="2"/>
    <n v="113"/>
    <x v="2"/>
    <n v="-31.605308000000001"/>
    <n v="152.472736"/>
  </r>
  <r>
    <s v="1604"/>
    <s v="Comleroy Road Public School"/>
    <s v="Kurrajong"/>
    <s v="Hawkesbury"/>
    <s v="Sydney - Baulkham Hills and Hawkesbury"/>
    <x v="1"/>
    <x v="1"/>
    <s v="Regional North"/>
    <x v="0"/>
    <x v="0"/>
    <s v="Coed"/>
    <n v="144"/>
    <n v="7"/>
    <s v="Published"/>
    <n v="10.080000000000002"/>
    <n v="8"/>
    <n v="987"/>
    <x v="2"/>
    <n v="102"/>
    <x v="1"/>
    <n v="-33.506475000000002"/>
    <n v="150.69763"/>
  </r>
  <r>
    <s v="1605"/>
    <s v="Como Public School"/>
    <s v="Como"/>
    <s v="Sutherland"/>
    <s v="Sydney - Sutherland"/>
    <x v="0"/>
    <x v="0"/>
    <s v="Metropolitan South and West"/>
    <x v="0"/>
    <x v="0"/>
    <s v="Coed"/>
    <n v="103"/>
    <n v="8"/>
    <s v="Published"/>
    <n v="8.24"/>
    <n v="13"/>
    <n v="1071"/>
    <x v="3"/>
    <n v="51"/>
    <x v="1"/>
    <n v="-34.001832"/>
    <n v="151.06912700000001"/>
  </r>
  <r>
    <s v="1606"/>
    <s v="Conargo Public School"/>
    <s v="Conargo"/>
    <s v="Edward River"/>
    <s v="Murray"/>
    <x v="2"/>
    <x v="2"/>
    <s v="Rural South and West"/>
    <x v="0"/>
    <x v="0"/>
    <s v="Coed"/>
    <n v="12"/>
    <m/>
    <s v="Suppressed"/>
    <s v=""/>
    <n v="0"/>
    <n v="874"/>
    <x v="1"/>
    <n v="124"/>
    <x v="2"/>
    <n v="-35.305269000000003"/>
    <n v="145.17885999999999"/>
  </r>
  <r>
    <s v="1607"/>
    <s v="Concord Public School"/>
    <s v="Concord"/>
    <s v="Canada Bay"/>
    <s v="Sydney - Inner West"/>
    <x v="0"/>
    <x v="0"/>
    <s v="Metropolitan South"/>
    <x v="0"/>
    <x v="0"/>
    <s v="Coed"/>
    <n v="276"/>
    <n v="5"/>
    <s v="Published"/>
    <n v="13.8"/>
    <n v="65"/>
    <n v="1071"/>
    <x v="3"/>
    <n v="54"/>
    <x v="1"/>
    <n v="-33.863224000000002"/>
    <n v="151.106944"/>
  </r>
  <r>
    <s v="1608"/>
    <s v="Concord West Public School"/>
    <s v="Concord West"/>
    <s v="Canada Bay"/>
    <s v="Sydney - Inner West"/>
    <x v="0"/>
    <x v="0"/>
    <s v="Metropolitan South"/>
    <x v="0"/>
    <x v="0"/>
    <s v="Coed"/>
    <n v="414"/>
    <m/>
    <s v="Suppressed"/>
    <s v=""/>
    <n v="90"/>
    <n v="1093"/>
    <x v="3"/>
    <n v="22"/>
    <x v="0"/>
    <n v="-33.839613"/>
    <n v="151.08731700000001"/>
  </r>
  <r>
    <s v="1609"/>
    <s v="Condobolin Public School"/>
    <s v="CONDOBOLIN"/>
    <s v="Lachlan"/>
    <s v="Central West"/>
    <x v="2"/>
    <x v="2"/>
    <s v="Rural South and West"/>
    <x v="0"/>
    <x v="0"/>
    <s v="Coed"/>
    <n v="256"/>
    <n v="52"/>
    <s v="Published"/>
    <n v="133.12"/>
    <n v="4"/>
    <n v="848"/>
    <x v="1"/>
    <n v="138"/>
    <x v="1"/>
    <n v="-33.085514000000003"/>
    <n v="147.14907700000001"/>
  </r>
  <r>
    <s v="1611"/>
    <s v="Condong Public School"/>
    <s v="Condong"/>
    <s v="Tweed"/>
    <s v="Richmond - Tweed"/>
    <x v="1"/>
    <x v="1"/>
    <s v="Rural North"/>
    <x v="0"/>
    <x v="0"/>
    <s v="Coed"/>
    <n v="49"/>
    <m/>
    <s v="Suppressed"/>
    <s v=""/>
    <n v="14"/>
    <n v="948"/>
    <x v="2"/>
    <n v="141"/>
    <x v="2"/>
    <n v="-28.309540309999999"/>
    <n v="153.43453959999999"/>
  </r>
  <r>
    <s v="1612"/>
    <s v="Coniston Public School"/>
    <s v="CONISTON"/>
    <s v="Wollongong"/>
    <s v="Illawarra"/>
    <x v="0"/>
    <x v="0"/>
    <s v="Regional South and Connected Communities"/>
    <x v="0"/>
    <x v="0"/>
    <s v="Coed"/>
    <n v="181"/>
    <n v="7"/>
    <s v="Published"/>
    <n v="12.670000000000002"/>
    <n v="61"/>
    <n v="990"/>
    <x v="2"/>
    <n v="107"/>
    <x v="1"/>
    <n v="-34.439022999999999"/>
    <n v="150.88743500000001"/>
  </r>
  <r>
    <s v="1613"/>
    <s v="Connells Point Public School"/>
    <s v="Connells Point"/>
    <s v="Georges River"/>
    <s v="Sydney - Inner South West"/>
    <x v="0"/>
    <x v="0"/>
    <s v="Metropolitan South"/>
    <x v="0"/>
    <x v="0"/>
    <s v="Coed"/>
    <n v="429"/>
    <n v="2"/>
    <s v="Published"/>
    <n v="8.58"/>
    <n v="68"/>
    <n v="1088"/>
    <x v="3"/>
    <n v="42"/>
    <x v="0"/>
    <n v="-33.984689000000003"/>
    <n v="151.10030599999999"/>
  </r>
  <r>
    <s v="1615"/>
    <s v="Cooerwull Public School"/>
    <s v="Lithgow"/>
    <s v="Lithgow"/>
    <s v="Central West"/>
    <x v="1"/>
    <x v="1"/>
    <s v="Regional North and West"/>
    <x v="0"/>
    <x v="0"/>
    <s v="Coed"/>
    <n v="258"/>
    <n v="31"/>
    <s v="Published"/>
    <n v="79.98"/>
    <n v="6"/>
    <n v="906"/>
    <x v="2"/>
    <n v="137"/>
    <x v="1"/>
    <n v="-33.484053000000003"/>
    <n v="150.14209299999999"/>
  </r>
  <r>
    <s v="1616"/>
    <s v="Coogee Public School"/>
    <s v="Coogee"/>
    <s v="Randwick"/>
    <s v="Sydney - Eastern Suburbs"/>
    <x v="0"/>
    <x v="0"/>
    <s v="Metropolitan South"/>
    <x v="0"/>
    <x v="0"/>
    <s v="Coed"/>
    <n v="361"/>
    <m/>
    <s v="Suppressed"/>
    <s v=""/>
    <n v="30"/>
    <n v="1154"/>
    <x v="0"/>
    <n v="4"/>
    <x v="0"/>
    <n v="-33.920819000000002"/>
    <n v="151.24984599999999"/>
  </r>
  <r>
    <s v="1621"/>
    <s v="Coolah Central School"/>
    <s v="Coolah"/>
    <s v="Warrumbungle"/>
    <s v="Far West and Orana"/>
    <x v="2"/>
    <x v="2"/>
    <s v="Regional North and West"/>
    <x v="1"/>
    <x v="0"/>
    <s v="Coed"/>
    <n v="148"/>
    <n v="27"/>
    <s v="Published"/>
    <n v="39.96"/>
    <n v="4"/>
    <n v="896"/>
    <x v="1"/>
    <n v="142"/>
    <x v="1"/>
    <n v="-31.821024000000001"/>
    <n v="149.723624"/>
  </r>
  <r>
    <s v="1624"/>
    <s v="Coolamon Central School"/>
    <s v="Coolamon"/>
    <s v="Coolamon"/>
    <s v="Riverina"/>
    <x v="1"/>
    <x v="1"/>
    <s v="Rural South and West"/>
    <x v="1"/>
    <x v="0"/>
    <s v="Coed"/>
    <n v="383"/>
    <n v="13"/>
    <s v="Published"/>
    <n v="49.79"/>
    <n v="3"/>
    <n v="974"/>
    <x v="2"/>
    <n v="101"/>
    <x v="0"/>
    <n v="-34.811903999999998"/>
    <n v="147.20139800000001"/>
  </r>
  <r>
    <s v="1625"/>
    <s v="Shoalhaven Heads Public School"/>
    <s v="Shoalhaven Heads"/>
    <s v="Shoalhaven"/>
    <s v="Southern Highlands and Shoalhaven"/>
    <x v="1"/>
    <x v="1"/>
    <s v="Regional South and Connected Communities"/>
    <x v="0"/>
    <x v="0"/>
    <s v="Coed"/>
    <n v="180"/>
    <n v="9"/>
    <s v="Published"/>
    <n v="16.2"/>
    <n v="9"/>
    <n v="1021"/>
    <x v="3"/>
    <n v="79"/>
    <x v="1"/>
    <n v="-34.853166999999999"/>
    <n v="150.74008799999999"/>
  </r>
  <r>
    <s v="1627"/>
    <s v="Coolongolook Public School"/>
    <s v="Coolongolook"/>
    <s v="Mid-Coast"/>
    <s v="Mid North Coast"/>
    <x v="1"/>
    <x v="1"/>
    <s v="Regional North and West"/>
    <x v="0"/>
    <x v="0"/>
    <s v="Coed"/>
    <n v="31"/>
    <m/>
    <s v="Suppressed"/>
    <s v=""/>
    <m/>
    <n v="950"/>
    <x v="2"/>
    <n v="142"/>
    <x v="2"/>
    <n v="-32.222797999999997"/>
    <n v="152.318838"/>
  </r>
  <r>
    <s v="1628"/>
    <s v="Cooma Public School"/>
    <s v="Cooma"/>
    <s v="Snowy Monaro"/>
    <s v="Capital Region"/>
    <x v="1"/>
    <x v="1"/>
    <s v="Rural South and West"/>
    <x v="0"/>
    <x v="0"/>
    <s v="Coed"/>
    <n v="238"/>
    <n v="9"/>
    <s v="Published"/>
    <n v="21.419999999999998"/>
    <n v="18"/>
    <n v="971"/>
    <x v="2"/>
    <n v="100"/>
    <x v="1"/>
    <n v="-36.237473999999999"/>
    <n v="149.125034"/>
  </r>
  <r>
    <s v="1630"/>
    <s v="Coonabarabran Public School"/>
    <s v="Coonabarabran"/>
    <s v="Warrumbungle"/>
    <s v="Far West and Orana"/>
    <x v="2"/>
    <x v="2"/>
    <s v="Rural North"/>
    <x v="0"/>
    <x v="0"/>
    <s v="Coed"/>
    <n v="200"/>
    <n v="42"/>
    <s v="Published"/>
    <n v="84"/>
    <n v="4"/>
    <n v="856"/>
    <x v="1"/>
    <n v="142"/>
    <x v="1"/>
    <n v="-31.280038999999999"/>
    <n v="149.282061"/>
  </r>
  <r>
    <s v="1631"/>
    <s v="Coonamble Public School"/>
    <s v="COONAMBLE"/>
    <s v="Coonamble"/>
    <s v="Far West and Orana"/>
    <x v="3"/>
    <x v="3"/>
    <s v="Regional South and Connected Communities"/>
    <x v="0"/>
    <x v="0"/>
    <s v="Coed"/>
    <n v="186"/>
    <n v="89"/>
    <s v="Published"/>
    <n v="165.54"/>
    <m/>
    <n v="701"/>
    <x v="1"/>
    <n v="212"/>
    <x v="1"/>
    <n v="-30.958362999999999"/>
    <n v="148.387024"/>
  </r>
  <r>
    <s v="1632"/>
    <s v="Coopernook Public School"/>
    <s v="Coopernook"/>
    <s v="Mid-Coast"/>
    <s v="Mid North Coast"/>
    <x v="1"/>
    <x v="1"/>
    <s v="Regional North and West"/>
    <x v="0"/>
    <x v="0"/>
    <s v="Coed"/>
    <n v="60"/>
    <n v="15"/>
    <s v="Published"/>
    <n v="9"/>
    <m/>
    <n v="925"/>
    <x v="2"/>
    <n v="132"/>
    <x v="2"/>
    <n v="-31.827511999999999"/>
    <n v="152.60787400000001"/>
  </r>
  <r>
    <s v="1634"/>
    <s v="Coorabell Public School"/>
    <s v="Coorabell"/>
    <s v="Byron"/>
    <s v="Richmond - Tweed"/>
    <x v="1"/>
    <x v="1"/>
    <s v="Rural North"/>
    <x v="0"/>
    <x v="0"/>
    <s v="Coed"/>
    <n v="92"/>
    <m/>
    <s v="Suppressed"/>
    <s v=""/>
    <n v="35"/>
    <n v="1066"/>
    <x v="3"/>
    <n v="47"/>
    <x v="2"/>
    <n v="-28.625696000000001"/>
    <n v="153.487492"/>
  </r>
  <r>
    <s v="1635"/>
    <s v="Cooranbong Public School"/>
    <s v="Cooranbong"/>
    <s v="Lake Macquarie"/>
    <s v="Newcastle and Lake Macquarie"/>
    <x v="0"/>
    <x v="0"/>
    <s v="Regional North"/>
    <x v="0"/>
    <x v="0"/>
    <s v="Coed"/>
    <n v="330"/>
    <n v="22"/>
    <s v="Published"/>
    <n v="72.599999999999994"/>
    <n v="9"/>
    <n v="948"/>
    <x v="2"/>
    <n v="116"/>
    <x v="0"/>
    <n v="-33.080500000000001"/>
    <n v="151.44179299999999"/>
  </r>
  <r>
    <s v="1636"/>
    <s v="Cootamundra Public School"/>
    <s v="Cootamundra"/>
    <s v="Cootamundra-Gundagai"/>
    <s v="Riverina"/>
    <x v="1"/>
    <x v="1"/>
    <s v="Rural South and West"/>
    <x v="0"/>
    <x v="0"/>
    <s v="Coed"/>
    <n v="214"/>
    <n v="13"/>
    <s v="Published"/>
    <n v="27.82"/>
    <n v="9"/>
    <n v="943"/>
    <x v="2"/>
    <n v="126"/>
    <x v="1"/>
    <n v="-34.638914"/>
    <n v="148.02680899999999"/>
  </r>
  <r>
    <s v="1642"/>
    <s v="Copmanhurst Public School"/>
    <s v="COPMANHURST"/>
    <s v="Clarence Valley"/>
    <s v="Coffs Harbour - Grafton"/>
    <x v="2"/>
    <x v="2"/>
    <s v="Rural North"/>
    <x v="0"/>
    <x v="0"/>
    <s v="Coed"/>
    <n v="66"/>
    <n v="20"/>
    <s v="Published"/>
    <n v="13.200000000000001"/>
    <m/>
    <n v="904"/>
    <x v="2"/>
    <n v="134"/>
    <x v="2"/>
    <n v="-29.584662999999999"/>
    <n v="152.77553700000001"/>
  </r>
  <r>
    <s v="1644"/>
    <s v="Coraki Public School"/>
    <s v="Coraki"/>
    <s v="Richmond Valley"/>
    <s v="Richmond - Tweed"/>
    <x v="1"/>
    <x v="1"/>
    <s v="Rural North"/>
    <x v="0"/>
    <x v="0"/>
    <s v="Coed"/>
    <n v="26"/>
    <n v="46"/>
    <s v="Published"/>
    <n v="11.96"/>
    <m/>
    <n v="823"/>
    <x v="1"/>
    <n v="184"/>
    <x v="2"/>
    <n v="-28.992588999999999"/>
    <n v="153.28264100000001"/>
  </r>
  <r>
    <s v="1647"/>
    <s v="Coramba Public School"/>
    <s v="Coramba"/>
    <s v="Coffs Harbour"/>
    <s v="Coffs Harbour - Grafton"/>
    <x v="1"/>
    <x v="1"/>
    <s v="Regional North and West"/>
    <x v="0"/>
    <x v="0"/>
    <s v="Coed"/>
    <n v="30"/>
    <n v="20"/>
    <s v="Published"/>
    <n v="6"/>
    <m/>
    <n v="912"/>
    <x v="2"/>
    <n v="144"/>
    <x v="2"/>
    <n v="-30.221578000000001"/>
    <n v="153.01151300000001"/>
  </r>
  <r>
    <s v="1654"/>
    <s v="Corindi Public School"/>
    <s v="Corindi Beach"/>
    <s v="Coffs Harbour"/>
    <s v="Coffs Harbour - Grafton"/>
    <x v="1"/>
    <x v="1"/>
    <s v="Rural North"/>
    <x v="0"/>
    <x v="0"/>
    <s v="Coed"/>
    <n v="183"/>
    <n v="26"/>
    <s v="Published"/>
    <n v="47.58"/>
    <n v="9"/>
    <n v="938"/>
    <x v="2"/>
    <n v="114"/>
    <x v="1"/>
    <n v="-30.021469"/>
    <n v="153.19423399999999"/>
  </r>
  <r>
    <s v="1656"/>
    <s v="Corndale Public School"/>
    <s v="Corndale"/>
    <s v="Lismore"/>
    <s v="Richmond - Tweed"/>
    <x v="1"/>
    <x v="1"/>
    <s v="Rural North"/>
    <x v="0"/>
    <x v="0"/>
    <s v="Coed"/>
    <n v="23"/>
    <m/>
    <s v="Suppressed"/>
    <s v=""/>
    <m/>
    <n v="998"/>
    <x v="2"/>
    <n v="83"/>
    <x v="2"/>
    <n v="-28.713149999999999"/>
    <n v="153.36248900000001"/>
  </r>
  <r>
    <s v="1658"/>
    <s v="Corowa Public School"/>
    <s v="Corowa"/>
    <s v="Federation"/>
    <s v="Murray"/>
    <x v="1"/>
    <x v="1"/>
    <s v="Rural South and West"/>
    <x v="0"/>
    <x v="0"/>
    <s v="Coed"/>
    <n v="162"/>
    <n v="6"/>
    <s v="Published"/>
    <n v="9.7199999999999989"/>
    <n v="7"/>
    <n v="957"/>
    <x v="2"/>
    <n v="122"/>
    <x v="1"/>
    <n v="-35.992545"/>
    <n v="146.39490000000001"/>
  </r>
  <r>
    <s v="1659"/>
    <s v="Corowa South Public School"/>
    <s v="Corowa"/>
    <s v="Federation"/>
    <s v="Murray"/>
    <x v="1"/>
    <x v="1"/>
    <s v="Rural South and West"/>
    <x v="0"/>
    <x v="0"/>
    <s v="Coed"/>
    <n v="40"/>
    <m/>
    <s v="Suppressed"/>
    <s v=""/>
    <m/>
    <n v="946"/>
    <x v="2"/>
    <n v="116"/>
    <x v="2"/>
    <n v="-36.020988000000003"/>
    <n v="146.37617599999999"/>
  </r>
  <r>
    <s v="1661"/>
    <s v="Corrimal Public School"/>
    <s v="Corrimal"/>
    <s v="Wollongong"/>
    <s v="Illawarra"/>
    <x v="0"/>
    <x v="0"/>
    <s v="Regional South and Connected Communities"/>
    <x v="0"/>
    <x v="0"/>
    <s v="Coed"/>
    <n v="227"/>
    <n v="7"/>
    <s v="Published"/>
    <n v="15.890000000000002"/>
    <n v="17"/>
    <n v="1013"/>
    <x v="3"/>
    <n v="84"/>
    <x v="1"/>
    <n v="-34.367370999999999"/>
    <n v="150.899022"/>
  </r>
  <r>
    <s v="1666"/>
    <s v="Coutts Crossing Public School"/>
    <s v="COUTTS CROSSING"/>
    <s v="Clarence Valley"/>
    <s v="Coffs Harbour - Grafton"/>
    <x v="1"/>
    <x v="1"/>
    <s v="Rural North"/>
    <x v="0"/>
    <x v="0"/>
    <s v="Coed"/>
    <n v="66"/>
    <n v="14"/>
    <s v="Published"/>
    <n v="9.24"/>
    <m/>
    <n v="903"/>
    <x v="2"/>
    <n v="143"/>
    <x v="2"/>
    <n v="-29.832063000000002"/>
    <n v="152.88948400000001"/>
  </r>
  <r>
    <s v="1668"/>
    <s v="Cowan Public School"/>
    <s v="Cowan"/>
    <s v="Hornsby"/>
    <s v="Sydney - North Sydney and Hornsby"/>
    <x v="1"/>
    <x v="1"/>
    <s v="Regional North"/>
    <x v="0"/>
    <x v="0"/>
    <s v="Coed"/>
    <n v="24"/>
    <n v="0"/>
    <s v="Published"/>
    <n v="0"/>
    <n v="26"/>
    <n v="1063"/>
    <x v="3"/>
    <n v="39"/>
    <x v="2"/>
    <n v="-33.588808"/>
    <n v="151.16884300000001"/>
  </r>
  <r>
    <s v="1670"/>
    <s v="Cowper Public School"/>
    <s v="Cowper"/>
    <s v="Clarence Valley"/>
    <s v="Coffs Harbour - Grafton"/>
    <x v="1"/>
    <x v="1"/>
    <s v="Rural North"/>
    <x v="0"/>
    <x v="0"/>
    <s v="Coed"/>
    <n v="17"/>
    <n v="65"/>
    <s v="Published"/>
    <n v="11.05"/>
    <m/>
    <n v="774"/>
    <x v="1"/>
    <n v="144"/>
    <x v="2"/>
    <n v="-29.569559999999999"/>
    <n v="153.077731"/>
  </r>
  <r>
    <s v="1671"/>
    <s v="Cowra Public School"/>
    <s v="Cowra"/>
    <s v="Cowra"/>
    <s v="Central West"/>
    <x v="1"/>
    <x v="1"/>
    <s v="Rural South and West"/>
    <x v="0"/>
    <x v="0"/>
    <s v="Coed"/>
    <n v="338"/>
    <n v="32"/>
    <s v="Published"/>
    <n v="108.16"/>
    <n v="4"/>
    <n v="895"/>
    <x v="1"/>
    <n v="135"/>
    <x v="0"/>
    <n v="-33.836027999999999"/>
    <n v="148.68992"/>
  </r>
  <r>
    <s v="1674"/>
    <s v="Crabbes Creek Public School"/>
    <s v="Crabbes Creek"/>
    <s v="Tweed"/>
    <s v="Richmond - Tweed"/>
    <x v="1"/>
    <x v="1"/>
    <s v="Rural North"/>
    <x v="0"/>
    <x v="0"/>
    <s v="Coed"/>
    <n v="37"/>
    <m/>
    <s v="Suppressed"/>
    <s v=""/>
    <n v="25"/>
    <n v="985"/>
    <x v="2"/>
    <n v="101"/>
    <x v="2"/>
    <n v="-28.456004"/>
    <n v="153.49657500000001"/>
  </r>
  <r>
    <s v="1681"/>
    <s v="Crescent Head Public School"/>
    <s v="Crescent Head"/>
    <s v="Kempsey"/>
    <s v="Mid North Coast"/>
    <x v="1"/>
    <x v="1"/>
    <s v="Regional North and West"/>
    <x v="0"/>
    <x v="0"/>
    <s v="Coed"/>
    <n v="167"/>
    <n v="13"/>
    <s v="Published"/>
    <n v="21.71"/>
    <n v="6"/>
    <n v="987"/>
    <x v="2"/>
    <n v="78"/>
    <x v="1"/>
    <n v="-31.188089000000002"/>
    <n v="152.97034500000001"/>
  </r>
  <r>
    <s v="1682"/>
    <s v="Cronulla Public School"/>
    <s v="Cronulla"/>
    <s v="Sutherland"/>
    <s v="Sydney - Sutherland"/>
    <x v="0"/>
    <x v="0"/>
    <s v="Metropolitan South and West"/>
    <x v="0"/>
    <x v="0"/>
    <s v="Coed"/>
    <n v="516"/>
    <n v="3"/>
    <s v="Published"/>
    <n v="15.479999999999999"/>
    <n v="21"/>
    <n v="1064"/>
    <x v="3"/>
    <n v="60"/>
    <x v="0"/>
    <n v="-34.054076999999999"/>
    <n v="151.14773"/>
  </r>
  <r>
    <s v="1684"/>
    <s v="Crookwell Public School"/>
    <s v="Crookwell"/>
    <s v="Upper Lachlan"/>
    <s v="Capital Region"/>
    <x v="1"/>
    <x v="1"/>
    <s v="Regional South and Connected Communities"/>
    <x v="0"/>
    <x v="0"/>
    <s v="Coed"/>
    <n v="220"/>
    <n v="7"/>
    <s v="Published"/>
    <n v="15.400000000000002"/>
    <n v="7"/>
    <n v="963"/>
    <x v="2"/>
    <n v="108"/>
    <x v="1"/>
    <n v="-34.459938000000001"/>
    <n v="149.46980600000001"/>
  </r>
  <r>
    <s v="1685"/>
    <s v="Crossmaglen Public School"/>
    <s v="Bonville"/>
    <s v="Coffs Harbour"/>
    <s v="Coffs Harbour - Grafton"/>
    <x v="1"/>
    <x v="1"/>
    <s v="Regional North and West"/>
    <x v="0"/>
    <x v="0"/>
    <s v="Coed"/>
    <n v="45"/>
    <m/>
    <s v="Suppressed"/>
    <s v=""/>
    <m/>
    <n v="988"/>
    <x v="2"/>
    <n v="81"/>
    <x v="2"/>
    <n v="-30.365945"/>
    <n v="152.98158599999999"/>
  </r>
  <r>
    <s v="1688"/>
    <s v="Buronga Public School"/>
    <s v="BURONGA"/>
    <s v="Wentworth"/>
    <s v="Murray"/>
    <x v="2"/>
    <x v="2"/>
    <s v="Rural South and West"/>
    <x v="0"/>
    <x v="0"/>
    <s v="Coed"/>
    <n v="80"/>
    <n v="38"/>
    <s v="Published"/>
    <n v="30.4"/>
    <n v="13"/>
    <n v="870"/>
    <x v="1"/>
    <n v="139"/>
    <x v="2"/>
    <n v="-34.169471000000001"/>
    <n v="142.18131500000001"/>
  </r>
  <r>
    <s v="1690"/>
    <s v="Crystal Creek Public School"/>
    <s v="CRYSTAL CREEK"/>
    <s v="Tweed"/>
    <s v="Richmond - Tweed"/>
    <x v="1"/>
    <x v="1"/>
    <s v="Rural North"/>
    <x v="0"/>
    <x v="0"/>
    <s v="Coed"/>
    <n v="80"/>
    <n v="13"/>
    <s v="Published"/>
    <n v="10.4"/>
    <m/>
    <n v="939"/>
    <x v="2"/>
    <n v="120"/>
    <x v="2"/>
    <n v="-28.312139999999999"/>
    <n v="153.32596000000001"/>
  </r>
  <r>
    <s v="1695"/>
    <s v="Cudal Public School"/>
    <s v="Cudal"/>
    <s v="Cabonne"/>
    <s v="Central West"/>
    <x v="2"/>
    <x v="2"/>
    <s v="Rural South and West"/>
    <x v="0"/>
    <x v="0"/>
    <s v="Coed"/>
    <n v="48"/>
    <m/>
    <s v="Suppressed"/>
    <s v=""/>
    <n v="0"/>
    <n v="979"/>
    <x v="2"/>
    <n v="107"/>
    <x v="2"/>
    <n v="-33.287098999999998"/>
    <n v="148.740307"/>
  </r>
  <r>
    <s v="1696"/>
    <s v="Cudgen Public School"/>
    <s v="CUDGEN"/>
    <s v="Tweed"/>
    <s v="Richmond - Tweed"/>
    <x v="0"/>
    <x v="0"/>
    <s v="Rural North"/>
    <x v="0"/>
    <x v="0"/>
    <s v="Coed"/>
    <n v="161"/>
    <n v="24"/>
    <s v="Published"/>
    <n v="38.64"/>
    <n v="8"/>
    <n v="984"/>
    <x v="2"/>
    <n v="87"/>
    <x v="1"/>
    <n v="-28.262592000000001"/>
    <n v="153.55541600000001"/>
  </r>
  <r>
    <s v="1698"/>
    <s v="Culcairn Public School"/>
    <s v="CULCAIRN"/>
    <s v="Greater Hume"/>
    <s v="Murray"/>
    <x v="1"/>
    <x v="1"/>
    <s v="Rural South and West"/>
    <x v="0"/>
    <x v="0"/>
    <s v="Coed"/>
    <n v="94"/>
    <n v="12"/>
    <s v="Published"/>
    <n v="11.28"/>
    <n v="10"/>
    <n v="969"/>
    <x v="2"/>
    <n v="115"/>
    <x v="2"/>
    <n v="-35.668284"/>
    <n v="147.03999200000001"/>
  </r>
  <r>
    <s v="1700"/>
    <s v="Cullen Bullen Public School"/>
    <s v="Cullen Bullen"/>
    <s v="Lithgow"/>
    <s v="Central West"/>
    <x v="1"/>
    <x v="1"/>
    <s v="Regional North and West"/>
    <x v="0"/>
    <x v="0"/>
    <s v="Coed"/>
    <n v="8"/>
    <n v="75"/>
    <s v="Published"/>
    <n v="6"/>
    <m/>
    <n v="790"/>
    <x v="1"/>
    <n v="210"/>
    <x v="2"/>
    <n v="-33.299877000000002"/>
    <n v="150.03231700000001"/>
  </r>
  <r>
    <s v="1707"/>
    <s v="Cumnock Public School"/>
    <s v="Cumnock"/>
    <s v="Cabonne"/>
    <s v="Central West"/>
    <x v="2"/>
    <x v="2"/>
    <s v="Rural South and West"/>
    <x v="0"/>
    <x v="0"/>
    <s v="Coed"/>
    <n v="47"/>
    <n v="19"/>
    <s v="Published"/>
    <n v="8.93"/>
    <m/>
    <n v="954"/>
    <x v="2"/>
    <n v="96"/>
    <x v="2"/>
    <n v="-32.931277000000001"/>
    <n v="148.749492"/>
  </r>
  <r>
    <s v="1708"/>
    <s v="Cundletown Public School"/>
    <s v="CUNDLETOWN"/>
    <s v="Mid-Coast"/>
    <s v="Mid North Coast"/>
    <x v="1"/>
    <x v="1"/>
    <s v="Regional North and West"/>
    <x v="0"/>
    <x v="0"/>
    <s v="Coed"/>
    <n v="265"/>
    <n v="25"/>
    <s v="Published"/>
    <n v="66.25"/>
    <m/>
    <n v="923"/>
    <x v="2"/>
    <n v="121"/>
    <x v="1"/>
    <n v="-31.899733000000001"/>
    <n v="152.522008"/>
  </r>
  <r>
    <s v="1712"/>
    <s v="Curlewis Public School"/>
    <s v="Curlewis"/>
    <s v="Gunnedah"/>
    <s v="New England and North West"/>
    <x v="2"/>
    <x v="2"/>
    <s v="Rural North"/>
    <x v="0"/>
    <x v="0"/>
    <s v="Coed"/>
    <n v="77"/>
    <n v="62"/>
    <s v="Published"/>
    <n v="47.74"/>
    <m/>
    <n v="833"/>
    <x v="1"/>
    <n v="134"/>
    <x v="2"/>
    <n v="-31.117149000000001"/>
    <n v="150.26330400000001"/>
  </r>
  <r>
    <s v="1714"/>
    <s v="Currabubula Public School"/>
    <s v="Currabubula"/>
    <s v="Liverpool Plains"/>
    <s v="New England and North West"/>
    <x v="2"/>
    <x v="2"/>
    <s v="Rural North"/>
    <x v="0"/>
    <x v="0"/>
    <s v="Coed"/>
    <n v="24"/>
    <m/>
    <s v="Suppressed"/>
    <s v=""/>
    <n v="0"/>
    <n v="953"/>
    <x v="2"/>
    <n v="106"/>
    <x v="2"/>
    <n v="-31.262786999999999"/>
    <n v="150.73570900000001"/>
  </r>
  <r>
    <s v="1723"/>
    <s v="Dalton Public School"/>
    <s v="Dalton"/>
    <s v="Upper Lachlan"/>
    <s v="Capital Region"/>
    <x v="1"/>
    <x v="1"/>
    <s v="Regional South and Connected Communities"/>
    <x v="0"/>
    <x v="0"/>
    <s v="Coed"/>
    <n v="6"/>
    <m/>
    <s v="Suppressed"/>
    <s v=""/>
    <n v="0"/>
    <n v="936"/>
    <x v="2"/>
    <n v="161"/>
    <x v="2"/>
    <n v="-34.720368999999998"/>
    <n v="149.17882"/>
  </r>
  <r>
    <s v="1727"/>
    <s v="Dapto Public School"/>
    <s v="HORSLEY"/>
    <s v="Wollongong"/>
    <s v="Illawarra"/>
    <x v="0"/>
    <x v="0"/>
    <s v="Regional South and Connected Communities"/>
    <x v="0"/>
    <x v="0"/>
    <s v="Coed"/>
    <n v="790"/>
    <n v="8"/>
    <s v="Published"/>
    <n v="63.2"/>
    <n v="11"/>
    <n v="1006"/>
    <x v="3"/>
    <n v="94"/>
    <x v="3"/>
    <n v="-34.494678999999998"/>
    <n v="150.776781"/>
  </r>
  <r>
    <s v="1732"/>
    <s v="Dareton Public School"/>
    <s v="Dareton"/>
    <s v="Wentworth"/>
    <s v="Murray"/>
    <x v="2"/>
    <x v="2"/>
    <s v="Regional South and Connected Communities"/>
    <x v="0"/>
    <x v="0"/>
    <s v="Coed"/>
    <n v="54"/>
    <n v="89"/>
    <s v="Published"/>
    <n v="48.06"/>
    <n v="20"/>
    <n v="668"/>
    <x v="1"/>
    <n v="223"/>
    <x v="2"/>
    <n v="-34.091147999999997"/>
    <n v="142.040358"/>
  </r>
  <r>
    <s v="1735"/>
    <s v="Darlington Public School"/>
    <s v="Chippendale"/>
    <s v="Sydney"/>
    <s v="Sydney - City and Inner South"/>
    <x v="0"/>
    <x v="0"/>
    <s v="Metropolitan South"/>
    <x v="0"/>
    <x v="0"/>
    <s v="Coed"/>
    <n v="147"/>
    <n v="18"/>
    <s v="Published"/>
    <n v="26.459999999999997"/>
    <n v="39"/>
    <n v="1030"/>
    <x v="3"/>
    <n v="47"/>
    <x v="1"/>
    <n v="-33.892637999999998"/>
    <n v="151.18939"/>
  </r>
  <r>
    <s v="1736"/>
    <s v="Darlington Point Public School"/>
    <s v="DARLINGTON POINT"/>
    <s v="Murrumbidgee"/>
    <s v="Riverina"/>
    <x v="2"/>
    <x v="2"/>
    <s v="Rural South and West"/>
    <x v="0"/>
    <x v="0"/>
    <s v="Coed"/>
    <n v="88"/>
    <n v="36"/>
    <s v="Published"/>
    <n v="31.68"/>
    <m/>
    <n v="870"/>
    <x v="1"/>
    <n v="148"/>
    <x v="2"/>
    <n v="-34.572806999999997"/>
    <n v="145.993878"/>
  </r>
  <r>
    <s v="1740"/>
    <s v="Leeville Public School"/>
    <s v="Leeville"/>
    <s v="Richmond Valley"/>
    <s v="Richmond - Tweed"/>
    <x v="1"/>
    <x v="1"/>
    <s v="Rural North"/>
    <x v="0"/>
    <x v="0"/>
    <s v="Coed"/>
    <n v="48"/>
    <n v="13"/>
    <s v="Published"/>
    <n v="6.24"/>
    <n v="0"/>
    <n v="953"/>
    <x v="2"/>
    <n v="135"/>
    <x v="2"/>
    <n v="-28.930842999999999"/>
    <n v="153.00353699999999"/>
  </r>
  <r>
    <s v="1742"/>
    <s v="Deepwater Public School"/>
    <s v="Deepwater"/>
    <s v="Glen Innes Severn"/>
    <s v="New England and North West"/>
    <x v="2"/>
    <x v="2"/>
    <s v="Rural North"/>
    <x v="0"/>
    <x v="0"/>
    <s v="Coed"/>
    <n v="17"/>
    <m/>
    <s v="Suppressed"/>
    <s v=""/>
    <m/>
    <n v="960"/>
    <x v="2"/>
    <n v="117"/>
    <x v="2"/>
    <n v="-29.442907999999999"/>
    <n v="151.848086"/>
  </r>
  <r>
    <s v="1744"/>
    <s v="Dee Why Public School"/>
    <s v="Dee Why"/>
    <s v="Northern Beaches"/>
    <s v="Sydney - Northern Beaches"/>
    <x v="0"/>
    <x v="0"/>
    <s v="Metropolitan North"/>
    <x v="0"/>
    <x v="0"/>
    <s v="Coed"/>
    <n v="478"/>
    <m/>
    <s v="Suppressed"/>
    <s v=""/>
    <n v="67"/>
    <n v="1028"/>
    <x v="3"/>
    <n v="79"/>
    <x v="0"/>
    <n v="-33.749025000000003"/>
    <n v="151.28520900000001"/>
  </r>
  <r>
    <s v="1745"/>
    <s v="Delegate Public School"/>
    <s v="Delegate"/>
    <s v="Snowy Monaro"/>
    <s v="Capital Region"/>
    <x v="2"/>
    <x v="2"/>
    <s v="Rural South and West"/>
    <x v="0"/>
    <x v="0"/>
    <s v="Coed"/>
    <n v="22"/>
    <m/>
    <s v="Suppressed"/>
    <s v=""/>
    <m/>
    <n v="982"/>
    <x v="2"/>
    <n v="87"/>
    <x v="2"/>
    <n v="-37.041739"/>
    <n v="148.93721500000001"/>
  </r>
  <r>
    <s v="1747"/>
    <s v="Delungra Public School"/>
    <s v="Delungra"/>
    <s v="Inverell"/>
    <s v="New England and North West"/>
    <x v="2"/>
    <x v="2"/>
    <s v="Rural North"/>
    <x v="0"/>
    <x v="0"/>
    <s v="Coed"/>
    <n v="18"/>
    <n v="44"/>
    <s v="Published"/>
    <n v="7.92"/>
    <n v="0"/>
    <n v="827"/>
    <x v="1"/>
    <n v="153"/>
    <x v="2"/>
    <n v="-29.650936000000002"/>
    <n v="150.83097699999999"/>
  </r>
  <r>
    <s v="1749"/>
    <s v="Denman Public School"/>
    <s v="Denman"/>
    <s v="Muswellbrook"/>
    <s v="Hunter Valley exc Newcastle"/>
    <x v="1"/>
    <x v="1"/>
    <s v="Regional North and West"/>
    <x v="0"/>
    <x v="0"/>
    <s v="Coed"/>
    <n v="147"/>
    <n v="16"/>
    <s v="Published"/>
    <n v="23.52"/>
    <m/>
    <n v="949"/>
    <x v="2"/>
    <n v="104"/>
    <x v="1"/>
    <n v="-32.385733999999999"/>
    <n v="150.68600900000001"/>
  </r>
  <r>
    <s v="1760"/>
    <s v="Doonside Public School"/>
    <s v="DOONSIDE"/>
    <s v="Blacktown"/>
    <s v="Sydney - Blacktown"/>
    <x v="0"/>
    <x v="0"/>
    <s v="Metropolitan North"/>
    <x v="0"/>
    <x v="0"/>
    <s v="Coed"/>
    <n v="258"/>
    <n v="22"/>
    <s v="Published"/>
    <n v="56.76"/>
    <n v="65"/>
    <n v="900"/>
    <x v="2"/>
    <n v="149"/>
    <x v="1"/>
    <n v="-33.764557000000003"/>
    <n v="150.870497"/>
  </r>
  <r>
    <s v="1762"/>
    <s v="Dora Creek Public School"/>
    <s v="Dora Creek"/>
    <s v="Lake Macquarie"/>
    <s v="Newcastle and Lake Macquarie"/>
    <x v="0"/>
    <x v="0"/>
    <s v="Regional North"/>
    <x v="0"/>
    <x v="0"/>
    <s v="Coed"/>
    <n v="139"/>
    <n v="12"/>
    <s v="Published"/>
    <n v="16.68"/>
    <n v="4"/>
    <n v="939"/>
    <x v="2"/>
    <n v="128"/>
    <x v="1"/>
    <n v="-33.07902"/>
    <n v="151.49921699999999"/>
  </r>
  <r>
    <s v="1768"/>
    <s v="Double Bay Public School"/>
    <s v="Double Bay"/>
    <s v="Woollahra"/>
    <s v="Sydney - Eastern Suburbs"/>
    <x v="0"/>
    <x v="0"/>
    <s v="Metropolitan South"/>
    <x v="0"/>
    <x v="0"/>
    <s v="Coed"/>
    <n v="237"/>
    <m/>
    <s v="Suppressed"/>
    <s v=""/>
    <n v="32"/>
    <n v="1135"/>
    <x v="0"/>
    <n v="16"/>
    <x v="1"/>
    <n v="-33.874856000000001"/>
    <n v="151.240894"/>
  </r>
  <r>
    <s v="1770"/>
    <s v="Douglas Park Public School"/>
    <s v="Douglas Park"/>
    <s v="Wollondilly"/>
    <s v="Sydney - Outer South West"/>
    <x v="1"/>
    <x v="1"/>
    <s v="Regional South and Connected Communities"/>
    <x v="0"/>
    <x v="0"/>
    <s v="Coed"/>
    <n v="145"/>
    <n v="7"/>
    <s v="Published"/>
    <n v="10.15"/>
    <n v="23"/>
    <n v="1031"/>
    <x v="3"/>
    <n v="69"/>
    <x v="1"/>
    <n v="-34.179484000000002"/>
    <n v="150.71303800000001"/>
  </r>
  <r>
    <s v="1771"/>
    <s v="Drake Public School"/>
    <s v="Drake"/>
    <s v="Tenterfield"/>
    <s v="New England and North West"/>
    <x v="2"/>
    <x v="2"/>
    <s v="Rural North"/>
    <x v="0"/>
    <x v="0"/>
    <s v="Coed"/>
    <n v="14"/>
    <m/>
    <s v="Suppressed"/>
    <s v=""/>
    <n v="0"/>
    <n v="928"/>
    <x v="2"/>
    <n v="68"/>
    <x v="2"/>
    <n v="-28.928798"/>
    <n v="152.374099"/>
  </r>
  <r>
    <s v="1774"/>
    <s v="Drummoyne Public School"/>
    <s v="Drummoyne"/>
    <s v="Canada Bay"/>
    <s v="Sydney - Inner West"/>
    <x v="0"/>
    <x v="0"/>
    <s v="Metropolitan South"/>
    <x v="0"/>
    <x v="0"/>
    <s v="Coed"/>
    <n v="427"/>
    <m/>
    <s v="Suppressed"/>
    <s v=""/>
    <n v="43"/>
    <n v="1137"/>
    <x v="0"/>
    <n v="11"/>
    <x v="0"/>
    <n v="-33.856073000000002"/>
    <n v="151.15303499999999"/>
  </r>
  <r>
    <s v="1775"/>
    <s v="Dubbo Public School"/>
    <s v="Dubbo"/>
    <s v="Dubbo"/>
    <s v="Far West and Orana"/>
    <x v="1"/>
    <x v="1"/>
    <s v="Regional North and West"/>
    <x v="0"/>
    <x v="0"/>
    <s v="Coed"/>
    <n v="520"/>
    <n v="29"/>
    <s v="Published"/>
    <n v="150.79999999999998"/>
    <n v="13"/>
    <n v="972"/>
    <x v="2"/>
    <n v="78"/>
    <x v="0"/>
    <n v="-32.248748999999997"/>
    <n v="148.60541000000001"/>
  </r>
  <r>
    <s v="1776"/>
    <s v="Dubbo North Public School"/>
    <s v="Dubbo"/>
    <s v="Dubbo"/>
    <s v="Far West and Orana"/>
    <x v="1"/>
    <x v="1"/>
    <s v="Regional North and West"/>
    <x v="0"/>
    <x v="0"/>
    <s v="Coed"/>
    <n v="276"/>
    <n v="50"/>
    <s v="Published"/>
    <n v="138"/>
    <n v="7"/>
    <n v="850"/>
    <x v="1"/>
    <n v="147"/>
    <x v="1"/>
    <n v="-32.241680000000002"/>
    <n v="148.61577600000001"/>
  </r>
  <r>
    <s v="1778"/>
    <s v="Dudley Public School"/>
    <s v="Dudley"/>
    <s v="Lake Macquarie"/>
    <s v="Newcastle and Lake Macquarie"/>
    <x v="0"/>
    <x v="0"/>
    <s v="Regional North"/>
    <x v="0"/>
    <x v="0"/>
    <s v="Coed"/>
    <n v="245"/>
    <n v="5"/>
    <s v="Published"/>
    <n v="12.25"/>
    <n v="8"/>
    <n v="1095"/>
    <x v="3"/>
    <n v="36"/>
    <x v="1"/>
    <n v="-32.989387000000001"/>
    <n v="151.71681599999999"/>
  </r>
  <r>
    <s v="1780"/>
    <s v="Lismore Public School"/>
    <s v="Lismore"/>
    <s v="Lismore"/>
    <s v="Richmond - Tweed"/>
    <x v="1"/>
    <x v="1"/>
    <s v="Rural North"/>
    <x v="0"/>
    <x v="0"/>
    <s v="Coed"/>
    <n v="179"/>
    <n v="34"/>
    <s v="Published"/>
    <n v="60.860000000000007"/>
    <n v="5"/>
    <n v="871"/>
    <x v="1"/>
    <n v="146"/>
    <x v="1"/>
    <n v="-28.814288999999999"/>
    <n v="153.29089999999999"/>
  </r>
  <r>
    <s v="1788"/>
    <s v="Dundurrabin Public School"/>
    <s v="Dundurrabin"/>
    <s v="Clarence Valley"/>
    <s v="Coffs Harbour - Grafton"/>
    <x v="2"/>
    <x v="2"/>
    <s v="Regional North and West"/>
    <x v="0"/>
    <x v="0"/>
    <s v="Coed"/>
    <n v="12"/>
    <n v="0"/>
    <s v="Published"/>
    <n v="0"/>
    <m/>
    <n v="879"/>
    <x v="1"/>
    <n v="182"/>
    <x v="2"/>
    <n v="-30.189492999999999"/>
    <n v="152.54264900000001"/>
  </r>
  <r>
    <s v="1789"/>
    <s v="Dunedoo Central School"/>
    <s v="Dunedoo"/>
    <s v="Warrumbungle"/>
    <s v="Central West"/>
    <x v="2"/>
    <x v="2"/>
    <s v="Regional North and West"/>
    <x v="1"/>
    <x v="0"/>
    <s v="Coed"/>
    <n v="151.6"/>
    <n v="28"/>
    <s v="Published"/>
    <n v="42.448"/>
    <n v="0"/>
    <n v="893"/>
    <x v="1"/>
    <n v="137"/>
    <x v="1"/>
    <n v="-32.018307999999998"/>
    <n v="149.392212"/>
  </r>
  <r>
    <s v="1791"/>
    <s v="Dungay Public School"/>
    <s v="Dungay"/>
    <s v="Tweed"/>
    <s v="Richmond - Tweed"/>
    <x v="1"/>
    <x v="1"/>
    <s v="Rural North"/>
    <x v="0"/>
    <x v="0"/>
    <s v="Coed"/>
    <n v="74"/>
    <n v="14"/>
    <s v="Published"/>
    <n v="10.360000000000001"/>
    <m/>
    <n v="980"/>
    <x v="2"/>
    <n v="90"/>
    <x v="2"/>
    <n v="-28.289681000000002"/>
    <n v="153.382374"/>
  </r>
  <r>
    <s v="1792"/>
    <s v="Dungog Public School"/>
    <s v="Dungog"/>
    <s v="Dungog"/>
    <s v="Hunter Valley exc Newcastle"/>
    <x v="1"/>
    <x v="1"/>
    <s v="Regional North and West"/>
    <x v="0"/>
    <x v="0"/>
    <s v="Coed"/>
    <n v="191"/>
    <n v="29"/>
    <s v="Published"/>
    <n v="55.389999999999993"/>
    <m/>
    <n v="914"/>
    <x v="2"/>
    <n v="132"/>
    <x v="1"/>
    <n v="-32.405233000000003"/>
    <n v="151.75770900000001"/>
  </r>
  <r>
    <s v="1793"/>
    <s v="Dungowan Public School"/>
    <s v="Dungowan"/>
    <s v="Tamworth"/>
    <s v="New England and North West"/>
    <x v="2"/>
    <x v="2"/>
    <s v="Rural North"/>
    <x v="0"/>
    <x v="0"/>
    <s v="Coed"/>
    <n v="26"/>
    <m/>
    <s v="Suppressed"/>
    <s v=""/>
    <m/>
    <n v="1004"/>
    <x v="3"/>
    <n v="84"/>
    <x v="2"/>
    <n v="-31.220126"/>
    <n v="151.13269"/>
  </r>
  <r>
    <s v="1797"/>
    <s v="Dunoon Public School"/>
    <s v="Dunoon"/>
    <s v="Lismore"/>
    <s v="Richmond - Tweed"/>
    <x v="1"/>
    <x v="1"/>
    <s v="Rural North"/>
    <x v="0"/>
    <x v="0"/>
    <s v="Coed"/>
    <n v="72"/>
    <m/>
    <s v="Suppressed"/>
    <s v=""/>
    <m/>
    <n v="1037"/>
    <x v="3"/>
    <n v="62"/>
    <x v="2"/>
    <n v="-28.686734999999999"/>
    <n v="153.315495"/>
  </r>
  <r>
    <s v="1799"/>
    <s v="Dural Public School"/>
    <s v="Dural"/>
    <s v="The Hills"/>
    <s v="Sydney - Baulkham Hills and Hawkesbury"/>
    <x v="0"/>
    <x v="0"/>
    <s v="Regional North"/>
    <x v="0"/>
    <x v="0"/>
    <s v="Coed"/>
    <n v="350"/>
    <m/>
    <s v="Suppressed"/>
    <s v=""/>
    <n v="44"/>
    <n v="1102"/>
    <x v="0"/>
    <n v="41"/>
    <x v="0"/>
    <n v="-33.686056999999998"/>
    <n v="151.02639400000001"/>
  </r>
  <r>
    <s v="1801"/>
    <s v="Duranbah Public School"/>
    <s v="Duranbah"/>
    <s v="Tweed"/>
    <s v="Richmond - Tweed"/>
    <x v="1"/>
    <x v="1"/>
    <s v="Rural North"/>
    <x v="0"/>
    <x v="0"/>
    <s v="Coed"/>
    <n v="56"/>
    <m/>
    <s v="Suppressed"/>
    <s v=""/>
    <m/>
    <n v="1058"/>
    <x v="3"/>
    <n v="57"/>
    <x v="2"/>
    <n v="-28.289121000000002"/>
    <n v="153.51688799999999"/>
  </r>
  <r>
    <s v="1802"/>
    <s v="Duri Public School"/>
    <s v="Duri"/>
    <s v="Tamworth"/>
    <s v="New England and North West"/>
    <x v="1"/>
    <x v="1"/>
    <s v="Rural North"/>
    <x v="0"/>
    <x v="0"/>
    <s v="Coed"/>
    <n v="42"/>
    <n v="36"/>
    <s v="Published"/>
    <n v="15.12"/>
    <m/>
    <n v="842"/>
    <x v="1"/>
    <n v="151"/>
    <x v="2"/>
    <n v="-31.221359"/>
    <n v="150.829939"/>
  </r>
  <r>
    <s v="1807"/>
    <s v="Earlwood Public School"/>
    <s v="Earlwood"/>
    <s v="Canterbury-Bankstown"/>
    <s v="Sydney - Inner South West"/>
    <x v="0"/>
    <x v="0"/>
    <s v="Metropolitan South"/>
    <x v="0"/>
    <x v="0"/>
    <s v="Coed"/>
    <n v="600"/>
    <m/>
    <s v="Suppressed"/>
    <s v=""/>
    <n v="74"/>
    <n v="1107"/>
    <x v="0"/>
    <n v="29"/>
    <x v="3"/>
    <n v="-33.928981999999998"/>
    <n v="151.12237999999999"/>
  </r>
  <r>
    <s v="1808"/>
    <s v="Eastern Creek Public School"/>
    <s v="EASTERN CREEK"/>
    <s v="Blacktown"/>
    <s v="Sydney - Blacktown"/>
    <x v="0"/>
    <x v="0"/>
    <s v="Metropolitan South and West"/>
    <x v="0"/>
    <x v="0"/>
    <s v="Coed"/>
    <n v="246"/>
    <n v="9"/>
    <s v="Published"/>
    <n v="22.14"/>
    <n v="63"/>
    <n v="976"/>
    <x v="2"/>
    <n v="114"/>
    <x v="1"/>
    <n v="-33.787013000000002"/>
    <n v="150.85262399999999"/>
  </r>
  <r>
    <s v="1809"/>
    <s v="Panania Public School"/>
    <s v="PANANIA"/>
    <s v="Canterbury-Bankstown"/>
    <s v="Sydney - Inner South West"/>
    <x v="0"/>
    <x v="0"/>
    <s v="Metropolitan South and West"/>
    <x v="0"/>
    <x v="0"/>
    <s v="Coed"/>
    <n v="368"/>
    <n v="2"/>
    <s v="Published"/>
    <n v="7.36"/>
    <n v="44"/>
    <n v="1057"/>
    <x v="3"/>
    <n v="65"/>
    <x v="0"/>
    <n v="-33.965972000000001"/>
    <n v="150.99946"/>
  </r>
  <r>
    <s v="1811"/>
    <s v="Dubbo South Public School"/>
    <s v="Dubbo"/>
    <s v="Dubbo"/>
    <s v="Far West and Orana"/>
    <x v="1"/>
    <x v="1"/>
    <s v="Regional North and West"/>
    <x v="0"/>
    <x v="0"/>
    <s v="Coed"/>
    <n v="570"/>
    <n v="38"/>
    <s v="Published"/>
    <n v="216.6"/>
    <n v="11"/>
    <n v="911"/>
    <x v="2"/>
    <n v="119"/>
    <x v="0"/>
    <n v="-32.263126"/>
    <n v="148.60974899999999"/>
  </r>
  <r>
    <s v="1813"/>
    <s v="Ebenezer Public School"/>
    <s v="EBENEZER"/>
    <s v="Hawkesbury"/>
    <s v="Sydney - Baulkham Hills and Hawkesbury"/>
    <x v="1"/>
    <x v="1"/>
    <s v="Regional North"/>
    <x v="0"/>
    <x v="0"/>
    <s v="Coed"/>
    <n v="85"/>
    <n v="8"/>
    <s v="Published"/>
    <n v="6.8"/>
    <n v="7"/>
    <n v="995"/>
    <x v="2"/>
    <n v="95"/>
    <x v="2"/>
    <n v="-33.530917000000002"/>
    <n v="150.87677400000001"/>
  </r>
  <r>
    <s v="1814"/>
    <s v="Ebor Public School"/>
    <s v="Ebor"/>
    <s v="Armidale"/>
    <s v="New England and North West"/>
    <x v="2"/>
    <x v="2"/>
    <s v="Rural North"/>
    <x v="0"/>
    <x v="0"/>
    <s v="Coed"/>
    <n v="7"/>
    <m/>
    <s v="Suppressed"/>
    <s v=""/>
    <n v="0"/>
    <n v="826"/>
    <x v="1"/>
    <n v="153"/>
    <x v="2"/>
    <n v="-30.403293000000001"/>
    <n v="152.34988200000001"/>
  </r>
  <r>
    <s v="1816"/>
    <s v="Eden Public School"/>
    <s v="Eden"/>
    <s v="Bega Valley"/>
    <s v="Capital Region"/>
    <x v="2"/>
    <x v="2"/>
    <s v="Rural South and West"/>
    <x v="0"/>
    <x v="0"/>
    <s v="Coed"/>
    <n v="256"/>
    <n v="28"/>
    <s v="Published"/>
    <n v="71.680000000000007"/>
    <n v="5"/>
    <n v="906"/>
    <x v="2"/>
    <n v="136"/>
    <x v="1"/>
    <n v="-37.063271"/>
    <n v="149.906688"/>
  </r>
  <r>
    <s v="1822"/>
    <s v="Congewai Public School"/>
    <s v="CONGEWAI"/>
    <s v="Cessnock"/>
    <s v="Hunter Valley exc Newcastle"/>
    <x v="1"/>
    <x v="1"/>
    <s v="Regional North"/>
    <x v="0"/>
    <x v="0"/>
    <s v="Coed"/>
    <n v="11"/>
    <m/>
    <s v="Suppressed"/>
    <s v=""/>
    <m/>
    <n v="888"/>
    <x v="1"/>
    <n v="154"/>
    <x v="2"/>
    <n v="-32.958736000000002"/>
    <n v="151.273875"/>
  </r>
  <r>
    <s v="1823"/>
    <s v="Eglinton Public School"/>
    <s v="Eglinton"/>
    <s v="Bathurst"/>
    <s v="Central West"/>
    <x v="1"/>
    <x v="1"/>
    <s v="Regional North and West"/>
    <x v="0"/>
    <x v="0"/>
    <s v="Coed"/>
    <n v="406"/>
    <n v="14"/>
    <s v="Published"/>
    <n v="56.84"/>
    <n v="5"/>
    <n v="986"/>
    <x v="2"/>
    <n v="93"/>
    <x v="0"/>
    <n v="-33.377519999999997"/>
    <n v="149.539343"/>
  </r>
  <r>
    <s v="1824"/>
    <s v="Elands Public School"/>
    <s v="Elands"/>
    <s v="Mid-Coast"/>
    <s v="Mid North Coast"/>
    <x v="2"/>
    <x v="2"/>
    <s v="Regional North and West"/>
    <x v="0"/>
    <x v="0"/>
    <s v="Coed"/>
    <n v="15"/>
    <m/>
    <s v="Suppressed"/>
    <s v=""/>
    <m/>
    <n v="976"/>
    <x v="2"/>
    <n v="115"/>
    <x v="2"/>
    <n v="-31.619382999999999"/>
    <n v="152.29229100000001"/>
  </r>
  <r>
    <s v="1826"/>
    <s v="Ellalong Public School"/>
    <s v="ELLALONG"/>
    <s v="Cessnock"/>
    <s v="Hunter Valley exc Newcastle"/>
    <x v="1"/>
    <x v="1"/>
    <s v="Regional North"/>
    <x v="0"/>
    <x v="0"/>
    <s v="Coed"/>
    <n v="114"/>
    <n v="28"/>
    <s v="Published"/>
    <n v="31.92"/>
    <m/>
    <n v="903"/>
    <x v="2"/>
    <n v="136"/>
    <x v="1"/>
    <n v="-32.914749"/>
    <n v="151.31197399999999"/>
  </r>
  <r>
    <s v="1830"/>
    <s v="Ellerston Public School"/>
    <s v="Ellerston"/>
    <s v="Upper Hunter"/>
    <s v="Hunter Valley exc Newcastle"/>
    <x v="2"/>
    <x v="2"/>
    <s v="Regional North and West"/>
    <x v="0"/>
    <x v="0"/>
    <s v="Coed"/>
    <n v="11"/>
    <n v="0"/>
    <s v="Published"/>
    <n v="0"/>
    <n v="0"/>
    <n v="935"/>
    <x v="2"/>
    <n v="124"/>
    <x v="2"/>
    <n v="-31.817730000000001"/>
    <n v="151.30436900000001"/>
  </r>
  <r>
    <s v="1835"/>
    <s v="Eltham Public School"/>
    <s v="Eltham"/>
    <s v="Lismore"/>
    <s v="Richmond - Tweed"/>
    <x v="1"/>
    <x v="1"/>
    <s v="Rural North"/>
    <x v="0"/>
    <x v="0"/>
    <s v="Coed"/>
    <n v="59"/>
    <m/>
    <s v="Suppressed"/>
    <s v=""/>
    <m/>
    <n v="1075"/>
    <x v="3"/>
    <n v="64"/>
    <x v="2"/>
    <n v="-28.763663000000001"/>
    <n v="153.40854100000001"/>
  </r>
  <r>
    <s v="1838"/>
    <s v="Emmaville Central School"/>
    <s v="Emmaville"/>
    <s v="Glen Innes Severn"/>
    <s v="New England and North West"/>
    <x v="2"/>
    <x v="2"/>
    <s v="Rural North"/>
    <x v="1"/>
    <x v="0"/>
    <s v="Coed"/>
    <n v="94"/>
    <n v="28"/>
    <s v="Published"/>
    <n v="26.320000000000004"/>
    <m/>
    <n v="886"/>
    <x v="1"/>
    <n v="145"/>
    <x v="2"/>
    <n v="-29.446152000000001"/>
    <n v="151.60166899999999"/>
  </r>
  <r>
    <s v="1839"/>
    <s v="Empire Bay Public School"/>
    <s v="EMPIRE BAY"/>
    <s v="Central Coast (NSW)"/>
    <s v="Central Coast"/>
    <x v="0"/>
    <x v="0"/>
    <s v="Regional North"/>
    <x v="0"/>
    <x v="0"/>
    <s v="Coed"/>
    <n v="426"/>
    <n v="7"/>
    <s v="Published"/>
    <n v="29.820000000000004"/>
    <n v="7"/>
    <n v="1039"/>
    <x v="3"/>
    <n v="73"/>
    <x v="0"/>
    <n v="-33.504316000000003"/>
    <n v="151.362889"/>
  </r>
  <r>
    <s v="1840"/>
    <s v="Empire Vale Public School"/>
    <s v="Empire Vale"/>
    <s v="Ballina"/>
    <s v="Richmond - Tweed"/>
    <x v="1"/>
    <x v="1"/>
    <s v="Rural North"/>
    <x v="0"/>
    <x v="0"/>
    <s v="Coed"/>
    <n v="18"/>
    <m/>
    <s v="Suppressed"/>
    <s v=""/>
    <m/>
    <n v="941"/>
    <x v="2"/>
    <n v="90"/>
    <x v="2"/>
    <n v="-28.915113999999999"/>
    <n v="153.50605899999999"/>
  </r>
  <r>
    <s v="1841"/>
    <s v="Emu Plains Public School"/>
    <s v="Emu Plains"/>
    <s v="Penrith"/>
    <s v="Sydney - Outer West and Blue Mountains"/>
    <x v="0"/>
    <x v="0"/>
    <s v="Metropolitan South and West"/>
    <x v="0"/>
    <x v="0"/>
    <s v="Coed"/>
    <n v="406"/>
    <n v="13"/>
    <s v="Published"/>
    <n v="52.78"/>
    <n v="11"/>
    <n v="993"/>
    <x v="2"/>
    <n v="98"/>
    <x v="0"/>
    <n v="-33.755617000000001"/>
    <n v="150.65773899999999"/>
  </r>
  <r>
    <s v="1844"/>
    <s v="Enfield Public School"/>
    <s v="Enfield"/>
    <s v="Burwood"/>
    <s v="Sydney - Inner West"/>
    <x v="0"/>
    <x v="0"/>
    <s v="Metropolitan South"/>
    <x v="0"/>
    <x v="0"/>
    <s v="Coed"/>
    <n v="199"/>
    <m/>
    <s v="Suppressed"/>
    <s v=""/>
    <n v="67"/>
    <n v="1062"/>
    <x v="3"/>
    <n v="54"/>
    <x v="1"/>
    <n v="-33.888598000000002"/>
    <n v="151.094528"/>
  </r>
  <r>
    <s v="1845"/>
    <s v="Engadine Public School"/>
    <s v="Engadine"/>
    <s v="Sutherland"/>
    <s v="Sydney - Sutherland"/>
    <x v="0"/>
    <x v="0"/>
    <s v="Metropolitan South and West"/>
    <x v="0"/>
    <x v="0"/>
    <s v="Coed"/>
    <n v="411"/>
    <n v="2"/>
    <s v="Published"/>
    <n v="8.2200000000000006"/>
    <n v="18"/>
    <n v="1059"/>
    <x v="3"/>
    <n v="62"/>
    <x v="0"/>
    <n v="-34.06335"/>
    <n v="151.01243099999999"/>
  </r>
  <r>
    <s v="1849"/>
    <s v="The Entrance Public School"/>
    <s v="The Entrance"/>
    <s v="Central Coast (NSW)"/>
    <s v="Central Coast"/>
    <x v="0"/>
    <x v="0"/>
    <s v="Regional North"/>
    <x v="0"/>
    <x v="0"/>
    <s v="Coed"/>
    <n v="422"/>
    <n v="26"/>
    <s v="Published"/>
    <n v="109.72"/>
    <n v="13"/>
    <n v="923"/>
    <x v="2"/>
    <n v="131"/>
    <x v="0"/>
    <n v="-33.346741000000002"/>
    <n v="151.493009"/>
  </r>
  <r>
    <s v="1850"/>
    <s v="Epping Public School"/>
    <s v="EPPING"/>
    <s v="Parramatta"/>
    <s v="Sydney - Ryde"/>
    <x v="0"/>
    <x v="0"/>
    <s v="Metropolitan North"/>
    <x v="0"/>
    <x v="0"/>
    <s v="Coed"/>
    <n v="790"/>
    <n v="0"/>
    <s v="Published"/>
    <n v="0"/>
    <n v="94"/>
    <n v="1147"/>
    <x v="0"/>
    <n v="5"/>
    <x v="3"/>
    <n v="-33.770727000000001"/>
    <n v="151.08787799999999"/>
  </r>
  <r>
    <s v="1851"/>
    <s v="Epping West Public School"/>
    <s v="EPPING"/>
    <s v="Parramatta"/>
    <s v="Sydney - Ryde"/>
    <x v="0"/>
    <x v="0"/>
    <s v="Metropolitan North"/>
    <x v="0"/>
    <x v="0"/>
    <s v="Coed"/>
    <n v="994"/>
    <m/>
    <s v="Suppressed"/>
    <s v=""/>
    <n v="94"/>
    <n v="1131"/>
    <x v="0"/>
    <n v="11"/>
    <x v="3"/>
    <n v="-33.772789000000003"/>
    <n v="151.068048"/>
  </r>
  <r>
    <s v="1856"/>
    <s v="Erina Heights Public School"/>
    <s v="Erina Heights"/>
    <s v="Central Coast (NSW)"/>
    <s v="Central Coast"/>
    <x v="0"/>
    <x v="0"/>
    <s v="Regional North"/>
    <x v="0"/>
    <x v="0"/>
    <s v="Coed"/>
    <n v="254"/>
    <n v="4"/>
    <s v="Published"/>
    <n v="10.16"/>
    <n v="8"/>
    <n v="1094"/>
    <x v="3"/>
    <n v="39"/>
    <x v="1"/>
    <n v="-33.428027999999998"/>
    <n v="151.41358500000001"/>
  </r>
  <r>
    <s v="1857"/>
    <s v="Woodport Public School"/>
    <s v="Erina"/>
    <s v="Central Coast (NSW)"/>
    <s v="Central Coast"/>
    <x v="0"/>
    <x v="0"/>
    <s v="Regional North"/>
    <x v="0"/>
    <x v="0"/>
    <s v="Coed"/>
    <n v="429"/>
    <n v="7"/>
    <s v="Published"/>
    <n v="30.03"/>
    <n v="19"/>
    <n v="1041"/>
    <x v="3"/>
    <n v="77"/>
    <x v="0"/>
    <n v="-33.439346999999998"/>
    <n v="151.37849"/>
  </r>
  <r>
    <s v="1860"/>
    <s v="Ermington Public School"/>
    <s v="West Ryde"/>
    <s v="Ryde"/>
    <s v="Sydney - Ryde"/>
    <x v="0"/>
    <x v="0"/>
    <s v="Metropolitan North"/>
    <x v="0"/>
    <x v="0"/>
    <s v="Coed"/>
    <n v="472"/>
    <n v="2"/>
    <s v="Published"/>
    <n v="9.44"/>
    <n v="76"/>
    <n v="1117"/>
    <x v="0"/>
    <n v="26"/>
    <x v="0"/>
    <n v="-33.804749000000001"/>
    <n v="151.071574"/>
  </r>
  <r>
    <s v="1864"/>
    <s v="Ettalong Public School"/>
    <s v="Ettalong Beach"/>
    <s v="Central Coast (NSW)"/>
    <s v="Central Coast"/>
    <x v="0"/>
    <x v="0"/>
    <s v="Regional North"/>
    <x v="0"/>
    <x v="0"/>
    <s v="Coed"/>
    <n v="490"/>
    <n v="13"/>
    <s v="Published"/>
    <n v="63.7"/>
    <n v="13"/>
    <n v="975"/>
    <x v="2"/>
    <n v="107"/>
    <x v="0"/>
    <n v="-33.513539000000002"/>
    <n v="151.33270200000001"/>
  </r>
  <r>
    <s v="1867"/>
    <s v="Euabalong West Public School"/>
    <s v="EUABALONG WEST"/>
    <s v="Cobar"/>
    <s v="Far West and Orana"/>
    <x v="3"/>
    <x v="3"/>
    <s v="Rural South and West"/>
    <x v="0"/>
    <x v="0"/>
    <s v="Coed"/>
    <n v="15"/>
    <n v="73"/>
    <s v="Published"/>
    <n v="10.95"/>
    <n v="0"/>
    <n v="759"/>
    <x v="1"/>
    <n v="154"/>
    <x v="2"/>
    <n v="-33.05583"/>
    <n v="146.39712800000001"/>
  </r>
  <r>
    <s v="1870"/>
    <s v="Eugowra Public School"/>
    <s v="Eugowra"/>
    <s v="Cabonne"/>
    <s v="Central West"/>
    <x v="2"/>
    <x v="2"/>
    <s v="Rural South and West"/>
    <x v="0"/>
    <x v="0"/>
    <s v="Coed"/>
    <n v="32"/>
    <n v="22"/>
    <s v="Published"/>
    <n v="7.04"/>
    <n v="0"/>
    <n v="938"/>
    <x v="2"/>
    <n v="114"/>
    <x v="2"/>
    <n v="-33.423082000000001"/>
    <n v="148.36928599999999"/>
  </r>
  <r>
    <s v="1873"/>
    <s v="Eumungerie Public School"/>
    <s v="Eumungerie"/>
    <s v="Dubbo"/>
    <s v="Far West and Orana"/>
    <x v="2"/>
    <x v="2"/>
    <s v="Regional North and West"/>
    <x v="0"/>
    <x v="0"/>
    <s v="Coed"/>
    <n v="11"/>
    <m/>
    <s v="Suppressed"/>
    <s v=""/>
    <n v="0"/>
    <n v="879"/>
    <x v="1"/>
    <n v="126"/>
    <x v="2"/>
    <n v="-31.951152"/>
    <n v="148.62107499999999"/>
  </r>
  <r>
    <s v="1874"/>
    <s v="Eungai Public School"/>
    <s v="Eungai Creek"/>
    <s v="Nambucca Valley"/>
    <s v="Mid North Coast"/>
    <x v="1"/>
    <x v="1"/>
    <s v="Regional North and West"/>
    <x v="0"/>
    <x v="0"/>
    <s v="Coed"/>
    <n v="57"/>
    <n v="21"/>
    <s v="Published"/>
    <n v="11.969999999999999"/>
    <m/>
    <n v="926"/>
    <x v="2"/>
    <n v="117"/>
    <x v="2"/>
    <n v="-30.832070999999999"/>
    <n v="152.87428399999999"/>
  </r>
  <r>
    <s v="1879"/>
    <s v="Eureka Public School"/>
    <s v="Eureka"/>
    <s v="Byron"/>
    <s v="Richmond - Tweed"/>
    <x v="1"/>
    <x v="1"/>
    <s v="Rural North"/>
    <x v="0"/>
    <x v="0"/>
    <s v="Coed"/>
    <n v="32"/>
    <n v="0"/>
    <s v="Published"/>
    <n v="0"/>
    <m/>
    <n v="1084"/>
    <x v="3"/>
    <n v="26"/>
    <x v="2"/>
    <n v="-28.687657000000002"/>
    <n v="153.439223"/>
  </r>
  <r>
    <s v="1883"/>
    <s v="Eurongilly Public School"/>
    <s v="EURONGILLY"/>
    <s v="Junee"/>
    <s v="Riverina"/>
    <x v="2"/>
    <x v="2"/>
    <s v="Rural South and West"/>
    <x v="0"/>
    <x v="0"/>
    <s v="Coed"/>
    <n v="17"/>
    <n v="0"/>
    <s v="Published"/>
    <n v="0"/>
    <n v="0"/>
    <n v="1017"/>
    <x v="3"/>
    <n v="55"/>
    <x v="2"/>
    <n v="-34.910170000000001"/>
    <n v="147.780957"/>
  </r>
  <r>
    <s v="1885"/>
    <s v="Euston Public School"/>
    <s v="Euston"/>
    <s v="Balranald"/>
    <s v="Murray"/>
    <x v="2"/>
    <x v="2"/>
    <s v="Rural South and West"/>
    <x v="0"/>
    <x v="0"/>
    <s v="Coed"/>
    <n v="105"/>
    <n v="10"/>
    <s v="Published"/>
    <n v="10.5"/>
    <n v="31"/>
    <n v="929"/>
    <x v="2"/>
    <n v="147"/>
    <x v="1"/>
    <n v="-34.575588000000003"/>
    <n v="142.744248"/>
  </r>
  <r>
    <s v="1886"/>
    <s v="Evans River Community School"/>
    <s v="EVANS HEAD"/>
    <s v="Richmond Valley"/>
    <s v="Richmond - Tweed"/>
    <x v="1"/>
    <x v="1"/>
    <s v="Rural North"/>
    <x v="1"/>
    <x v="0"/>
    <s v="Coed"/>
    <n v="529.6"/>
    <n v="18"/>
    <s v="Published"/>
    <n v="95.328000000000003"/>
    <n v="7"/>
    <n v="955"/>
    <x v="2"/>
    <n v="110"/>
    <x v="0"/>
    <n v="-29.113492000000001"/>
    <n v="153.42468299999999"/>
  </r>
  <r>
    <s v="1890"/>
    <s v="Excelsior Public School"/>
    <s v="Castle Hill"/>
    <s v="The Hills"/>
    <s v="Sydney - Baulkham Hills and Hawkesbury"/>
    <x v="0"/>
    <x v="0"/>
    <s v="Metropolitan North"/>
    <x v="0"/>
    <x v="0"/>
    <s v="Coed"/>
    <n v="561"/>
    <m/>
    <s v="Suppressed"/>
    <s v=""/>
    <n v="72"/>
    <n v="1150"/>
    <x v="0"/>
    <n v="5"/>
    <x v="0"/>
    <n v="-33.740443999999997"/>
    <n v="150.990408"/>
  </r>
  <r>
    <s v="1891"/>
    <s v="Exeter Public School"/>
    <s v="Exeter"/>
    <s v="Wingecarribee"/>
    <s v="Southern Highlands and Shoalhaven"/>
    <x v="1"/>
    <x v="1"/>
    <s v="Regional South and Connected Communities"/>
    <x v="0"/>
    <x v="0"/>
    <s v="Coed"/>
    <n v="123"/>
    <m/>
    <s v="Suppressed"/>
    <s v=""/>
    <n v="11"/>
    <n v="1030"/>
    <x v="3"/>
    <n v="81"/>
    <x v="1"/>
    <n v="-34.616120000000002"/>
    <n v="150.32182800000001"/>
  </r>
  <r>
    <s v="1894"/>
    <s v="Fairfax Public School"/>
    <s v="Maules Creek"/>
    <s v="Narrabri"/>
    <s v="New England and North West"/>
    <x v="2"/>
    <x v="2"/>
    <s v="Rural North"/>
    <x v="0"/>
    <x v="0"/>
    <s v="Coed"/>
    <n v="3"/>
    <n v="0"/>
    <s v="Published"/>
    <n v="0"/>
    <n v="0"/>
    <m/>
    <x v="4"/>
    <n v="6"/>
    <x v="2"/>
    <n v="-30.493351000000001"/>
    <n v="150.13126500000001"/>
  </r>
  <r>
    <s v="1895"/>
    <s v="Fairfield Public School"/>
    <s v="Fairfield"/>
    <s v="Fairfield"/>
    <s v="Sydney - South West"/>
    <x v="0"/>
    <x v="0"/>
    <s v="Metropolitan South and West"/>
    <x v="0"/>
    <x v="0"/>
    <s v="Coed"/>
    <n v="386"/>
    <m/>
    <s v="Suppressed"/>
    <s v=""/>
    <n v="94"/>
    <n v="901"/>
    <x v="2"/>
    <n v="179"/>
    <x v="0"/>
    <n v="-33.866847"/>
    <n v="150.955409"/>
  </r>
  <r>
    <s v="1896"/>
    <s v="Fairfield West Public School"/>
    <s v="Fairfield West"/>
    <s v="Fairfield"/>
    <s v="Sydney - South West"/>
    <x v="0"/>
    <x v="0"/>
    <s v="Metropolitan South and West"/>
    <x v="0"/>
    <x v="0"/>
    <s v="Coed"/>
    <n v="545"/>
    <n v="2"/>
    <s v="Published"/>
    <n v="10.9"/>
    <n v="93"/>
    <n v="914"/>
    <x v="2"/>
    <n v="180"/>
    <x v="0"/>
    <n v="-33.868037000000001"/>
    <n v="150.92476199999999"/>
  </r>
  <r>
    <s v="1898"/>
    <s v="Fairy Meadow Public School"/>
    <s v="Fairy Meadow"/>
    <s v="Wollongong"/>
    <s v="Illawarra"/>
    <x v="0"/>
    <x v="0"/>
    <s v="Regional South and Connected Communities"/>
    <x v="0"/>
    <x v="0"/>
    <s v="Coed"/>
    <n v="342"/>
    <n v="10"/>
    <s v="Published"/>
    <n v="34.200000000000003"/>
    <n v="26"/>
    <n v="1002"/>
    <x v="3"/>
    <n v="87"/>
    <x v="0"/>
    <n v="-34.390469000000003"/>
    <n v="150.892302"/>
  </r>
  <r>
    <s v="1901"/>
    <s v="Falls Creek Public School"/>
    <s v="Falls Creek"/>
    <s v="Shoalhaven"/>
    <s v="Southern Highlands and Shoalhaven"/>
    <x v="1"/>
    <x v="1"/>
    <s v="Regional South and Connected Communities"/>
    <x v="0"/>
    <x v="0"/>
    <s v="Coed"/>
    <n v="59"/>
    <n v="20"/>
    <s v="Published"/>
    <n v="11.8"/>
    <n v="12"/>
    <n v="921"/>
    <x v="2"/>
    <n v="118"/>
    <x v="2"/>
    <n v="-34.965439000000003"/>
    <n v="150.593403"/>
  </r>
  <r>
    <s v="1904"/>
    <s v="Fassifern Public School"/>
    <s v="FASSIFERN"/>
    <s v="Lake Macquarie"/>
    <s v="Newcastle and Lake Macquarie"/>
    <x v="0"/>
    <x v="0"/>
    <s v="Regional North"/>
    <x v="0"/>
    <x v="0"/>
    <s v="Coed"/>
    <n v="59"/>
    <n v="27"/>
    <s v="Published"/>
    <n v="15.930000000000001"/>
    <n v="13"/>
    <n v="947"/>
    <x v="2"/>
    <n v="119"/>
    <x v="2"/>
    <n v="-32.983398000000001"/>
    <n v="151.58276900000001"/>
  </r>
  <r>
    <s v="1915"/>
    <s v="Fingal Head Public School"/>
    <s v="Fingal Head"/>
    <s v="Tweed"/>
    <s v="Richmond - Tweed"/>
    <x v="0"/>
    <x v="0"/>
    <s v="Rural North"/>
    <x v="0"/>
    <x v="0"/>
    <s v="Coed"/>
    <n v="33"/>
    <n v="33"/>
    <s v="Published"/>
    <n v="10.89"/>
    <m/>
    <n v="934"/>
    <x v="2"/>
    <n v="118"/>
    <x v="2"/>
    <n v="-28.196814"/>
    <n v="153.565122"/>
  </r>
  <r>
    <s v="1920"/>
    <s v="Five Dock Public School"/>
    <s v="Five Dock"/>
    <s v="Canada Bay"/>
    <s v="Sydney - Inner West"/>
    <x v="0"/>
    <x v="0"/>
    <s v="Metropolitan South"/>
    <x v="0"/>
    <x v="0"/>
    <s v="Coed"/>
    <n v="314"/>
    <n v="4"/>
    <s v="Published"/>
    <n v="12.56"/>
    <n v="43"/>
    <n v="1082"/>
    <x v="3"/>
    <n v="45"/>
    <x v="0"/>
    <n v="-33.866858999999998"/>
    <n v="151.127318"/>
  </r>
  <r>
    <s v="1921"/>
    <s v="Lord Howe Island Central School"/>
    <s v="Lord Howe Island"/>
    <s v="Unincorporated NSW"/>
    <s v="Mid North Coast"/>
    <x v="4"/>
    <x v="4"/>
    <s v="Regional North and West"/>
    <x v="1"/>
    <x v="0"/>
    <s v="Coed"/>
    <n v="35"/>
    <n v="0"/>
    <s v="Published"/>
    <n v="0"/>
    <n v="29"/>
    <n v="1009"/>
    <x v="3"/>
    <n v="55"/>
    <x v="2"/>
    <n v="-31.530072000000001"/>
    <n v="159.06903199999999"/>
  </r>
  <r>
    <s v="1926"/>
    <s v="Forbes Public School"/>
    <s v="FORBES"/>
    <s v="Forbes"/>
    <s v="Central West"/>
    <x v="2"/>
    <x v="2"/>
    <s v="Rural South and West"/>
    <x v="0"/>
    <x v="0"/>
    <s v="Coed"/>
    <n v="356"/>
    <n v="29"/>
    <s v="Published"/>
    <n v="103.24"/>
    <n v="4"/>
    <n v="940"/>
    <x v="2"/>
    <n v="104"/>
    <x v="0"/>
    <n v="-33.387948000000002"/>
    <n v="148.00638499999999"/>
  </r>
  <r>
    <s v="1930"/>
    <s v="Forest Hill Public School"/>
    <s v="Forest Hill"/>
    <s v="Wagga Wagga"/>
    <s v="Riverina"/>
    <x v="1"/>
    <x v="1"/>
    <s v="Rural South and West"/>
    <x v="0"/>
    <x v="0"/>
    <s v="Coed"/>
    <n v="159"/>
    <n v="21"/>
    <s v="Published"/>
    <n v="33.39"/>
    <n v="11"/>
    <n v="941"/>
    <x v="2"/>
    <n v="113"/>
    <x v="1"/>
    <n v="-35.147874999999999"/>
    <n v="147.46700000000001"/>
  </r>
  <r>
    <s v="1932"/>
    <s v="Forest Lodge Public School"/>
    <s v="Forest Lodge"/>
    <s v="Sydney"/>
    <s v="Sydney - City and Inner South"/>
    <x v="0"/>
    <x v="0"/>
    <s v="Metropolitan South"/>
    <x v="0"/>
    <x v="0"/>
    <s v="Coed"/>
    <n v="307"/>
    <n v="2"/>
    <s v="Published"/>
    <n v="6.1400000000000006"/>
    <n v="44"/>
    <n v="1161"/>
    <x v="0"/>
    <n v="5"/>
    <x v="0"/>
    <n v="-33.882168999999998"/>
    <n v="151.18159700000001"/>
  </r>
  <r>
    <s v="1936"/>
    <s v="Forster Public School"/>
    <s v="Forster"/>
    <s v="Mid-Coast"/>
    <s v="Mid North Coast"/>
    <x v="1"/>
    <x v="1"/>
    <s v="Regional North and West"/>
    <x v="0"/>
    <x v="0"/>
    <s v="Coed"/>
    <n v="573"/>
    <n v="26"/>
    <s v="Published"/>
    <n v="148.98000000000002"/>
    <n v="8"/>
    <n v="934"/>
    <x v="2"/>
    <n v="111"/>
    <x v="0"/>
    <n v="-32.182470000000002"/>
    <n v="152.52424600000001"/>
  </r>
  <r>
    <s v="1937"/>
    <s v="Fort Street Public School"/>
    <s v="Millers Point"/>
    <s v="Sydney"/>
    <s v="Sydney - City and Inner South"/>
    <x v="0"/>
    <x v="0"/>
    <s v="Metropolitan South"/>
    <x v="0"/>
    <x v="0"/>
    <s v="Coed"/>
    <n v="284"/>
    <m/>
    <s v="Suppressed"/>
    <s v=""/>
    <n v="84"/>
    <n v="1094"/>
    <x v="3"/>
    <n v="26"/>
    <x v="1"/>
    <n v="-33.860427000000001"/>
    <n v="151.204871"/>
  </r>
  <r>
    <s v="1943"/>
    <s v="Frederickton Public School"/>
    <s v="Frederickton"/>
    <s v="Kempsey"/>
    <s v="Mid North Coast"/>
    <x v="1"/>
    <x v="1"/>
    <s v="Regional North and West"/>
    <x v="0"/>
    <x v="0"/>
    <s v="Coed"/>
    <n v="130"/>
    <n v="35"/>
    <s v="Published"/>
    <n v="45.5"/>
    <m/>
    <n v="890"/>
    <x v="1"/>
    <n v="138"/>
    <x v="1"/>
    <n v="-31.033583"/>
    <n v="152.87935300000001"/>
  </r>
  <r>
    <s v="1944"/>
    <s v="Freemans Reach Public School"/>
    <s v="FREEMANS REACH"/>
    <s v="Hawkesbury"/>
    <s v="Sydney - Baulkham Hills and Hawkesbury"/>
    <x v="0"/>
    <x v="0"/>
    <s v="Regional North"/>
    <x v="0"/>
    <x v="0"/>
    <s v="Coed"/>
    <n v="194"/>
    <n v="12"/>
    <s v="Published"/>
    <n v="23.279999999999998"/>
    <n v="8"/>
    <n v="957"/>
    <x v="2"/>
    <n v="113"/>
    <x v="1"/>
    <n v="-33.558697000000002"/>
    <n v="150.79930899999999"/>
  </r>
  <r>
    <s v="1946"/>
    <s v="Frenchs Forest Public School"/>
    <s v="Frenchs Forest"/>
    <s v="Northern Beaches"/>
    <s v="Sydney - Northern Beaches"/>
    <x v="0"/>
    <x v="0"/>
    <s v="Metropolitan North"/>
    <x v="0"/>
    <x v="0"/>
    <s v="Coed"/>
    <n v="218"/>
    <n v="0"/>
    <s v="Published"/>
    <n v="0"/>
    <n v="27"/>
    <n v="1123"/>
    <x v="0"/>
    <n v="22"/>
    <x v="1"/>
    <n v="-33.751516000000002"/>
    <n v="151.224695"/>
  </r>
  <r>
    <s v="1952"/>
    <s v="Galston Public School"/>
    <s v="Galston"/>
    <s v="Hornsby"/>
    <s v="Sydney - Baulkham Hills and Hawkesbury"/>
    <x v="0"/>
    <x v="0"/>
    <s v="Regional North"/>
    <x v="0"/>
    <x v="0"/>
    <s v="Coed"/>
    <n v="147"/>
    <m/>
    <s v="Suppressed"/>
    <s v=""/>
    <n v="11"/>
    <n v="1042"/>
    <x v="3"/>
    <n v="78"/>
    <x v="1"/>
    <n v="-33.648197000000003"/>
    <n v="151.04517000000001"/>
  </r>
  <r>
    <s v="1954"/>
    <s v="Ganmain Public School"/>
    <s v="Ganmain"/>
    <s v="Coolamon"/>
    <s v="Riverina"/>
    <x v="2"/>
    <x v="2"/>
    <s v="Rural South and West"/>
    <x v="0"/>
    <x v="0"/>
    <s v="Coed"/>
    <n v="25"/>
    <m/>
    <s v="Suppressed"/>
    <s v=""/>
    <m/>
    <n v="917"/>
    <x v="2"/>
    <n v="127"/>
    <x v="2"/>
    <n v="-34.796923"/>
    <n v="147.04003399999999"/>
  </r>
  <r>
    <s v="1956"/>
    <s v="Garah Public School"/>
    <s v="Garah"/>
    <s v="Moree Plains"/>
    <s v="New England and North West"/>
    <x v="3"/>
    <x v="3"/>
    <s v="Rural North"/>
    <x v="0"/>
    <x v="0"/>
    <s v="Coed"/>
    <n v="14"/>
    <m/>
    <s v="Suppressed"/>
    <s v=""/>
    <n v="0"/>
    <n v="933"/>
    <x v="2"/>
    <n v="115"/>
    <x v="2"/>
    <n v="-29.077176999999999"/>
    <n v="149.634928"/>
  </r>
  <r>
    <s v="1969"/>
    <s v="Gerogery Public School"/>
    <s v="GEROGERY"/>
    <s v="Greater Hume"/>
    <s v="Murray"/>
    <x v="1"/>
    <x v="1"/>
    <s v="Rural South and West"/>
    <x v="0"/>
    <x v="0"/>
    <s v="Coed"/>
    <n v="13"/>
    <n v="0"/>
    <s v="Published"/>
    <n v="0"/>
    <n v="0"/>
    <n v="942"/>
    <x v="2"/>
    <n v="152"/>
    <x v="2"/>
    <n v="-35.832129999999999"/>
    <n v="146.998143"/>
  </r>
  <r>
    <s v="1971"/>
    <s v="Gerringong Public School"/>
    <s v="Gerringong"/>
    <s v="Kiama"/>
    <s v="Illawarra"/>
    <x v="1"/>
    <x v="1"/>
    <s v="Regional South and Connected Communities"/>
    <x v="0"/>
    <x v="0"/>
    <s v="Coed"/>
    <n v="378"/>
    <n v="4"/>
    <s v="Published"/>
    <n v="15.120000000000001"/>
    <n v="6"/>
    <n v="1091"/>
    <x v="3"/>
    <n v="42"/>
    <x v="0"/>
    <n v="-34.749383999999999"/>
    <n v="150.82149899999999"/>
  </r>
  <r>
    <s v="1972"/>
    <s v="Geurie Public School"/>
    <s v="GEURIE"/>
    <s v="Dubbo"/>
    <s v="Far West and Orana"/>
    <x v="2"/>
    <x v="2"/>
    <s v="Regional North and West"/>
    <x v="0"/>
    <x v="0"/>
    <s v="Coed"/>
    <n v="33"/>
    <n v="45"/>
    <s v="Published"/>
    <n v="14.85"/>
    <m/>
    <n v="860"/>
    <x v="1"/>
    <n v="129"/>
    <x v="2"/>
    <n v="-32.396099999999997"/>
    <n v="148.82945000000001"/>
  </r>
  <r>
    <s v="1974"/>
    <s v="Sandy Hollow Public School"/>
    <s v="Sandy Hollow"/>
    <s v="Muswellbrook"/>
    <s v="Hunter Valley exc Newcastle"/>
    <x v="1"/>
    <x v="1"/>
    <s v="Regional North and West"/>
    <x v="0"/>
    <x v="0"/>
    <s v="Coed"/>
    <n v="23"/>
    <n v="43"/>
    <s v="Published"/>
    <n v="9.89"/>
    <m/>
    <n v="814"/>
    <x v="1"/>
    <n v="189"/>
    <x v="2"/>
    <n v="-32.336471000000003"/>
    <n v="150.569007"/>
  </r>
  <r>
    <s v="1978"/>
    <s v="Gilgai Public School"/>
    <s v="Gilgai"/>
    <s v="Inverell"/>
    <s v="New England and North West"/>
    <x v="2"/>
    <x v="2"/>
    <s v="Rural North"/>
    <x v="0"/>
    <x v="0"/>
    <s v="Coed"/>
    <n v="42"/>
    <n v="45"/>
    <s v="Published"/>
    <n v="18.900000000000002"/>
    <m/>
    <n v="843"/>
    <x v="1"/>
    <n v="156"/>
    <x v="2"/>
    <n v="-29.852694"/>
    <n v="151.115555"/>
  </r>
  <r>
    <s v="1979"/>
    <s v="Gilgandra Public School"/>
    <s v="Gilgandra"/>
    <s v="Gilgandra"/>
    <s v="Far West and Orana"/>
    <x v="2"/>
    <x v="2"/>
    <s v="Regional North and West"/>
    <x v="0"/>
    <x v="0"/>
    <s v="Coed"/>
    <n v="198"/>
    <n v="55"/>
    <s v="Published"/>
    <n v="108.9"/>
    <n v="5"/>
    <n v="815"/>
    <x v="1"/>
    <n v="162"/>
    <x v="1"/>
    <n v="-31.707981"/>
    <n v="148.66463999999999"/>
  </r>
  <r>
    <s v="1982"/>
    <s v="Gillieston Public School"/>
    <s v="Gillieston Heights"/>
    <s v="Maitland"/>
    <s v="Hunter Valley exc Newcastle"/>
    <x v="0"/>
    <x v="0"/>
    <s v="Regional North and West"/>
    <x v="0"/>
    <x v="0"/>
    <s v="Coed"/>
    <n v="404"/>
    <n v="22"/>
    <s v="Published"/>
    <n v="88.88"/>
    <n v="10"/>
    <n v="922"/>
    <x v="2"/>
    <n v="123"/>
    <x v="0"/>
    <n v="-32.752319999999997"/>
    <n v="151.53071299999999"/>
  </r>
  <r>
    <s v="1986"/>
    <s v="Girilambone Public School"/>
    <s v="Girilambone"/>
    <s v="Bogan"/>
    <s v="Far West and Orana"/>
    <x v="3"/>
    <x v="3"/>
    <s v="Rural South and West"/>
    <x v="0"/>
    <x v="0"/>
    <s v="Coed"/>
    <n v="14"/>
    <m/>
    <s v="Suppressed"/>
    <s v=""/>
    <n v="0"/>
    <n v="915"/>
    <x v="2"/>
    <n v="100"/>
    <x v="2"/>
    <n v="-31.249669999999998"/>
    <n v="146.908851"/>
  </r>
  <r>
    <s v="1988"/>
    <s v="Girraween Public School"/>
    <s v="Girraween"/>
    <s v="Cumberland"/>
    <s v="Sydney - Parramatta"/>
    <x v="0"/>
    <x v="0"/>
    <s v="Metropolitan South"/>
    <x v="0"/>
    <x v="0"/>
    <s v="Coed"/>
    <n v="1072"/>
    <m/>
    <s v="Suppressed"/>
    <s v=""/>
    <n v="98"/>
    <n v="1132"/>
    <x v="0"/>
    <n v="8"/>
    <x v="4"/>
    <n v="-33.799711000000002"/>
    <n v="150.950356"/>
  </r>
  <r>
    <s v="1990"/>
    <s v="Gladesville Public School"/>
    <s v="Gladesville"/>
    <s v="Ryde"/>
    <s v="Sydney - Ryde"/>
    <x v="0"/>
    <x v="0"/>
    <s v="Metropolitan North"/>
    <x v="0"/>
    <x v="0"/>
    <s v="Coed"/>
    <n v="305"/>
    <m/>
    <s v="Suppressed"/>
    <s v=""/>
    <n v="45"/>
    <n v="1129"/>
    <x v="0"/>
    <n v="17"/>
    <x v="0"/>
    <n v="-33.832977"/>
    <n v="151.125699"/>
  </r>
  <r>
    <s v="1991"/>
    <s v="Gladstone Public School"/>
    <s v="Gladstone"/>
    <s v="Kempsey"/>
    <s v="Mid North Coast"/>
    <x v="1"/>
    <x v="1"/>
    <s v="Regional North and West"/>
    <x v="0"/>
    <x v="0"/>
    <s v="Coed"/>
    <n v="19"/>
    <m/>
    <s v="Suppressed"/>
    <s v=""/>
    <m/>
    <n v="1004"/>
    <x v="3"/>
    <n v="78"/>
    <x v="2"/>
    <n v="-31.026485000000001"/>
    <n v="152.94650799999999"/>
  </r>
  <r>
    <s v="1992"/>
    <s v="Windang Public School"/>
    <s v="Windang"/>
    <s v="Wollongong"/>
    <s v="Illawarra"/>
    <x v="0"/>
    <x v="0"/>
    <s v="Regional South and Connected Communities"/>
    <x v="0"/>
    <x v="0"/>
    <s v="Coed"/>
    <n v="203"/>
    <n v="16"/>
    <s v="Published"/>
    <n v="32.480000000000004"/>
    <n v="12"/>
    <n v="988"/>
    <x v="2"/>
    <n v="98"/>
    <x v="1"/>
    <n v="-34.531495999999997"/>
    <n v="150.86597"/>
  </r>
  <r>
    <s v="1994"/>
    <s v="Glenbrook Public School"/>
    <s v="Glenbrook"/>
    <s v="Blue Mountains"/>
    <s v="Sydney - Outer West and Blue Mountains"/>
    <x v="0"/>
    <x v="0"/>
    <s v="Metropolitan South and West"/>
    <x v="0"/>
    <x v="0"/>
    <s v="Coed"/>
    <n v="338"/>
    <n v="3"/>
    <s v="Published"/>
    <n v="10.139999999999999"/>
    <n v="12"/>
    <n v="1120"/>
    <x v="0"/>
    <n v="24"/>
    <x v="0"/>
    <n v="-33.765697799999998"/>
    <n v="150.6177045"/>
  </r>
  <r>
    <s v="2001"/>
    <s v="Glenfield Public School"/>
    <s v="Glenfield"/>
    <s v="Campbelltown (NSW)"/>
    <s v="Sydney - Outer South West"/>
    <x v="0"/>
    <x v="0"/>
    <s v="Metropolitan South and West"/>
    <x v="0"/>
    <x v="0"/>
    <s v="Coed"/>
    <n v="470"/>
    <m/>
    <s v="Suppressed"/>
    <s v=""/>
    <n v="88"/>
    <n v="1070"/>
    <x v="3"/>
    <n v="51"/>
    <x v="0"/>
    <n v="-33.971004999999998"/>
    <n v="150.89658399999999"/>
  </r>
  <r>
    <s v="2003"/>
    <s v="Glenhaven Public School"/>
    <s v="Glenhaven"/>
    <s v="The Hills"/>
    <s v="Sydney - Baulkham Hills and Hawkesbury"/>
    <x v="0"/>
    <x v="0"/>
    <s v="Metropolitan North"/>
    <x v="0"/>
    <x v="0"/>
    <s v="Coed"/>
    <n v="240"/>
    <m/>
    <s v="Suppressed"/>
    <s v=""/>
    <n v="20"/>
    <n v="1108"/>
    <x v="0"/>
    <n v="41"/>
    <x v="1"/>
    <n v="-33.700792"/>
    <n v="151.002882"/>
  </r>
  <r>
    <s v="2005"/>
    <s v="Glen Innes Public School"/>
    <s v="Glen Innes"/>
    <s v="Glen Innes Severn"/>
    <s v="New England and North West"/>
    <x v="1"/>
    <x v="1"/>
    <s v="Rural North"/>
    <x v="0"/>
    <x v="0"/>
    <s v="Coed"/>
    <n v="339"/>
    <n v="27"/>
    <s v="Published"/>
    <n v="91.53"/>
    <n v="4"/>
    <n v="903"/>
    <x v="2"/>
    <n v="128"/>
    <x v="0"/>
    <n v="-29.735142"/>
    <n v="151.74098900000001"/>
  </r>
  <r>
    <s v="2009"/>
    <s v="Glenmore Road Public School"/>
    <s v="Paddington"/>
    <s v="Woollahra"/>
    <s v="Sydney - Eastern Suburbs"/>
    <x v="0"/>
    <x v="0"/>
    <s v="Metropolitan South"/>
    <x v="0"/>
    <x v="0"/>
    <s v="Coed"/>
    <n v="263"/>
    <n v="0"/>
    <s v="Published"/>
    <n v="0"/>
    <n v="24"/>
    <n v="1176"/>
    <x v="0"/>
    <n v="0"/>
    <x v="1"/>
    <n v="-33.881385000000002"/>
    <n v="151.230233"/>
  </r>
  <r>
    <s v="2012"/>
    <s v="Glenorie Public School"/>
    <s v="Glenorie"/>
    <s v="Hornsby"/>
    <s v="Sydney - Baulkham Hills and Hawkesbury"/>
    <x v="1"/>
    <x v="1"/>
    <s v="Regional North"/>
    <x v="0"/>
    <x v="0"/>
    <s v="Coed"/>
    <n v="283"/>
    <m/>
    <s v="Suppressed"/>
    <s v=""/>
    <n v="18"/>
    <n v="1055"/>
    <x v="3"/>
    <n v="65"/>
    <x v="1"/>
    <n v="-33.599443999999998"/>
    <n v="151.008082"/>
  </r>
  <r>
    <s v="2015"/>
    <s v="Glenquarry Public School"/>
    <s v="Glenquarry"/>
    <s v="Wingecarribee"/>
    <s v="Southern Highlands and Shoalhaven"/>
    <x v="1"/>
    <x v="1"/>
    <s v="Regional South and Connected Communities"/>
    <x v="0"/>
    <x v="0"/>
    <s v="Coed"/>
    <n v="23"/>
    <m/>
    <s v="Suppressed"/>
    <s v=""/>
    <m/>
    <n v="1045"/>
    <x v="3"/>
    <n v="47"/>
    <x v="2"/>
    <n v="-34.522334999999998"/>
    <n v="150.48353900000001"/>
  </r>
  <r>
    <s v="2016"/>
    <s v="Glenreagh Public School"/>
    <s v="Glenreagh"/>
    <s v="Clarence Valley"/>
    <s v="Coffs Harbour - Grafton"/>
    <x v="1"/>
    <x v="1"/>
    <s v="Regional North and West"/>
    <x v="0"/>
    <x v="0"/>
    <s v="Coed"/>
    <n v="72"/>
    <n v="17"/>
    <s v="Published"/>
    <n v="12.24"/>
    <m/>
    <n v="938"/>
    <x v="2"/>
    <n v="119"/>
    <x v="2"/>
    <n v="-30.053581999999999"/>
    <n v="152.976339"/>
  </r>
  <r>
    <s v="2020"/>
    <s v="Glen William Public School"/>
    <s v="Clarence Town"/>
    <s v="Dungog"/>
    <s v="Hunter Valley exc Newcastle"/>
    <x v="1"/>
    <x v="1"/>
    <s v="Regional North and West"/>
    <x v="0"/>
    <x v="0"/>
    <s v="Coed"/>
    <n v="27"/>
    <n v="33"/>
    <s v="Published"/>
    <n v="8.91"/>
    <m/>
    <n v="945"/>
    <x v="2"/>
    <n v="120"/>
    <x v="2"/>
    <n v="-32.525390999999999"/>
    <n v="151.79794000000001"/>
  </r>
  <r>
    <s v="2021"/>
    <s v="Glossodia Public School"/>
    <s v="Glossodia"/>
    <s v="Hawkesbury"/>
    <s v="Sydney - Baulkham Hills and Hawkesbury"/>
    <x v="1"/>
    <x v="1"/>
    <s v="Regional North"/>
    <x v="0"/>
    <x v="0"/>
    <s v="Coed"/>
    <n v="184"/>
    <n v="11"/>
    <s v="Published"/>
    <n v="20.239999999999998"/>
    <m/>
    <n v="954"/>
    <x v="2"/>
    <n v="112"/>
    <x v="1"/>
    <n v="-33.530504000000001"/>
    <n v="150.76547099999999"/>
  </r>
  <r>
    <s v="2027"/>
    <s v="Gol Gol Public School"/>
    <s v="Gol Gol"/>
    <s v="Wentworth"/>
    <s v="Murray"/>
    <x v="2"/>
    <x v="2"/>
    <s v="Rural South and West"/>
    <x v="0"/>
    <x v="0"/>
    <s v="Coed"/>
    <n v="201"/>
    <n v="8"/>
    <s v="Published"/>
    <n v="16.080000000000002"/>
    <n v="4"/>
    <n v="1010"/>
    <x v="3"/>
    <n v="95"/>
    <x v="1"/>
    <n v="-34.179608000000002"/>
    <n v="142.22265200000001"/>
  </r>
  <r>
    <s v="2033"/>
    <s v="Goodooga Central School"/>
    <s v="GOODOOGA"/>
    <s v="Brewarrina"/>
    <s v="Far West and Orana"/>
    <x v="4"/>
    <x v="4"/>
    <s v="Rural North"/>
    <x v="1"/>
    <x v="0"/>
    <s v="Coed"/>
    <n v="28"/>
    <n v="100"/>
    <s v="Published"/>
    <n v="28"/>
    <n v="97"/>
    <n v="629"/>
    <x v="1"/>
    <n v="237"/>
    <x v="2"/>
    <n v="-29.115864999999999"/>
    <n v="147.45553200000001"/>
  </r>
  <r>
    <s v="2035"/>
    <s v="Goolgowi Public School"/>
    <s v="Goolgowi"/>
    <s v="Carrathool"/>
    <s v="Riverina"/>
    <x v="2"/>
    <x v="2"/>
    <s v="Rural South and West"/>
    <x v="0"/>
    <x v="0"/>
    <s v="Coed"/>
    <n v="38"/>
    <n v="21"/>
    <s v="Published"/>
    <n v="7.9799999999999995"/>
    <m/>
    <n v="935"/>
    <x v="2"/>
    <n v="110"/>
    <x v="2"/>
    <n v="-33.975709999999999"/>
    <n v="145.70922100000001"/>
  </r>
  <r>
    <s v="2038"/>
    <s v="Gooloogong Public School"/>
    <s v="Gooloogong"/>
    <s v="Cowra"/>
    <s v="Central West"/>
    <x v="2"/>
    <x v="2"/>
    <s v="Rural South and West"/>
    <x v="0"/>
    <x v="0"/>
    <s v="Coed"/>
    <n v="26"/>
    <m/>
    <s v="Suppressed"/>
    <s v=""/>
    <m/>
    <n v="919"/>
    <x v="2"/>
    <n v="125"/>
    <x v="2"/>
    <n v="-33.617103999999998"/>
    <n v="148.43642199999999"/>
  </r>
  <r>
    <s v="2041"/>
    <s v="Goonellabah Public School"/>
    <s v="Goonellabah"/>
    <s v="Lismore"/>
    <s v="Richmond - Tweed"/>
    <x v="1"/>
    <x v="1"/>
    <s v="Rural North"/>
    <x v="0"/>
    <x v="0"/>
    <s v="Coed"/>
    <n v="226"/>
    <n v="47"/>
    <s v="Published"/>
    <n v="106.22"/>
    <n v="6"/>
    <n v="847"/>
    <x v="1"/>
    <n v="149"/>
    <x v="1"/>
    <n v="-28.818328999999999"/>
    <n v="153.322306"/>
  </r>
  <r>
    <s v="2042"/>
    <s v="Goonengerry Public School"/>
    <s v="GOONENGERRY"/>
    <s v="Byron"/>
    <s v="Richmond - Tweed"/>
    <x v="1"/>
    <x v="1"/>
    <s v="Rural North"/>
    <x v="0"/>
    <x v="0"/>
    <s v="Coed"/>
    <n v="57"/>
    <m/>
    <s v="Suppressed"/>
    <s v=""/>
    <n v="16"/>
    <n v="1048"/>
    <x v="3"/>
    <n v="58"/>
    <x v="2"/>
    <n v="-28.609511999999999"/>
    <n v="153.439753"/>
  </r>
  <r>
    <s v="2049"/>
    <s v="Gosford Public School"/>
    <s v="West Gosford"/>
    <s v="Central Coast (NSW)"/>
    <s v="Central Coast"/>
    <x v="0"/>
    <x v="0"/>
    <s v="Regional North"/>
    <x v="0"/>
    <x v="0"/>
    <s v="Coed"/>
    <n v="545"/>
    <n v="10"/>
    <s v="Published"/>
    <n v="54.5"/>
    <n v="50"/>
    <n v="1049"/>
    <x v="3"/>
    <n v="61"/>
    <x v="0"/>
    <n v="-33.420749999999998"/>
    <n v="151.33448999999999"/>
  </r>
  <r>
    <s v="2053"/>
    <s v="Goulburn Public School"/>
    <s v="Goulburn"/>
    <s v="Goulburn Mulwaree"/>
    <s v="Capital Region"/>
    <x v="1"/>
    <x v="1"/>
    <s v="Regional South and Connected Communities"/>
    <x v="0"/>
    <x v="0"/>
    <s v="Coed"/>
    <n v="181"/>
    <n v="28"/>
    <s v="Published"/>
    <n v="50.680000000000007"/>
    <n v="17"/>
    <n v="896"/>
    <x v="1"/>
    <n v="139"/>
    <x v="1"/>
    <n v="-34.750563"/>
    <n v="149.71777299999999"/>
  </r>
  <r>
    <s v="2054"/>
    <s v="Goulburn East Public School"/>
    <s v="Goulburn"/>
    <s v="Goulburn Mulwaree"/>
    <s v="Capital Region"/>
    <x v="1"/>
    <x v="1"/>
    <s v="Regional South and Connected Communities"/>
    <x v="0"/>
    <x v="0"/>
    <s v="Coed"/>
    <n v="148"/>
    <n v="11"/>
    <s v="Published"/>
    <n v="16.28"/>
    <n v="7"/>
    <n v="966"/>
    <x v="2"/>
    <n v="107"/>
    <x v="1"/>
    <n v="-34.762599999999999"/>
    <n v="149.730388"/>
  </r>
  <r>
    <s v="2055"/>
    <s v="Goulburn North Public School"/>
    <s v="Goulburn North"/>
    <s v="Goulburn Mulwaree"/>
    <s v="Capital Region"/>
    <x v="1"/>
    <x v="1"/>
    <s v="Regional South and Connected Communities"/>
    <x v="0"/>
    <x v="0"/>
    <s v="Coed"/>
    <n v="188"/>
    <n v="14"/>
    <s v="Published"/>
    <n v="26.320000000000004"/>
    <n v="8"/>
    <n v="919"/>
    <x v="2"/>
    <n v="139"/>
    <x v="1"/>
    <n v="-34.744579000000002"/>
    <n v="149.73504299999999"/>
  </r>
  <r>
    <s v="2056"/>
    <s v="Goulburn South Public School"/>
    <s v="Goulburn"/>
    <s v="Goulburn Mulwaree"/>
    <s v="Capital Region"/>
    <x v="1"/>
    <x v="1"/>
    <s v="Regional South and Connected Communities"/>
    <x v="0"/>
    <x v="0"/>
    <s v="Coed"/>
    <n v="160"/>
    <n v="18"/>
    <s v="Published"/>
    <n v="28.799999999999997"/>
    <n v="16"/>
    <n v="905"/>
    <x v="2"/>
    <n v="139"/>
    <x v="1"/>
    <n v="-34.760039999999996"/>
    <n v="149.71231399999999"/>
  </r>
  <r>
    <s v="2060"/>
    <s v="Grafton Public School"/>
    <s v="Grafton"/>
    <s v="Clarence Valley"/>
    <s v="Coffs Harbour - Grafton"/>
    <x v="1"/>
    <x v="1"/>
    <s v="Rural North"/>
    <x v="0"/>
    <x v="0"/>
    <s v="Coed"/>
    <n v="476"/>
    <n v="27"/>
    <s v="Published"/>
    <n v="128.52000000000001"/>
    <n v="9"/>
    <n v="907"/>
    <x v="2"/>
    <n v="132"/>
    <x v="0"/>
    <n v="-29.684989999999999"/>
    <n v="152.933325"/>
  </r>
  <r>
    <s v="2061"/>
    <s v="South Grafton Public School"/>
    <s v="South Grafton"/>
    <s v="Clarence Valley"/>
    <s v="Coffs Harbour - Grafton"/>
    <x v="1"/>
    <x v="1"/>
    <s v="Rural North"/>
    <x v="0"/>
    <x v="0"/>
    <s v="Coed"/>
    <n v="564"/>
    <n v="27"/>
    <s v="Published"/>
    <n v="152.28"/>
    <n v="3"/>
    <n v="905"/>
    <x v="2"/>
    <n v="138"/>
    <x v="0"/>
    <n v="-29.709892"/>
    <n v="152.93712600000001"/>
  </r>
  <r>
    <s v="2064"/>
    <s v="Granville Public School"/>
    <s v="Granville"/>
    <s v="Cumberland"/>
    <s v="Sydney - Parramatta"/>
    <x v="0"/>
    <x v="0"/>
    <s v="Metropolitan South"/>
    <x v="0"/>
    <x v="0"/>
    <s v="Coed"/>
    <n v="590"/>
    <n v="1"/>
    <s v="Published"/>
    <n v="5.9"/>
    <n v="93"/>
    <n v="973"/>
    <x v="2"/>
    <n v="117"/>
    <x v="0"/>
    <n v="-33.834263999999997"/>
    <n v="151.004671"/>
  </r>
  <r>
    <s v="2066"/>
    <s v="Granville South Public School"/>
    <s v="Guildford"/>
    <s v="Cumberland"/>
    <s v="Sydney - Parramatta"/>
    <x v="0"/>
    <x v="0"/>
    <s v="Metropolitan South"/>
    <x v="0"/>
    <x v="0"/>
    <s v="Coed"/>
    <n v="323"/>
    <n v="2"/>
    <s v="Published"/>
    <n v="6.46"/>
    <n v="91"/>
    <n v="933"/>
    <x v="2"/>
    <n v="162"/>
    <x v="0"/>
    <n v="-33.848289000000001"/>
    <n v="150.99588299999999"/>
  </r>
  <r>
    <s v="2068"/>
    <s v="Gravesend Public School"/>
    <s v="Gravesend"/>
    <s v="Gwydir"/>
    <s v="New England and North West"/>
    <x v="2"/>
    <x v="2"/>
    <s v="Rural North"/>
    <x v="0"/>
    <x v="0"/>
    <s v="Coed"/>
    <n v="23"/>
    <n v="26"/>
    <s v="Published"/>
    <n v="5.98"/>
    <n v="0"/>
    <n v="918"/>
    <x v="2"/>
    <n v="91"/>
    <x v="2"/>
    <n v="-29.585367000000002"/>
    <n v="150.33241699999999"/>
  </r>
  <r>
    <s v="2070"/>
    <s v="Greenethorpe Public School"/>
    <s v="Greenethorpe"/>
    <s v="Weddin"/>
    <s v="Central West"/>
    <x v="2"/>
    <x v="2"/>
    <s v="Rural South and West"/>
    <x v="0"/>
    <x v="0"/>
    <s v="Coed"/>
    <n v="5"/>
    <n v="0"/>
    <s v="Published"/>
    <n v="0"/>
    <n v="0"/>
    <n v="893"/>
    <x v="1"/>
    <n v="235"/>
    <x v="2"/>
    <n v="-33.997714000000002"/>
    <n v="148.400139"/>
  </r>
  <r>
    <s v="2071"/>
    <s v="Green Hill Public School"/>
    <s v="West Kempsey"/>
    <s v="Kempsey"/>
    <s v="Mid North Coast"/>
    <x v="1"/>
    <x v="1"/>
    <s v="Regional North and West"/>
    <x v="0"/>
    <x v="0"/>
    <s v="Coed"/>
    <n v="19"/>
    <n v="95"/>
    <s v="Published"/>
    <n v="18.05"/>
    <m/>
    <n v="712"/>
    <x v="1"/>
    <n v="175"/>
    <x v="2"/>
    <n v="-31.059615999999998"/>
    <n v="152.80275700000001"/>
  </r>
  <r>
    <s v="2075"/>
    <s v="Green Valley Public School"/>
    <s v="GREEN VALLEY"/>
    <s v="Liverpool"/>
    <s v="Sydney - South West"/>
    <x v="0"/>
    <x v="0"/>
    <s v="Metropolitan South and West"/>
    <x v="0"/>
    <x v="0"/>
    <s v="Coed"/>
    <n v="365"/>
    <m/>
    <s v="Suppressed"/>
    <s v=""/>
    <n v="85"/>
    <n v="973"/>
    <x v="2"/>
    <n v="137"/>
    <x v="0"/>
    <n v="-33.900739999999999"/>
    <n v="150.86897200000001"/>
  </r>
  <r>
    <s v="2076"/>
    <s v="Greenwich Public School"/>
    <s v="Greenwich"/>
    <s v="Lane Cove"/>
    <s v="Sydney - North Sydney and Hornsby"/>
    <x v="0"/>
    <x v="0"/>
    <s v="Metropolitan North"/>
    <x v="0"/>
    <x v="0"/>
    <s v="Coed"/>
    <n v="367"/>
    <m/>
    <s v="Suppressed"/>
    <s v=""/>
    <n v="39"/>
    <n v="1175"/>
    <x v="0"/>
    <n v="0"/>
    <x v="0"/>
    <n v="-33.825870000000002"/>
    <n v="151.18325200000001"/>
  </r>
  <r>
    <s v="2082"/>
    <s v="Grenfell Public School"/>
    <s v="GRENFELL"/>
    <s v="Weddin"/>
    <s v="Central West"/>
    <x v="2"/>
    <x v="2"/>
    <s v="Rural South and West"/>
    <x v="0"/>
    <x v="0"/>
    <s v="Coed"/>
    <n v="173"/>
    <n v="9"/>
    <s v="Published"/>
    <n v="15.57"/>
    <m/>
    <n v="965"/>
    <x v="2"/>
    <n v="102"/>
    <x v="1"/>
    <n v="-33.892296000000002"/>
    <n v="148.16754399999999"/>
  </r>
  <r>
    <s v="2083"/>
    <s v="Gresford Public School"/>
    <s v="Gresford"/>
    <s v="Dungog"/>
    <s v="Hunter Valley exc Newcastle"/>
    <x v="1"/>
    <x v="1"/>
    <s v="Regional North and West"/>
    <x v="0"/>
    <x v="0"/>
    <s v="Coed"/>
    <n v="53"/>
    <n v="19"/>
    <s v="Published"/>
    <n v="10.07"/>
    <n v="0"/>
    <n v="936"/>
    <x v="2"/>
    <n v="114"/>
    <x v="2"/>
    <n v="-32.427627999999999"/>
    <n v="151.53833499999999"/>
  </r>
  <r>
    <s v="2084"/>
    <s v="Greta Public School"/>
    <s v="GRETA"/>
    <s v="Cessnock"/>
    <s v="Hunter Valley exc Newcastle"/>
    <x v="1"/>
    <x v="1"/>
    <s v="Regional North and West"/>
    <x v="0"/>
    <x v="0"/>
    <s v="Coed"/>
    <n v="186"/>
    <n v="17"/>
    <s v="Published"/>
    <n v="31.62"/>
    <m/>
    <n v="935"/>
    <x v="2"/>
    <n v="134"/>
    <x v="1"/>
    <n v="-32.680083000000003"/>
    <n v="151.38721000000001"/>
  </r>
  <r>
    <s v="2086"/>
    <s v="Greystanes Public School"/>
    <s v="Greystanes"/>
    <s v="Cumberland"/>
    <s v="Sydney - Parramatta"/>
    <x v="0"/>
    <x v="0"/>
    <s v="Metropolitan South"/>
    <x v="0"/>
    <x v="0"/>
    <s v="Coed"/>
    <n v="540"/>
    <n v="1"/>
    <s v="Published"/>
    <n v="5.4"/>
    <n v="71"/>
    <n v="1081"/>
    <x v="3"/>
    <n v="53"/>
    <x v="0"/>
    <n v="-33.828043000000001"/>
    <n v="150.94111100000001"/>
  </r>
  <r>
    <s v="2087"/>
    <s v="Griffith Public School"/>
    <s v="Griffith"/>
    <s v="Griffith"/>
    <s v="Riverina"/>
    <x v="2"/>
    <x v="2"/>
    <s v="Rural South and West"/>
    <x v="0"/>
    <x v="0"/>
    <s v="Coed"/>
    <n v="433"/>
    <n v="29"/>
    <s v="Published"/>
    <n v="125.57"/>
    <n v="51"/>
    <n v="881"/>
    <x v="1"/>
    <n v="144"/>
    <x v="0"/>
    <n v="-34.291395999999999"/>
    <n v="146.03625199999999"/>
  </r>
  <r>
    <s v="2093"/>
    <s v="Guildford Public School"/>
    <s v="Guildford"/>
    <s v="Cumberland"/>
    <s v="Sydney - Parramatta"/>
    <x v="0"/>
    <x v="0"/>
    <s v="Metropolitan South"/>
    <x v="0"/>
    <x v="0"/>
    <s v="Coed"/>
    <n v="623"/>
    <n v="2"/>
    <s v="Published"/>
    <n v="12.46"/>
    <n v="91"/>
    <n v="943"/>
    <x v="2"/>
    <n v="140"/>
    <x v="3"/>
    <n v="-33.855820999999999"/>
    <n v="150.98198300000001"/>
  </r>
  <r>
    <s v="2094"/>
    <s v="Gulargambone Central School"/>
    <s v="GULARGAMBONE"/>
    <s v="Coonamble"/>
    <s v="Far West and Orana"/>
    <x v="2"/>
    <x v="2"/>
    <s v="Rural North"/>
    <x v="1"/>
    <x v="0"/>
    <s v="Coed"/>
    <n v="104"/>
    <n v="83"/>
    <s v="Published"/>
    <n v="86.32"/>
    <n v="0"/>
    <n v="693"/>
    <x v="1"/>
    <n v="217"/>
    <x v="1"/>
    <n v="-31.332239999999999"/>
    <n v="148.47575800000001"/>
  </r>
  <r>
    <s v="2097"/>
    <s v="Gulgong Public School"/>
    <s v="GULGONG"/>
    <s v="Mid-Western"/>
    <s v="Central West"/>
    <x v="2"/>
    <x v="2"/>
    <s v="Regional North and West"/>
    <x v="0"/>
    <x v="0"/>
    <s v="Coed"/>
    <n v="283"/>
    <n v="23"/>
    <s v="Published"/>
    <n v="65.09"/>
    <n v="4"/>
    <n v="913"/>
    <x v="2"/>
    <n v="135"/>
    <x v="1"/>
    <n v="-32.359746000000001"/>
    <n v="149.53769199999999"/>
  </r>
  <r>
    <s v="2099"/>
    <s v="Gulmarrad Public School"/>
    <s v="GULMARRAD"/>
    <s v="Clarence Valley"/>
    <s v="Coffs Harbour - Grafton"/>
    <x v="1"/>
    <x v="1"/>
    <s v="Rural North"/>
    <x v="0"/>
    <x v="0"/>
    <s v="Coed"/>
    <n v="213"/>
    <n v="18"/>
    <s v="Published"/>
    <n v="38.339999999999996"/>
    <n v="6"/>
    <n v="977"/>
    <x v="2"/>
    <n v="96"/>
    <x v="1"/>
    <n v="-29.489242000000001"/>
    <n v="153.23357200000001"/>
  </r>
  <r>
    <s v="2100"/>
    <s v="Gum Flat Public School"/>
    <s v="Gum Flat"/>
    <s v="Inverell"/>
    <s v="New England and North West"/>
    <x v="2"/>
    <x v="2"/>
    <s v="Rural North"/>
    <x v="0"/>
    <x v="0"/>
    <s v="Coed"/>
    <n v="29"/>
    <m/>
    <s v="Suppressed"/>
    <s v=""/>
    <m/>
    <n v="997"/>
    <x v="2"/>
    <n v="88"/>
    <x v="2"/>
    <n v="-29.779563"/>
    <n v="150.979221"/>
  </r>
  <r>
    <s v="2102"/>
    <s v="Gundagai Public School"/>
    <s v="Gundagai"/>
    <s v="Cootamundra-Gundagai"/>
    <s v="Riverina"/>
    <x v="1"/>
    <x v="1"/>
    <s v="Rural South and West"/>
    <x v="0"/>
    <x v="0"/>
    <s v="Coed"/>
    <n v="164"/>
    <n v="15"/>
    <s v="Published"/>
    <n v="24.599999999999998"/>
    <n v="5"/>
    <n v="946"/>
    <x v="2"/>
    <n v="120"/>
    <x v="1"/>
    <n v="-35.052146"/>
    <n v="148.109174"/>
  </r>
  <r>
    <s v="2103"/>
    <s v="Gundagai South Public School"/>
    <s v="SOUTH GUNDAGAI"/>
    <s v="Cootamundra-Gundagai"/>
    <s v="Riverina"/>
    <x v="1"/>
    <x v="1"/>
    <s v="Rural South and West"/>
    <x v="0"/>
    <x v="0"/>
    <s v="Coed"/>
    <n v="47"/>
    <n v="15"/>
    <s v="Published"/>
    <n v="7.05"/>
    <m/>
    <n v="916"/>
    <x v="2"/>
    <n v="126"/>
    <x v="2"/>
    <n v="-35.080801999999998"/>
    <n v="148.10308599999999"/>
  </r>
  <r>
    <s v="2104"/>
    <s v="Gundaroo Public School"/>
    <s v="Gundaroo"/>
    <s v="Yass Valley"/>
    <s v="Capital Region"/>
    <x v="1"/>
    <x v="1"/>
    <s v="Rural South and West"/>
    <x v="0"/>
    <x v="0"/>
    <s v="Coed"/>
    <n v="140"/>
    <m/>
    <s v="Suppressed"/>
    <s v=""/>
    <n v="6"/>
    <n v="1101"/>
    <x v="0"/>
    <n v="34"/>
    <x v="1"/>
    <n v="-35.029909000000004"/>
    <n v="149.267076"/>
  </r>
  <r>
    <s v="2109"/>
    <s v="Gunnedah Public School"/>
    <s v="Gunnedah"/>
    <s v="Gunnedah"/>
    <s v="New England and North West"/>
    <x v="2"/>
    <x v="2"/>
    <s v="Regional South and Connected Communities"/>
    <x v="0"/>
    <x v="0"/>
    <s v="Coed"/>
    <n v="175"/>
    <n v="62"/>
    <s v="Published"/>
    <n v="108.5"/>
    <m/>
    <n v="785"/>
    <x v="1"/>
    <n v="175"/>
    <x v="1"/>
    <n v="-30.977491000000001"/>
    <n v="150.25633500000001"/>
  </r>
  <r>
    <s v="2111"/>
    <s v="Gunning Public School"/>
    <s v="Gunning"/>
    <s v="Upper Lachlan"/>
    <s v="Capital Region"/>
    <x v="1"/>
    <x v="1"/>
    <s v="Regional South and Connected Communities"/>
    <x v="0"/>
    <x v="0"/>
    <s v="Coed"/>
    <n v="125"/>
    <n v="6"/>
    <s v="Published"/>
    <n v="7.5"/>
    <n v="8"/>
    <n v="1024"/>
    <x v="3"/>
    <n v="67"/>
    <x v="1"/>
    <n v="-34.783524999999997"/>
    <n v="149.265602"/>
  </r>
  <r>
    <s v="2114"/>
    <s v="Guyra Central School"/>
    <s v="GUYRA"/>
    <s v="Armidale"/>
    <s v="New England and North West"/>
    <x v="1"/>
    <x v="1"/>
    <s v="Rural North"/>
    <x v="1"/>
    <x v="0"/>
    <s v="Coed"/>
    <n v="287.8"/>
    <n v="23"/>
    <s v="Published"/>
    <n v="66.194000000000003"/>
    <n v="12"/>
    <n v="889"/>
    <x v="1"/>
    <n v="156"/>
    <x v="1"/>
    <n v="-30.222577000000001"/>
    <n v="151.677369"/>
  </r>
  <r>
    <s v="2115"/>
    <s v="Gwabegar Public School"/>
    <s v="Gwabegar"/>
    <s v="Narrabri"/>
    <s v="New England and North West"/>
    <x v="3"/>
    <x v="3"/>
    <s v="Rural North"/>
    <x v="0"/>
    <x v="0"/>
    <s v="Coed"/>
    <n v="21"/>
    <n v="76"/>
    <s v="Published"/>
    <n v="15.96"/>
    <n v="0"/>
    <n v="694"/>
    <x v="1"/>
    <n v="197"/>
    <x v="2"/>
    <n v="-30.611488999999999"/>
    <n v="148.974999"/>
  </r>
  <r>
    <s v="2116"/>
    <s v="Gymea Bay Public School"/>
    <s v="Gymea Bay"/>
    <s v="Sutherland"/>
    <s v="Sydney - Sutherland"/>
    <x v="0"/>
    <x v="0"/>
    <s v="Metropolitan South and West"/>
    <x v="0"/>
    <x v="0"/>
    <s v="Coed"/>
    <n v="763"/>
    <n v="3"/>
    <s v="Published"/>
    <n v="22.89"/>
    <n v="14"/>
    <n v="1091"/>
    <x v="3"/>
    <n v="44"/>
    <x v="3"/>
    <n v="-34.046905000000002"/>
    <n v="151.08282500000001"/>
  </r>
  <r>
    <s v="2117"/>
    <s v="Haberfield Public School"/>
    <s v="Haberfield"/>
    <s v="Inner West"/>
    <s v="Sydney - Inner West"/>
    <x v="0"/>
    <x v="0"/>
    <s v="Metropolitan South"/>
    <x v="0"/>
    <x v="0"/>
    <s v="Coed"/>
    <n v="542"/>
    <n v="1"/>
    <s v="Published"/>
    <n v="5.42"/>
    <n v="56"/>
    <n v="1125"/>
    <x v="0"/>
    <n v="19"/>
    <x v="0"/>
    <n v="-33.879466999999998"/>
    <n v="151.13400200000001"/>
  </r>
  <r>
    <s v="2128"/>
    <s v="Hammondville Public School"/>
    <s v="Hammondville"/>
    <s v="Liverpool"/>
    <s v="Sydney - South West"/>
    <x v="0"/>
    <x v="0"/>
    <s v="Metropolitan South and West"/>
    <x v="0"/>
    <x v="0"/>
    <s v="Coed"/>
    <n v="445"/>
    <n v="3"/>
    <s v="Published"/>
    <n v="13.35"/>
    <n v="31"/>
    <n v="1030"/>
    <x v="3"/>
    <n v="74"/>
    <x v="0"/>
    <n v="-33.947273000000003"/>
    <n v="150.95452499999999"/>
  </r>
  <r>
    <s v="2129"/>
    <s v="Hampton Public School"/>
    <s v="Hampton"/>
    <s v="Lithgow"/>
    <s v="Central West"/>
    <x v="1"/>
    <x v="1"/>
    <s v="Regional North and West"/>
    <x v="0"/>
    <x v="0"/>
    <s v="Coed"/>
    <n v="14"/>
    <n v="0"/>
    <s v="Published"/>
    <n v="0"/>
    <m/>
    <n v="1068"/>
    <x v="3"/>
    <n v="57"/>
    <x v="2"/>
    <n v="-33.648479000000002"/>
    <n v="150.048925"/>
  </r>
  <r>
    <s v="2131"/>
    <s v="Hannam Vale Public School"/>
    <s v="Hannam Vale"/>
    <s v="Mid-Coast"/>
    <s v="Mid North Coast"/>
    <x v="1"/>
    <x v="1"/>
    <s v="Regional North and West"/>
    <x v="0"/>
    <x v="0"/>
    <s v="Coed"/>
    <n v="36"/>
    <m/>
    <s v="Suppressed"/>
    <s v=""/>
    <n v="0"/>
    <n v="1033"/>
    <x v="3"/>
    <n v="77"/>
    <x v="2"/>
    <n v="-31.712948999999998"/>
    <n v="152.59402399999999"/>
  </r>
  <r>
    <s v="2132"/>
    <s v="Hanwood Public School"/>
    <s v="Hanwood"/>
    <s v="Griffith"/>
    <s v="Riverina"/>
    <x v="2"/>
    <x v="2"/>
    <s v="Rural South and West"/>
    <x v="0"/>
    <x v="0"/>
    <s v="Coed"/>
    <n v="154"/>
    <n v="7"/>
    <s v="Published"/>
    <n v="10.780000000000001"/>
    <n v="31"/>
    <n v="982"/>
    <x v="2"/>
    <n v="100"/>
    <x v="1"/>
    <n v="-34.329726000000001"/>
    <n v="146.04237000000001"/>
  </r>
  <r>
    <s v="2133"/>
    <s v="Harbord Public School"/>
    <s v="Freshwater"/>
    <s v="Northern Beaches"/>
    <s v="Sydney - Northern Beaches"/>
    <x v="0"/>
    <x v="0"/>
    <s v="Metropolitan North"/>
    <x v="0"/>
    <x v="0"/>
    <s v="Coed"/>
    <n v="881"/>
    <n v="1"/>
    <s v="Published"/>
    <n v="8.81"/>
    <n v="20"/>
    <n v="1137"/>
    <x v="0"/>
    <n v="18"/>
    <x v="3"/>
    <n v="-33.772163999999997"/>
    <n v="151.286531"/>
  </r>
  <r>
    <s v="2136"/>
    <s v="Hargraves Public School"/>
    <s v="Hargraves"/>
    <s v="Mid-Western"/>
    <s v="Central West"/>
    <x v="2"/>
    <x v="2"/>
    <s v="Regional North and West"/>
    <x v="0"/>
    <x v="0"/>
    <s v="Coed"/>
    <n v="12"/>
    <m/>
    <s v="Suppressed"/>
    <s v=""/>
    <m/>
    <n v="840"/>
    <x v="1"/>
    <n v="164"/>
    <x v="2"/>
    <n v="-32.783335999999998"/>
    <n v="149.46192400000001"/>
  </r>
  <r>
    <s v="2139"/>
    <s v="Harrington Public School"/>
    <s v="Harrington"/>
    <s v="Mid-Coast"/>
    <s v="Mid North Coast"/>
    <x v="1"/>
    <x v="1"/>
    <s v="Regional North and West"/>
    <x v="0"/>
    <x v="0"/>
    <s v="Coed"/>
    <n v="83"/>
    <n v="18"/>
    <s v="Published"/>
    <n v="14.94"/>
    <n v="8"/>
    <n v="949"/>
    <x v="2"/>
    <n v="127"/>
    <x v="2"/>
    <n v="-31.870234"/>
    <n v="152.68880300000001"/>
  </r>
  <r>
    <s v="2142"/>
    <s v="Harwood Island Public School"/>
    <s v="HARWOOD"/>
    <s v="Clarence Valley"/>
    <s v="Coffs Harbour - Grafton"/>
    <x v="1"/>
    <x v="1"/>
    <s v="Rural North"/>
    <x v="0"/>
    <x v="0"/>
    <s v="Coed"/>
    <n v="34"/>
    <n v="18"/>
    <s v="Published"/>
    <n v="6.12"/>
    <m/>
    <n v="943"/>
    <x v="2"/>
    <n v="119"/>
    <x v="2"/>
    <n v="-29.425605000000001"/>
    <n v="153.24029899999999"/>
  </r>
  <r>
    <s v="2145"/>
    <s v="Hay Public School"/>
    <s v="HAY"/>
    <s v="Hay"/>
    <s v="Murray"/>
    <x v="2"/>
    <x v="2"/>
    <s v="Rural South and West"/>
    <x v="0"/>
    <x v="0"/>
    <s v="Coed"/>
    <n v="216"/>
    <n v="17"/>
    <s v="Published"/>
    <n v="36.720000000000006"/>
    <n v="5"/>
    <n v="934"/>
    <x v="2"/>
    <n v="119"/>
    <x v="1"/>
    <n v="-34.506048"/>
    <n v="144.84540999999999"/>
  </r>
  <r>
    <s v="2149"/>
    <s v="Heathcote Public School"/>
    <s v="Heathcote"/>
    <s v="Sutherland"/>
    <s v="Sydney - Sutherland"/>
    <x v="0"/>
    <x v="0"/>
    <s v="Metropolitan South and West"/>
    <x v="0"/>
    <x v="0"/>
    <s v="Coed"/>
    <n v="273"/>
    <n v="4"/>
    <s v="Published"/>
    <n v="10.92"/>
    <n v="9"/>
    <n v="1056"/>
    <x v="3"/>
    <n v="62"/>
    <x v="1"/>
    <n v="-34.086703999999997"/>
    <n v="151.00732099999999"/>
  </r>
  <r>
    <s v="2153"/>
    <s v="Helensburgh Public School"/>
    <s v="Helensburgh"/>
    <s v="Wollongong"/>
    <s v="Illawarra"/>
    <x v="0"/>
    <x v="0"/>
    <s v="Regional South and Connected Communities"/>
    <x v="0"/>
    <x v="0"/>
    <s v="Coed"/>
    <n v="460"/>
    <n v="3"/>
    <s v="Published"/>
    <n v="13.799999999999999"/>
    <n v="9"/>
    <n v="1057"/>
    <x v="3"/>
    <n v="60"/>
    <x v="0"/>
    <n v="-34.184207000000001"/>
    <n v="150.988393"/>
  </r>
  <r>
    <s v="2154"/>
    <s v="Henty Public School"/>
    <s v="Henty"/>
    <s v="Greater Hume"/>
    <s v="Murray"/>
    <x v="1"/>
    <x v="1"/>
    <s v="Rural South and West"/>
    <x v="0"/>
    <x v="0"/>
    <s v="Coed"/>
    <n v="70"/>
    <n v="14"/>
    <s v="Published"/>
    <n v="9.8000000000000007"/>
    <n v="13"/>
    <n v="961"/>
    <x v="2"/>
    <n v="118"/>
    <x v="2"/>
    <n v="-35.517474"/>
    <n v="147.03124800000001"/>
  </r>
  <r>
    <s v="2155"/>
    <s v="Hermidale Public School"/>
    <s v="Hermidale"/>
    <s v="Bogan"/>
    <s v="Far West and Orana"/>
    <x v="3"/>
    <x v="3"/>
    <s v="Rural South and West"/>
    <x v="0"/>
    <x v="0"/>
    <s v="Coed"/>
    <n v="13"/>
    <m/>
    <s v="Suppressed"/>
    <s v=""/>
    <n v="0"/>
    <n v="874"/>
    <x v="1"/>
    <n v="162"/>
    <x v="2"/>
    <n v="-31.551165000000001"/>
    <n v="146.72337300000001"/>
  </r>
  <r>
    <s v="2156"/>
    <s v="Hernani Public School"/>
    <s v="Dorrigo"/>
    <s v="Clarence Valley"/>
    <s v="Coffs Harbour - Grafton"/>
    <x v="2"/>
    <x v="2"/>
    <s v="Regional North and West"/>
    <x v="0"/>
    <x v="0"/>
    <s v="Coed"/>
    <n v="14"/>
    <n v="0"/>
    <s v="Published"/>
    <n v="0"/>
    <m/>
    <n v="1049"/>
    <x v="3"/>
    <n v="33"/>
    <x v="2"/>
    <n v="-30.294513999999999"/>
    <n v="152.42272700000001"/>
  </r>
  <r>
    <s v="2157"/>
    <s v="Herons Creek Public School"/>
    <s v="HERONS CREEK"/>
    <s v="Port Macquarie-Hastings"/>
    <s v="Mid North Coast"/>
    <x v="1"/>
    <x v="1"/>
    <s v="Regional North and West"/>
    <x v="0"/>
    <x v="0"/>
    <s v="Coed"/>
    <n v="25"/>
    <n v="32"/>
    <s v="Published"/>
    <n v="8"/>
    <m/>
    <n v="919"/>
    <x v="2"/>
    <n v="106"/>
    <x v="2"/>
    <n v="-31.580393999999998"/>
    <n v="152.72998799999999"/>
  </r>
  <r>
    <s v="2161"/>
    <s v="Hill End Public School"/>
    <s v="Hill End"/>
    <s v="Bathurst"/>
    <s v="Central West"/>
    <x v="2"/>
    <x v="2"/>
    <s v="Regional North and West"/>
    <x v="0"/>
    <x v="0"/>
    <s v="Coed"/>
    <n v="14"/>
    <m/>
    <s v="Suppressed"/>
    <s v=""/>
    <n v="0"/>
    <n v="972"/>
    <x v="2"/>
    <n v="85"/>
    <x v="2"/>
    <n v="-33.034573000000002"/>
    <n v="149.415886"/>
  </r>
  <r>
    <s v="2164"/>
    <s v="Hillside Public School"/>
    <s v="Glenorie"/>
    <s v="The Hills"/>
    <s v="Sydney - Baulkham Hills and Hawkesbury"/>
    <x v="1"/>
    <x v="1"/>
    <s v="Regional North"/>
    <x v="0"/>
    <x v="0"/>
    <s v="Coed"/>
    <n v="25"/>
    <n v="0"/>
    <s v="Published"/>
    <n v="0"/>
    <n v="37"/>
    <n v="1041"/>
    <x v="3"/>
    <n v="67"/>
    <x v="2"/>
    <n v="-33.601784000000002"/>
    <n v="150.97615099999999"/>
  </r>
  <r>
    <s v="2165"/>
    <s v="Hillston Central School"/>
    <s v="Hillston"/>
    <s v="Carrathool"/>
    <s v="Riverina"/>
    <x v="3"/>
    <x v="3"/>
    <s v="Rural South and West"/>
    <x v="1"/>
    <x v="0"/>
    <s v="Coed"/>
    <n v="211.2"/>
    <n v="22"/>
    <s v="Published"/>
    <n v="46.463999999999999"/>
    <n v="15"/>
    <n v="911"/>
    <x v="2"/>
    <n v="118"/>
    <x v="1"/>
    <n v="-33.479903999999998"/>
    <n v="145.54025999999999"/>
  </r>
  <r>
    <s v="2166"/>
    <s v="Hill Top Public School"/>
    <s v="Hill Top"/>
    <s v="Wingecarribee"/>
    <s v="Southern Highlands and Shoalhaven"/>
    <x v="1"/>
    <x v="1"/>
    <s v="Regional South and Connected Communities"/>
    <x v="0"/>
    <x v="0"/>
    <s v="Coed"/>
    <n v="120"/>
    <n v="16"/>
    <s v="Published"/>
    <n v="19.2"/>
    <m/>
    <n v="935"/>
    <x v="2"/>
    <n v="134"/>
    <x v="1"/>
    <n v="-34.354826000000003"/>
    <n v="150.49139600000001"/>
  </r>
  <r>
    <s v="2167"/>
    <s v="Hinton Public School"/>
    <s v="Hinton"/>
    <s v="Port Stephens"/>
    <s v="Hunter Valley exc Newcastle"/>
    <x v="0"/>
    <x v="0"/>
    <s v="Regional North and West"/>
    <x v="0"/>
    <x v="0"/>
    <s v="Coed"/>
    <n v="99"/>
    <n v="8"/>
    <s v="Published"/>
    <n v="7.92"/>
    <m/>
    <n v="1009"/>
    <x v="3"/>
    <n v="112"/>
    <x v="2"/>
    <n v="-32.716732999999998"/>
    <n v="151.65067400000001"/>
  </r>
  <r>
    <s v="2170"/>
    <s v="Holbrook Public School"/>
    <s v="HOLBROOK"/>
    <s v="Greater Hume"/>
    <s v="Murray"/>
    <x v="1"/>
    <x v="1"/>
    <s v="Rural South and West"/>
    <x v="0"/>
    <x v="0"/>
    <s v="Coed"/>
    <n v="121"/>
    <n v="5"/>
    <s v="Published"/>
    <n v="6.0500000000000007"/>
    <m/>
    <n v="1003"/>
    <x v="3"/>
    <n v="95"/>
    <x v="1"/>
    <n v="-35.717852999999998"/>
    <n v="147.31895299999999"/>
  </r>
  <r>
    <s v="2171"/>
    <s v="Holgate Public School"/>
    <s v="Holgate"/>
    <s v="Central Coast (NSW)"/>
    <s v="Central Coast"/>
    <x v="0"/>
    <x v="0"/>
    <s v="Regional North"/>
    <x v="0"/>
    <x v="0"/>
    <s v="Coed"/>
    <n v="95"/>
    <n v="9"/>
    <s v="Published"/>
    <n v="8.5499999999999989"/>
    <n v="13"/>
    <n v="1047"/>
    <x v="3"/>
    <n v="48"/>
    <x v="2"/>
    <n v="-33.405106000000004"/>
    <n v="151.40772200000001"/>
  </r>
  <r>
    <s v="2172"/>
    <s v="Holmwood Public School"/>
    <s v="Cowra"/>
    <s v="Cowra"/>
    <s v="Central West"/>
    <x v="1"/>
    <x v="1"/>
    <s v="Rural South and West"/>
    <x v="0"/>
    <x v="0"/>
    <s v="Coed"/>
    <n v="26"/>
    <n v="27"/>
    <s v="Published"/>
    <n v="7.0200000000000005"/>
    <n v="0"/>
    <n v="920"/>
    <x v="2"/>
    <n v="119"/>
    <x v="2"/>
    <n v="-33.810597000000001"/>
    <n v="148.756777"/>
  </r>
  <r>
    <s v="2173"/>
    <s v="Homebush Public School"/>
    <s v="Homebush"/>
    <s v="Strathfield"/>
    <s v="Sydney - Inner West"/>
    <x v="0"/>
    <x v="0"/>
    <s v="Metropolitan South"/>
    <x v="0"/>
    <x v="0"/>
    <s v="Coed"/>
    <n v="368"/>
    <m/>
    <s v="Suppressed"/>
    <s v=""/>
    <n v="94"/>
    <n v="1094"/>
    <x v="3"/>
    <n v="23"/>
    <x v="0"/>
    <n v="-33.867319000000002"/>
    <n v="151.08523"/>
  </r>
  <r>
    <s v="2177"/>
    <s v="Telarah Public School"/>
    <s v="Maitland"/>
    <s v="Maitland"/>
    <s v="Hunter Valley exc Newcastle"/>
    <x v="0"/>
    <x v="0"/>
    <s v="Regional North and West"/>
    <x v="0"/>
    <x v="0"/>
    <s v="Coed"/>
    <n v="519"/>
    <n v="35"/>
    <s v="Published"/>
    <n v="181.64999999999998"/>
    <n v="6"/>
    <n v="879"/>
    <x v="1"/>
    <n v="140"/>
    <x v="0"/>
    <n v="-32.725200000000001"/>
    <n v="151.53237899999999"/>
  </r>
  <r>
    <s v="2182"/>
    <s v="Horsley Park Public School"/>
    <s v="HORSLEY PARK"/>
    <s v="Fairfield"/>
    <s v="Sydney - South West"/>
    <x v="0"/>
    <x v="0"/>
    <s v="Metropolitan South and West"/>
    <x v="0"/>
    <x v="0"/>
    <s v="Coed"/>
    <n v="84"/>
    <n v="7"/>
    <s v="Published"/>
    <n v="5.8800000000000008"/>
    <n v="65"/>
    <n v="932"/>
    <x v="2"/>
    <n v="140"/>
    <x v="2"/>
    <n v="-33.840414000000003"/>
    <n v="150.85268300000001"/>
  </r>
  <r>
    <s v="2186"/>
    <s v="Howlong Public School"/>
    <s v="HOWLONG"/>
    <s v="Federation"/>
    <s v="Murray"/>
    <x v="1"/>
    <x v="1"/>
    <s v="Rural South and West"/>
    <x v="0"/>
    <x v="0"/>
    <s v="Coed"/>
    <n v="151"/>
    <n v="7"/>
    <s v="Published"/>
    <n v="10.57"/>
    <m/>
    <n v="982"/>
    <x v="2"/>
    <n v="97"/>
    <x v="1"/>
    <n v="-35.979939000000002"/>
    <n v="146.636764"/>
  </r>
  <r>
    <s v="2187"/>
    <s v="Hoxton Park Public School"/>
    <s v="HOXTON PARK"/>
    <s v="Liverpool"/>
    <s v="Sydney - South West"/>
    <x v="0"/>
    <x v="0"/>
    <s v="Metropolitan South and West"/>
    <x v="0"/>
    <x v="0"/>
    <s v="Coed"/>
    <n v="531"/>
    <n v="3"/>
    <s v="Published"/>
    <n v="15.93"/>
    <n v="72"/>
    <n v="985"/>
    <x v="2"/>
    <n v="113"/>
    <x v="0"/>
    <n v="-33.931880999999997"/>
    <n v="150.849626"/>
  </r>
  <r>
    <s v="2188"/>
    <s v="Humula Public School"/>
    <s v="Humula"/>
    <s v="Wagga Wagga"/>
    <s v="Riverina"/>
    <x v="2"/>
    <x v="2"/>
    <s v="Rural South and West"/>
    <x v="0"/>
    <x v="0"/>
    <s v="Coed"/>
    <n v="8"/>
    <n v="0"/>
    <s v="Published"/>
    <n v="0"/>
    <m/>
    <n v="1004"/>
    <x v="3"/>
    <n v="96"/>
    <x v="2"/>
    <n v="-35.483339000000001"/>
    <n v="147.760583"/>
  </r>
  <r>
    <s v="2189"/>
    <s v="Hunters Hill Public School"/>
    <s v="Hunters Hill"/>
    <s v="Hunters Hill"/>
    <s v="Sydney - Ryde"/>
    <x v="0"/>
    <x v="0"/>
    <s v="Metropolitan North"/>
    <x v="0"/>
    <x v="0"/>
    <s v="Coed"/>
    <n v="228"/>
    <n v="0"/>
    <s v="Published"/>
    <n v="0"/>
    <n v="40"/>
    <n v="1149"/>
    <x v="0"/>
    <n v="6"/>
    <x v="1"/>
    <n v="-33.835121000000001"/>
    <n v="151.15125399999999"/>
  </r>
  <r>
    <s v="2190"/>
    <s v="Huntingdon Public School"/>
    <s v="Wauchope"/>
    <s v="Port Macquarie-Hastings"/>
    <s v="Mid North Coast"/>
    <x v="1"/>
    <x v="1"/>
    <s v="Regional North and West"/>
    <x v="0"/>
    <x v="0"/>
    <s v="Coed"/>
    <n v="22"/>
    <n v="41"/>
    <s v="Published"/>
    <n v="9.02"/>
    <m/>
    <n v="838"/>
    <x v="1"/>
    <n v="149"/>
    <x v="2"/>
    <n v="-31.478214000000001"/>
    <n v="152.660607"/>
  </r>
  <r>
    <s v="2193"/>
    <s v="Rathmines Public School"/>
    <s v="Rathmines"/>
    <s v="Lake Macquarie"/>
    <s v="Newcastle and Lake Macquarie"/>
    <x v="0"/>
    <x v="0"/>
    <s v="Regional North"/>
    <x v="0"/>
    <x v="0"/>
    <s v="Coed"/>
    <n v="311"/>
    <n v="13"/>
    <s v="Published"/>
    <n v="40.43"/>
    <n v="10"/>
    <n v="996"/>
    <x v="2"/>
    <n v="89"/>
    <x v="0"/>
    <n v="-33.042628000000001"/>
    <n v="151.5899"/>
  </r>
  <r>
    <s v="2197"/>
    <s v="Hurstville Public School"/>
    <s v="HURSTVILLE"/>
    <s v="Georges River"/>
    <s v="Sydney - Inner South West"/>
    <x v="0"/>
    <x v="0"/>
    <s v="Metropolitan South"/>
    <x v="0"/>
    <x v="0"/>
    <s v="Coed"/>
    <n v="1048"/>
    <n v="1"/>
    <s v="Published"/>
    <n v="10.48"/>
    <n v="99"/>
    <n v="1102"/>
    <x v="0"/>
    <n v="30"/>
    <x v="4"/>
    <n v="-33.964694999999999"/>
    <n v="151.11072799999999"/>
  </r>
  <r>
    <s v="2198"/>
    <s v="Hurstville South Public School"/>
    <s v="Hurstville"/>
    <s v="Georges River"/>
    <s v="Sydney - Inner South West"/>
    <x v="0"/>
    <x v="0"/>
    <s v="Metropolitan South"/>
    <x v="0"/>
    <x v="0"/>
    <s v="Coed"/>
    <n v="453"/>
    <m/>
    <s v="Suppressed"/>
    <s v=""/>
    <n v="92"/>
    <n v="1077"/>
    <x v="3"/>
    <n v="45"/>
    <x v="0"/>
    <n v="-33.972515999999999"/>
    <n v="151.09925200000001"/>
  </r>
  <r>
    <s v="2199"/>
    <s v="Huskisson Public School"/>
    <s v="Huskisson"/>
    <s v="Shoalhaven"/>
    <s v="Southern Highlands and Shoalhaven"/>
    <x v="1"/>
    <x v="1"/>
    <s v="Regional South and Connected Communities"/>
    <x v="0"/>
    <x v="0"/>
    <s v="Coed"/>
    <n v="163"/>
    <n v="13"/>
    <s v="Published"/>
    <n v="21.19"/>
    <n v="16"/>
    <n v="1004"/>
    <x v="3"/>
    <n v="82"/>
    <x v="1"/>
    <n v="-35.036821000000003"/>
    <n v="150.668104"/>
  </r>
  <r>
    <s v="2201"/>
    <s v="Ilford Public School"/>
    <s v="Ilford"/>
    <s v="Mid-Western"/>
    <s v="Central West"/>
    <x v="2"/>
    <x v="2"/>
    <s v="Regional North and West"/>
    <x v="0"/>
    <x v="0"/>
    <s v="Coed"/>
    <n v="18"/>
    <m/>
    <s v="Suppressed"/>
    <s v=""/>
    <n v="0"/>
    <n v="964"/>
    <x v="2"/>
    <n v="119"/>
    <x v="2"/>
    <n v="-32.966701999999998"/>
    <n v="149.85547800000001"/>
  </r>
  <r>
    <s v="2203"/>
    <s v="Illabo Public School"/>
    <s v="Illabo"/>
    <s v="Junee"/>
    <s v="Riverina"/>
    <x v="2"/>
    <x v="2"/>
    <s v="Rural South and West"/>
    <x v="0"/>
    <x v="0"/>
    <s v="Coed"/>
    <n v="12"/>
    <m/>
    <s v="Suppressed"/>
    <s v=""/>
    <n v="0"/>
    <n v="995"/>
    <x v="2"/>
    <n v="43"/>
    <x v="2"/>
    <n v="-34.814002000000002"/>
    <n v="147.741165"/>
  </r>
  <r>
    <s v="2204"/>
    <s v="Iluka Public School"/>
    <s v="ILUKA"/>
    <s v="Clarence Valley"/>
    <s v="Coffs Harbour - Grafton"/>
    <x v="1"/>
    <x v="1"/>
    <s v="Rural North"/>
    <x v="0"/>
    <x v="0"/>
    <s v="Coed"/>
    <n v="96"/>
    <n v="10"/>
    <s v="Published"/>
    <n v="9.6000000000000014"/>
    <n v="9"/>
    <n v="996"/>
    <x v="2"/>
    <n v="96"/>
    <x v="2"/>
    <n v="-29.404675999999998"/>
    <n v="153.348938"/>
  </r>
  <r>
    <s v="2206"/>
    <s v="Ingleburn Public School"/>
    <s v="Ingleburn"/>
    <s v="Campbelltown (NSW)"/>
    <s v="Sydney - Outer South West"/>
    <x v="0"/>
    <x v="0"/>
    <s v="Metropolitan South and West"/>
    <x v="0"/>
    <x v="0"/>
    <s v="Coed"/>
    <n v="424"/>
    <n v="7"/>
    <s v="Published"/>
    <n v="29.680000000000003"/>
    <n v="65"/>
    <n v="985"/>
    <x v="2"/>
    <n v="95"/>
    <x v="0"/>
    <n v="-34.000332"/>
    <n v="150.866612"/>
  </r>
  <r>
    <s v="2209"/>
    <s v="Inverell Public School"/>
    <s v="Inverell"/>
    <s v="Inverell"/>
    <s v="New England and North West"/>
    <x v="2"/>
    <x v="2"/>
    <s v="Rural North"/>
    <x v="0"/>
    <x v="0"/>
    <s v="Coed"/>
    <n v="498"/>
    <n v="28"/>
    <s v="Published"/>
    <n v="139.44000000000003"/>
    <n v="4"/>
    <n v="899"/>
    <x v="1"/>
    <n v="128"/>
    <x v="0"/>
    <n v="-29.773135"/>
    <n v="151.12301600000001"/>
  </r>
  <r>
    <s v="2211"/>
    <s v="Iona Public School"/>
    <s v="Woodville"/>
    <s v="Port Stephens"/>
    <s v="Hunter Valley exc Newcastle"/>
    <x v="1"/>
    <x v="1"/>
    <s v="Regional North and West"/>
    <x v="0"/>
    <x v="0"/>
    <s v="Coed"/>
    <n v="47"/>
    <n v="19"/>
    <s v="Published"/>
    <n v="8.93"/>
    <m/>
    <n v="992"/>
    <x v="2"/>
    <n v="87"/>
    <x v="2"/>
    <n v="-32.665063000000004"/>
    <n v="151.604218"/>
  </r>
  <r>
    <s v="2212"/>
    <s v="Islington Public School"/>
    <s v="Islington"/>
    <s v="Newcastle"/>
    <s v="Newcastle and Lake Macquarie"/>
    <x v="0"/>
    <x v="0"/>
    <s v="Regional North"/>
    <x v="0"/>
    <x v="0"/>
    <s v="Coed"/>
    <n v="159"/>
    <n v="4"/>
    <s v="Published"/>
    <n v="6.36"/>
    <n v="11"/>
    <n v="1090"/>
    <x v="3"/>
    <n v="39"/>
    <x v="1"/>
    <n v="-32.911411999999999"/>
    <n v="151.744091"/>
  </r>
  <r>
    <s v="2213"/>
    <s v="Ivanhoe Central School"/>
    <s v="Ivanhoe"/>
    <s v="Central Darling"/>
    <s v="Far West and Orana"/>
    <x v="4"/>
    <x v="4"/>
    <s v="Rural South and West"/>
    <x v="1"/>
    <x v="0"/>
    <s v="Coed"/>
    <n v="29"/>
    <n v="62"/>
    <s v="Published"/>
    <n v="17.98"/>
    <m/>
    <n v="747"/>
    <x v="1"/>
    <n v="169"/>
    <x v="2"/>
    <n v="-32.898530999999998"/>
    <n v="144.30097799999999"/>
  </r>
  <r>
    <s v="2214"/>
    <s v="Fernleigh Public School"/>
    <s v="Fernleigh"/>
    <s v="Ballina"/>
    <s v="Richmond - Tweed"/>
    <x v="1"/>
    <x v="1"/>
    <s v="Rural North"/>
    <x v="0"/>
    <x v="0"/>
    <s v="Coed"/>
    <n v="33"/>
    <m/>
    <s v="Suppressed"/>
    <s v=""/>
    <m/>
    <n v="1032"/>
    <x v="3"/>
    <n v="78"/>
    <x v="2"/>
    <n v="-28.76765"/>
    <n v="153.49839900000001"/>
  </r>
  <r>
    <s v="2218"/>
    <s v="Jamberoo Public School"/>
    <s v="Jamberoo"/>
    <s v="Kiama"/>
    <s v="Illawarra"/>
    <x v="1"/>
    <x v="1"/>
    <s v="Regional South and Connected Communities"/>
    <x v="0"/>
    <x v="0"/>
    <s v="Coed"/>
    <n v="131"/>
    <m/>
    <s v="Suppressed"/>
    <s v=""/>
    <n v="6"/>
    <n v="1045"/>
    <x v="3"/>
    <n v="67"/>
    <x v="1"/>
    <n v="-34.644621999999998"/>
    <n v="150.77300299999999"/>
  </r>
  <r>
    <s v="2223"/>
    <s v="Jennings Public School"/>
    <s v="JENNINGS"/>
    <s v="Tenterfield"/>
    <s v="New England and North West"/>
    <x v="2"/>
    <x v="2"/>
    <s v="Rural North"/>
    <x v="0"/>
    <x v="0"/>
    <s v="Coed"/>
    <n v="10"/>
    <n v="60"/>
    <s v="Published"/>
    <n v="6"/>
    <n v="0"/>
    <n v="795"/>
    <x v="1"/>
    <n v="123"/>
    <x v="2"/>
    <n v="-28.927243000000001"/>
    <n v="151.93435700000001"/>
  </r>
  <r>
    <s v="2226"/>
    <s v="Jerilderie Public School"/>
    <s v="Jerilderie"/>
    <s v="Murrumbidgee"/>
    <s v="Murray"/>
    <x v="2"/>
    <x v="2"/>
    <s v="Rural South and West"/>
    <x v="0"/>
    <x v="0"/>
    <s v="Coed"/>
    <n v="14"/>
    <m/>
    <s v="Suppressed"/>
    <s v=""/>
    <m/>
    <n v="954"/>
    <x v="2"/>
    <n v="125"/>
    <x v="2"/>
    <n v="-35.354598000000003"/>
    <n v="145.72886500000001"/>
  </r>
  <r>
    <s v="2231"/>
    <s v="Jerrys Plains Public School"/>
    <s v="Jerrys Plains"/>
    <s v="Singleton"/>
    <s v="Hunter Valley exc Newcastle"/>
    <x v="2"/>
    <x v="2"/>
    <s v="Regional North and West"/>
    <x v="0"/>
    <x v="0"/>
    <s v="Coed"/>
    <n v="15"/>
    <m/>
    <s v="Suppressed"/>
    <s v=""/>
    <n v="0"/>
    <n v="877"/>
    <x v="1"/>
    <n v="173"/>
    <x v="2"/>
    <n v="-32.497230000000002"/>
    <n v="150.90594400000001"/>
  </r>
  <r>
    <s v="2234"/>
    <s v="Jesmond Public School"/>
    <s v="Jesmond"/>
    <s v="Newcastle"/>
    <s v="Newcastle and Lake Macquarie"/>
    <x v="0"/>
    <x v="0"/>
    <s v="Regional North"/>
    <x v="0"/>
    <x v="0"/>
    <s v="Coed"/>
    <n v="216"/>
    <n v="10"/>
    <s v="Published"/>
    <n v="21.6"/>
    <n v="76"/>
    <n v="923"/>
    <x v="2"/>
    <n v="156"/>
    <x v="1"/>
    <n v="-32.903841"/>
    <n v="151.695427"/>
  </r>
  <r>
    <s v="2235"/>
    <s v="Jiggi Public School"/>
    <s v="Jiggi"/>
    <s v="Lismore"/>
    <s v="Richmond - Tweed"/>
    <x v="1"/>
    <x v="1"/>
    <s v="Rural North"/>
    <x v="0"/>
    <x v="0"/>
    <s v="Coed"/>
    <n v="25"/>
    <m/>
    <s v="Suppressed"/>
    <s v=""/>
    <m/>
    <n v="1010"/>
    <x v="3"/>
    <n v="83"/>
    <x v="2"/>
    <n v="-28.677986000000001"/>
    <n v="153.18136799999999"/>
  </r>
  <r>
    <s v="2236"/>
    <s v="Jilliby Public School"/>
    <s v="Wyong"/>
    <s v="Central Coast (NSW)"/>
    <s v="Central Coast"/>
    <x v="1"/>
    <x v="1"/>
    <s v="Regional North"/>
    <x v="0"/>
    <x v="0"/>
    <s v="Coed"/>
    <n v="60"/>
    <n v="13"/>
    <s v="Published"/>
    <n v="7.8000000000000007"/>
    <m/>
    <n v="989"/>
    <x v="2"/>
    <n v="81"/>
    <x v="2"/>
    <n v="-33.239936999999998"/>
    <n v="151.38005200000001"/>
  </r>
  <r>
    <s v="2239"/>
    <s v="Jindera Public School"/>
    <s v="Jindera"/>
    <s v="Greater Hume"/>
    <s v="Murray"/>
    <x v="1"/>
    <x v="1"/>
    <s v="Rural South and West"/>
    <x v="0"/>
    <x v="0"/>
    <s v="Coed"/>
    <n v="164"/>
    <n v="15"/>
    <s v="Published"/>
    <n v="24.599999999999998"/>
    <m/>
    <n v="969"/>
    <x v="2"/>
    <n v="119"/>
    <x v="1"/>
    <n v="-35.959035999999998"/>
    <n v="146.886741"/>
  </r>
  <r>
    <s v="2245"/>
    <s v="Jugiong Public School"/>
    <s v="Jugiong"/>
    <s v="Hilltops"/>
    <s v="Capital Region"/>
    <x v="2"/>
    <x v="2"/>
    <s v="Rural South and West"/>
    <x v="0"/>
    <x v="0"/>
    <s v="Coed"/>
    <n v="22"/>
    <n v="0"/>
    <s v="Published"/>
    <n v="0"/>
    <n v="0"/>
    <n v="994"/>
    <x v="2"/>
    <n v="80"/>
    <x v="2"/>
    <n v="-34.820202999999999"/>
    <n v="148.33544699999999"/>
  </r>
  <r>
    <s v="2246"/>
    <s v="The Junction Public School"/>
    <s v="Merewether"/>
    <s v="Newcastle"/>
    <s v="Newcastle and Lake Macquarie"/>
    <x v="0"/>
    <x v="0"/>
    <s v="Regional North"/>
    <x v="0"/>
    <x v="0"/>
    <s v="Coed"/>
    <n v="450"/>
    <n v="6"/>
    <s v="Published"/>
    <n v="27"/>
    <n v="19"/>
    <n v="1115"/>
    <x v="0"/>
    <n v="33"/>
    <x v="0"/>
    <n v="-32.939964000000003"/>
    <n v="151.758644"/>
  </r>
  <r>
    <s v="2247"/>
    <s v="Junee Public School"/>
    <s v="Junee"/>
    <s v="Junee"/>
    <s v="Riverina"/>
    <x v="1"/>
    <x v="1"/>
    <s v="Rural South and West"/>
    <x v="0"/>
    <x v="0"/>
    <s v="Coed"/>
    <n v="118"/>
    <n v="23"/>
    <s v="Published"/>
    <n v="27.14"/>
    <n v="12"/>
    <n v="906"/>
    <x v="2"/>
    <n v="131"/>
    <x v="1"/>
    <n v="-34.873488000000002"/>
    <n v="147.584901"/>
  </r>
  <r>
    <s v="2248"/>
    <s v="Junee North Public School"/>
    <s v="Junee"/>
    <s v="Junee"/>
    <s v="Riverina"/>
    <x v="1"/>
    <x v="1"/>
    <s v="Rural South and West"/>
    <x v="0"/>
    <x v="0"/>
    <s v="Coed"/>
    <n v="111"/>
    <n v="18"/>
    <s v="Published"/>
    <n v="19.98"/>
    <n v="7"/>
    <n v="915"/>
    <x v="2"/>
    <n v="140"/>
    <x v="1"/>
    <n v="-34.855049000000001"/>
    <n v="147.585376"/>
  </r>
  <r>
    <s v="2254"/>
    <s v="Kandos Public School"/>
    <s v="Kandos"/>
    <s v="Mid-Western"/>
    <s v="Central West"/>
    <x v="1"/>
    <x v="1"/>
    <s v="Regional North and West"/>
    <x v="0"/>
    <x v="0"/>
    <s v="Coed"/>
    <n v="95"/>
    <n v="34"/>
    <s v="Published"/>
    <n v="32.300000000000004"/>
    <m/>
    <n v="837"/>
    <x v="1"/>
    <n v="178"/>
    <x v="2"/>
    <n v="-32.856242000000002"/>
    <n v="149.97481300000001"/>
  </r>
  <r>
    <s v="2255"/>
    <s v="Kangaloon Public School"/>
    <s v="Kangaloon"/>
    <s v="Wingecarribee"/>
    <s v="Southern Highlands and Shoalhaven"/>
    <x v="1"/>
    <x v="1"/>
    <s v="Regional South and Connected Communities"/>
    <x v="0"/>
    <x v="0"/>
    <s v="Coed"/>
    <n v="20"/>
    <n v="0"/>
    <s v="Published"/>
    <n v="0"/>
    <n v="30"/>
    <n v="1074"/>
    <x v="3"/>
    <n v="46"/>
    <x v="2"/>
    <n v="-34.552607000000002"/>
    <n v="150.52955499999999"/>
  </r>
  <r>
    <s v="2256"/>
    <s v="Kangaroo Valley Public School"/>
    <s v="Kangaroo Valley"/>
    <s v="Shoalhaven"/>
    <s v="Southern Highlands and Shoalhaven"/>
    <x v="1"/>
    <x v="1"/>
    <s v="Regional South and Connected Communities"/>
    <x v="0"/>
    <x v="0"/>
    <s v="Coed"/>
    <n v="83"/>
    <m/>
    <s v="Suppressed"/>
    <s v=""/>
    <n v="8"/>
    <n v="1073"/>
    <x v="3"/>
    <n v="56"/>
    <x v="2"/>
    <n v="-34.736519999999999"/>
    <n v="150.53199599999999"/>
  </r>
  <r>
    <s v="2259"/>
    <s v="Kanwal Public School"/>
    <s v="Kanwal"/>
    <s v="Central Coast (NSW)"/>
    <s v="Central Coast"/>
    <x v="0"/>
    <x v="0"/>
    <s v="Regional North"/>
    <x v="0"/>
    <x v="0"/>
    <s v="Coed"/>
    <n v="500"/>
    <n v="19"/>
    <s v="Published"/>
    <n v="95"/>
    <n v="9"/>
    <n v="942"/>
    <x v="2"/>
    <n v="123"/>
    <x v="0"/>
    <n v="-33.262456"/>
    <n v="151.48488399999999"/>
  </r>
  <r>
    <s v="2260"/>
    <s v="Karangi Public School"/>
    <s v="Karangi"/>
    <s v="Coffs Harbour"/>
    <s v="Coffs Harbour - Grafton"/>
    <x v="1"/>
    <x v="1"/>
    <s v="Regional North and West"/>
    <x v="0"/>
    <x v="0"/>
    <s v="Coed"/>
    <n v="29"/>
    <n v="28"/>
    <s v="Published"/>
    <n v="8.120000000000001"/>
    <m/>
    <n v="957"/>
    <x v="2"/>
    <n v="96"/>
    <x v="2"/>
    <n v="-30.252410999999999"/>
    <n v="153.04776699999999"/>
  </r>
  <r>
    <s v="2263"/>
    <s v="Karuah Public School"/>
    <s v="Karuah"/>
    <s v="Port Stephens"/>
    <s v="Hunter Valley exc Newcastle"/>
    <x v="1"/>
    <x v="1"/>
    <s v="Regional North"/>
    <x v="0"/>
    <x v="0"/>
    <s v="Coed"/>
    <n v="157"/>
    <n v="39"/>
    <s v="Published"/>
    <n v="61.230000000000004"/>
    <n v="7"/>
    <n v="875"/>
    <x v="1"/>
    <n v="141"/>
    <x v="1"/>
    <n v="-32.654344000000002"/>
    <n v="151.96659500000001"/>
  </r>
  <r>
    <s v="2267"/>
    <s v="Kearsley Public School"/>
    <s v="KEARSLEY"/>
    <s v="Cessnock"/>
    <s v="Hunter Valley exc Newcastle"/>
    <x v="0"/>
    <x v="0"/>
    <s v="Regional North"/>
    <x v="0"/>
    <x v="0"/>
    <s v="Coed"/>
    <n v="114"/>
    <n v="35"/>
    <s v="Published"/>
    <n v="39.9"/>
    <m/>
    <n v="897"/>
    <x v="1"/>
    <n v="138"/>
    <x v="1"/>
    <n v="-32.857249000000003"/>
    <n v="151.39592099999999"/>
  </r>
  <r>
    <s v="2270"/>
    <s v="Kegworth Public School"/>
    <s v="Leichhardt"/>
    <s v="Inner West"/>
    <s v="Sydney - Inner West"/>
    <x v="0"/>
    <x v="0"/>
    <s v="Metropolitan South"/>
    <x v="0"/>
    <x v="0"/>
    <s v="Coed"/>
    <n v="252"/>
    <n v="4"/>
    <s v="Published"/>
    <n v="10.08"/>
    <n v="30"/>
    <n v="1117"/>
    <x v="0"/>
    <n v="25"/>
    <x v="1"/>
    <n v="-33.886513999999998"/>
    <n v="151.14693"/>
  </r>
  <r>
    <s v="2271"/>
    <s v="Keiraville Public School"/>
    <s v="Keiraville"/>
    <s v="Wollongong"/>
    <s v="Illawarra"/>
    <x v="0"/>
    <x v="0"/>
    <s v="Regional South and Connected Communities"/>
    <x v="0"/>
    <x v="0"/>
    <s v="Coed"/>
    <n v="297"/>
    <n v="4"/>
    <s v="Published"/>
    <n v="11.88"/>
    <n v="46"/>
    <n v="1103"/>
    <x v="0"/>
    <n v="34"/>
    <x v="1"/>
    <n v="-34.414113999999998"/>
    <n v="150.87336400000001"/>
  </r>
  <r>
    <s v="2273"/>
    <s v="Kellys Plains Public School"/>
    <s v="Armidale"/>
    <s v="Armidale"/>
    <s v="New England and North West"/>
    <x v="1"/>
    <x v="1"/>
    <s v="Rural North"/>
    <x v="0"/>
    <x v="0"/>
    <s v="Coed"/>
    <n v="27"/>
    <m/>
    <s v="Suppressed"/>
    <s v=""/>
    <m/>
    <n v="1054"/>
    <x v="3"/>
    <n v="79"/>
    <x v="2"/>
    <n v="-30.571911"/>
    <n v="151.636504"/>
  </r>
  <r>
    <s v="2274"/>
    <s v="Kellyville Public School"/>
    <s v="KELLYVILLE"/>
    <s v="The Hills"/>
    <s v="Sydney - Baulkham Hills and Hawkesbury"/>
    <x v="0"/>
    <x v="0"/>
    <s v="Metropolitan North"/>
    <x v="0"/>
    <x v="0"/>
    <s v="Coed"/>
    <n v="855"/>
    <m/>
    <s v="Suppressed"/>
    <s v=""/>
    <n v="68"/>
    <n v="1136"/>
    <x v="0"/>
    <n v="17"/>
    <x v="3"/>
    <n v="-33.711052000000002"/>
    <n v="150.957887"/>
  </r>
  <r>
    <s v="2275"/>
    <s v="Kelso Public School"/>
    <s v="Kelso"/>
    <s v="Bathurst"/>
    <s v="Central West"/>
    <x v="1"/>
    <x v="1"/>
    <s v="Regional North and West"/>
    <x v="0"/>
    <x v="0"/>
    <s v="Coed"/>
    <n v="374"/>
    <n v="40"/>
    <s v="Published"/>
    <n v="149.6"/>
    <n v="5"/>
    <n v="859"/>
    <x v="1"/>
    <n v="163"/>
    <x v="0"/>
    <n v="-33.416969000000002"/>
    <n v="149.60515599999999"/>
  </r>
  <r>
    <s v="2278"/>
    <s v="Kempsey East Public School"/>
    <s v="Kempsey"/>
    <s v="Kempsey"/>
    <s v="Mid North Coast"/>
    <x v="1"/>
    <x v="1"/>
    <s v="Regional North and West"/>
    <x v="0"/>
    <x v="0"/>
    <s v="Coed"/>
    <n v="180"/>
    <n v="41"/>
    <s v="Published"/>
    <n v="73.8"/>
    <n v="3"/>
    <n v="875"/>
    <x v="1"/>
    <n v="147"/>
    <x v="1"/>
    <n v="-31.083703"/>
    <n v="152.84686099999999"/>
  </r>
  <r>
    <s v="2279"/>
    <s v="Kempsey West Public School"/>
    <s v="WEST KEMPSEY"/>
    <s v="Kempsey"/>
    <s v="Mid North Coast"/>
    <x v="1"/>
    <x v="1"/>
    <s v="Regional South and Connected Communities"/>
    <x v="0"/>
    <x v="0"/>
    <s v="Coed"/>
    <n v="422"/>
    <n v="57"/>
    <s v="Published"/>
    <n v="240.54"/>
    <n v="3"/>
    <n v="794"/>
    <x v="1"/>
    <n v="181"/>
    <x v="0"/>
    <n v="-31.078377"/>
    <n v="152.83009999999999"/>
  </r>
  <r>
    <s v="2280"/>
    <s v="Kendall Public School"/>
    <s v="Kendall"/>
    <s v="Port Macquarie-Hastings"/>
    <s v="Mid North Coast"/>
    <x v="1"/>
    <x v="1"/>
    <s v="Regional North and West"/>
    <x v="0"/>
    <x v="0"/>
    <s v="Coed"/>
    <n v="206"/>
    <n v="24"/>
    <s v="Published"/>
    <n v="49.44"/>
    <n v="7"/>
    <n v="936"/>
    <x v="2"/>
    <n v="113"/>
    <x v="1"/>
    <n v="-31.627392"/>
    <n v="152.70275599999999"/>
  </r>
  <r>
    <s v="2283"/>
    <s v="Kensington Public School"/>
    <s v="KENSINGTON"/>
    <s v="Randwick"/>
    <s v="Sydney - Eastern Suburbs"/>
    <x v="0"/>
    <x v="0"/>
    <s v="Metropolitan South"/>
    <x v="0"/>
    <x v="0"/>
    <s v="Coed"/>
    <n v="381"/>
    <m/>
    <s v="Suppressed"/>
    <s v=""/>
    <n v="68"/>
    <n v="1120"/>
    <x v="0"/>
    <n v="21"/>
    <x v="0"/>
    <n v="-33.909604000000002"/>
    <n v="151.224965"/>
  </r>
  <r>
    <s v="2284"/>
    <s v="Kenthurst Public School"/>
    <s v="KENTHURST"/>
    <s v="The Hills"/>
    <s v="Sydney - Baulkham Hills and Hawkesbury"/>
    <x v="0"/>
    <x v="0"/>
    <s v="Regional North"/>
    <x v="0"/>
    <x v="0"/>
    <s v="Coed"/>
    <n v="187"/>
    <n v="6"/>
    <s v="Published"/>
    <n v="11.219999999999999"/>
    <n v="19"/>
    <n v="1040"/>
    <x v="3"/>
    <n v="69"/>
    <x v="1"/>
    <n v="-33.665602999999997"/>
    <n v="151.00457499999999"/>
  </r>
  <r>
    <s v="2285"/>
    <s v="Kentlyn Public School"/>
    <s v="Campbelltown"/>
    <s v="Campbelltown (NSW)"/>
    <s v="Sydney - Outer South West"/>
    <x v="0"/>
    <x v="0"/>
    <s v="Regional South and Connected Communities"/>
    <x v="0"/>
    <x v="0"/>
    <s v="Coed"/>
    <n v="120"/>
    <n v="9"/>
    <s v="Published"/>
    <n v="10.799999999999999"/>
    <n v="47"/>
    <n v="990"/>
    <x v="2"/>
    <n v="103"/>
    <x v="1"/>
    <n v="-34.073132000000001"/>
    <n v="150.858576"/>
  </r>
  <r>
    <s v="2286"/>
    <s v="Kentucky Public School"/>
    <s v="Kentucky"/>
    <s v="Uralla"/>
    <s v="New England and North West"/>
    <x v="2"/>
    <x v="2"/>
    <s v="Rural North"/>
    <x v="0"/>
    <x v="0"/>
    <s v="Coed"/>
    <n v="28"/>
    <n v="0"/>
    <s v="Published"/>
    <n v="0"/>
    <n v="0"/>
    <n v="1002"/>
    <x v="3"/>
    <n v="75"/>
    <x v="2"/>
    <n v="-30.759618"/>
    <n v="151.449162"/>
  </r>
  <r>
    <s v="2293"/>
    <s v="Kiama Public School"/>
    <s v="KIAMA"/>
    <s v="Kiama"/>
    <s v="Illawarra"/>
    <x v="0"/>
    <x v="0"/>
    <s v="Regional South and Connected Communities"/>
    <x v="0"/>
    <x v="0"/>
    <s v="Coed"/>
    <n v="347"/>
    <n v="5"/>
    <s v="Published"/>
    <n v="17.350000000000001"/>
    <n v="18"/>
    <n v="1064"/>
    <x v="3"/>
    <n v="59"/>
    <x v="0"/>
    <n v="-34.669659000000003"/>
    <n v="150.85056700000001"/>
  </r>
  <r>
    <s v="2303"/>
    <s v="Kinchela Public School"/>
    <s v="Kinchela"/>
    <s v="Kempsey"/>
    <s v="Mid North Coast"/>
    <x v="1"/>
    <x v="1"/>
    <s v="Regional North and West"/>
    <x v="0"/>
    <x v="0"/>
    <s v="Coed"/>
    <n v="27"/>
    <m/>
    <s v="Suppressed"/>
    <s v=""/>
    <m/>
    <n v="951"/>
    <x v="2"/>
    <n v="120"/>
    <x v="2"/>
    <n v="-30.991064000000001"/>
    <n v="152.99506299999999"/>
  </r>
  <r>
    <s v="2304"/>
    <s v="Kincumber Public School"/>
    <s v="Kincumber"/>
    <s v="Central Coast (NSW)"/>
    <s v="Central Coast"/>
    <x v="0"/>
    <x v="0"/>
    <s v="Regional North"/>
    <x v="0"/>
    <x v="0"/>
    <s v="Coed"/>
    <n v="364"/>
    <n v="12"/>
    <s v="Published"/>
    <n v="43.68"/>
    <n v="8"/>
    <n v="1004"/>
    <x v="3"/>
    <n v="89"/>
    <x v="0"/>
    <n v="-33.468184000000001"/>
    <n v="151.39435499999999"/>
  </r>
  <r>
    <s v="2307"/>
    <s v="Kingsgrove Public School"/>
    <s v="Kingsgrove"/>
    <s v="Georges River"/>
    <s v="Sydney - Inner South West"/>
    <x v="0"/>
    <x v="0"/>
    <s v="Metropolitan South"/>
    <x v="0"/>
    <x v="0"/>
    <s v="Coed"/>
    <n v="268"/>
    <n v="3"/>
    <s v="Published"/>
    <n v="8.0399999999999991"/>
    <n v="77"/>
    <n v="1010"/>
    <x v="3"/>
    <n v="94"/>
    <x v="1"/>
    <n v="-33.947822000000002"/>
    <n v="151.10156000000001"/>
  </r>
  <r>
    <s v="2308"/>
    <s v="Bexley North Public School"/>
    <s v="Bexley"/>
    <s v="Bayside (NSW)"/>
    <s v="Sydney - Inner South West"/>
    <x v="0"/>
    <x v="0"/>
    <s v="Metropolitan South"/>
    <x v="0"/>
    <x v="0"/>
    <s v="Coed"/>
    <n v="340"/>
    <n v="2"/>
    <s v="Published"/>
    <n v="6.8"/>
    <n v="65"/>
    <n v="1071"/>
    <x v="3"/>
    <n v="56"/>
    <x v="0"/>
    <n v="-33.940837999999999"/>
    <n v="151.120374"/>
  </r>
  <r>
    <s v="2310"/>
    <s v="Kingstown Public School"/>
    <s v="KINGSTOWN"/>
    <s v="Uralla"/>
    <s v="New England and North West"/>
    <x v="2"/>
    <x v="2"/>
    <s v="Rural North"/>
    <x v="0"/>
    <x v="0"/>
    <s v="Coed"/>
    <n v="10"/>
    <n v="0"/>
    <s v="Published"/>
    <n v="0"/>
    <n v="0"/>
    <n v="955"/>
    <x v="2"/>
    <n v="96"/>
    <x v="2"/>
    <n v="-30.506681"/>
    <n v="151.11640499999999"/>
  </r>
  <r>
    <s v="2312"/>
    <s v="Kingswood Public School"/>
    <s v="Kingswood"/>
    <s v="Penrith"/>
    <s v="Sydney - Outer West and Blue Mountains"/>
    <x v="0"/>
    <x v="0"/>
    <s v="Metropolitan North"/>
    <x v="0"/>
    <x v="0"/>
    <s v="Coed"/>
    <n v="499"/>
    <n v="9"/>
    <s v="Published"/>
    <n v="44.91"/>
    <n v="72"/>
    <n v="1048"/>
    <x v="3"/>
    <n v="58"/>
    <x v="0"/>
    <n v="-33.765884"/>
    <n v="150.72650899999999"/>
  </r>
  <r>
    <s v="2314"/>
    <s v="Kirkton Public School"/>
    <s v="BELFORD"/>
    <s v="Singleton"/>
    <s v="Hunter Valley exc Newcastle"/>
    <x v="1"/>
    <x v="1"/>
    <s v="Regional North and West"/>
    <x v="0"/>
    <x v="0"/>
    <s v="Coed"/>
    <n v="45"/>
    <n v="24"/>
    <s v="Published"/>
    <n v="10.799999999999999"/>
    <n v="16"/>
    <n v="926"/>
    <x v="2"/>
    <n v="141"/>
    <x v="2"/>
    <n v="-32.609772999999997"/>
    <n v="151.29009199999999"/>
  </r>
  <r>
    <s v="2315"/>
    <s v="Kitchener Public School"/>
    <s v="KITCHENER"/>
    <s v="Cessnock"/>
    <s v="Hunter Valley exc Newcastle"/>
    <x v="1"/>
    <x v="1"/>
    <s v="Regional North"/>
    <x v="0"/>
    <x v="0"/>
    <s v="Coed"/>
    <n v="113"/>
    <n v="20"/>
    <s v="Published"/>
    <n v="22.6"/>
    <m/>
    <n v="930"/>
    <x v="2"/>
    <n v="139"/>
    <x v="1"/>
    <n v="-32.87782"/>
    <n v="151.36997700000001"/>
  </r>
  <r>
    <s v="2319"/>
    <s v="Kogarah Public School"/>
    <s v="Kogarah"/>
    <s v="Georges River"/>
    <s v="Sydney - Inner South West"/>
    <x v="0"/>
    <x v="0"/>
    <s v="Metropolitan South"/>
    <x v="0"/>
    <x v="0"/>
    <s v="Coed"/>
    <n v="456"/>
    <m/>
    <s v="Suppressed"/>
    <s v=""/>
    <n v="94"/>
    <n v="1087"/>
    <x v="3"/>
    <n v="38"/>
    <x v="0"/>
    <n v="-33.962027999999997"/>
    <n v="151.136618"/>
  </r>
  <r>
    <s v="2327"/>
    <s v="Kootingal Public School"/>
    <s v="KOOTINGAL"/>
    <s v="Tamworth"/>
    <s v="New England and North West"/>
    <x v="1"/>
    <x v="1"/>
    <s v="Rural North"/>
    <x v="0"/>
    <x v="0"/>
    <s v="Coed"/>
    <n v="168"/>
    <n v="26"/>
    <s v="Published"/>
    <n v="43.68"/>
    <n v="3"/>
    <n v="928"/>
    <x v="2"/>
    <n v="116"/>
    <x v="1"/>
    <n v="-31.053487000000001"/>
    <n v="151.05368200000001"/>
  </r>
  <r>
    <s v="2330"/>
    <s v="Kororo Public School"/>
    <s v="KORORA"/>
    <s v="Coffs Harbour"/>
    <s v="Coffs Harbour - Grafton"/>
    <x v="1"/>
    <x v="1"/>
    <s v="Regional North and West"/>
    <x v="0"/>
    <x v="0"/>
    <s v="Coed"/>
    <n v="441"/>
    <n v="7"/>
    <s v="Published"/>
    <n v="30.870000000000005"/>
    <n v="13"/>
    <n v="1019"/>
    <x v="3"/>
    <n v="82"/>
    <x v="0"/>
    <n v="-30.254553000000001"/>
    <n v="153.13192100000001"/>
  </r>
  <r>
    <s v="2333"/>
    <s v="Krambach Public School"/>
    <s v="Krambach"/>
    <s v="Mid-Coast"/>
    <s v="Mid North Coast"/>
    <x v="1"/>
    <x v="1"/>
    <s v="Regional North and West"/>
    <x v="0"/>
    <x v="0"/>
    <s v="Coed"/>
    <n v="40"/>
    <n v="15"/>
    <s v="Published"/>
    <n v="6"/>
    <m/>
    <n v="908"/>
    <x v="2"/>
    <n v="154"/>
    <x v="2"/>
    <n v="-32.046146"/>
    <n v="152.27229299999999"/>
  </r>
  <r>
    <s v="2334"/>
    <s v="Kulnura Public School"/>
    <s v="Kulnura"/>
    <s v="Central Coast (NSW)"/>
    <s v="Central Coast"/>
    <x v="1"/>
    <x v="1"/>
    <s v="Regional North"/>
    <x v="0"/>
    <x v="0"/>
    <s v="Coed"/>
    <n v="37"/>
    <m/>
    <s v="Suppressed"/>
    <s v=""/>
    <m/>
    <n v="975"/>
    <x v="2"/>
    <n v="87"/>
    <x v="2"/>
    <n v="-33.232582000000001"/>
    <n v="151.21601100000001"/>
  </r>
  <r>
    <s v="2340"/>
    <s v="Kurmond Public School"/>
    <s v="Kurmond"/>
    <s v="Hawkesbury"/>
    <s v="Sydney - Baulkham Hills and Hawkesbury"/>
    <x v="1"/>
    <x v="1"/>
    <s v="Regional North"/>
    <x v="0"/>
    <x v="0"/>
    <s v="Coed"/>
    <n v="125"/>
    <n v="6"/>
    <s v="Published"/>
    <n v="7.5"/>
    <n v="9"/>
    <n v="982"/>
    <x v="2"/>
    <n v="102"/>
    <x v="1"/>
    <n v="-33.549714999999999"/>
    <n v="150.69230899999999"/>
  </r>
  <r>
    <s v="2341"/>
    <s v="Kurnell Public School"/>
    <s v="Kurnell"/>
    <s v="Sutherland"/>
    <s v="Sydney - Sutherland"/>
    <x v="0"/>
    <x v="0"/>
    <s v="Metropolitan South and West"/>
    <x v="0"/>
    <x v="0"/>
    <s v="Coed"/>
    <n v="211"/>
    <n v="4"/>
    <s v="Published"/>
    <n v="8.44"/>
    <n v="10"/>
    <n v="1030"/>
    <x v="3"/>
    <n v="76"/>
    <x v="1"/>
    <n v="-34.010156000000002"/>
    <n v="151.20377300000001"/>
  </r>
  <r>
    <s v="2342"/>
    <s v="Kurrajong Public School"/>
    <s v="Kurrajong"/>
    <s v="Hawkesbury"/>
    <s v="Sydney - Baulkham Hills and Hawkesbury"/>
    <x v="1"/>
    <x v="1"/>
    <s v="Regional North"/>
    <x v="0"/>
    <x v="0"/>
    <s v="Coed"/>
    <n v="139"/>
    <n v="6"/>
    <s v="Published"/>
    <n v="8.34"/>
    <n v="7"/>
    <n v="1051"/>
    <x v="3"/>
    <n v="65"/>
    <x v="1"/>
    <n v="-33.555196000000002"/>
    <n v="150.66265300000001"/>
  </r>
  <r>
    <s v="2343"/>
    <s v="Kurrajong East Public School"/>
    <s v="EAST KURRAJONG"/>
    <s v="Hawkesbury"/>
    <s v="Sydney - Baulkham Hills and Hawkesbury"/>
    <x v="1"/>
    <x v="1"/>
    <s v="Regional North"/>
    <x v="0"/>
    <x v="0"/>
    <s v="Coed"/>
    <n v="81"/>
    <n v="7"/>
    <s v="Published"/>
    <n v="5.6700000000000008"/>
    <m/>
    <n v="974"/>
    <x v="2"/>
    <n v="108"/>
    <x v="2"/>
    <n v="-33.511172000000002"/>
    <n v="150.77726000000001"/>
  </r>
  <r>
    <s v="2344"/>
    <s v="Kurrajong North Public School"/>
    <s v="KURRAJONG HILLS"/>
    <s v="Hawkesbury"/>
    <s v="Sydney - Baulkham Hills and Hawkesbury"/>
    <x v="1"/>
    <x v="1"/>
    <s v="Regional North"/>
    <x v="0"/>
    <x v="0"/>
    <s v="Coed"/>
    <n v="67"/>
    <n v="15"/>
    <s v="Published"/>
    <n v="10.049999999999999"/>
    <n v="12"/>
    <n v="1018"/>
    <x v="3"/>
    <n v="65"/>
    <x v="2"/>
    <n v="-33.541815"/>
    <n v="150.63944599999999"/>
  </r>
  <r>
    <s v="2349"/>
    <s v="Kyogle Public School"/>
    <s v="Kyogle"/>
    <s v="Kyogle"/>
    <s v="Richmond - Tweed"/>
    <x v="1"/>
    <x v="1"/>
    <s v="Rural North"/>
    <x v="0"/>
    <x v="0"/>
    <s v="Coed"/>
    <n v="260"/>
    <n v="18"/>
    <s v="Published"/>
    <n v="46.8"/>
    <n v="6"/>
    <n v="938"/>
    <x v="2"/>
    <n v="123"/>
    <x v="1"/>
    <n v="-28.625164999999999"/>
    <n v="153.003916"/>
  </r>
  <r>
    <s v="2353"/>
    <s v="Ladysmith Public School"/>
    <s v="Ladysmith"/>
    <s v="Wagga Wagga"/>
    <s v="Riverina"/>
    <x v="1"/>
    <x v="1"/>
    <s v="Rural South and West"/>
    <x v="0"/>
    <x v="0"/>
    <s v="Coed"/>
    <n v="33"/>
    <m/>
    <s v="Suppressed"/>
    <s v=""/>
    <n v="0"/>
    <n v="987"/>
    <x v="2"/>
    <n v="82"/>
    <x v="2"/>
    <n v="-35.208548999999998"/>
    <n v="147.510963"/>
  </r>
  <r>
    <s v="2354"/>
    <s v="Laggan Public School"/>
    <s v="Laggan"/>
    <s v="Upper Lachlan"/>
    <s v="Capital Region"/>
    <x v="1"/>
    <x v="1"/>
    <s v="Regional South and Connected Communities"/>
    <x v="0"/>
    <x v="0"/>
    <s v="Coed"/>
    <n v="14"/>
    <n v="0"/>
    <s v="Published"/>
    <n v="0"/>
    <n v="0"/>
    <n v="1006"/>
    <x v="3"/>
    <n v="105"/>
    <x v="2"/>
    <n v="-34.406246000000003"/>
    <n v="149.52772100000001"/>
  </r>
  <r>
    <s v="2356"/>
    <s v="Laguna Public School"/>
    <s v="Laguna"/>
    <s v="Cessnock"/>
    <s v="Hunter Valley exc Newcastle"/>
    <x v="1"/>
    <x v="1"/>
    <s v="Regional North"/>
    <x v="0"/>
    <x v="0"/>
    <s v="Coed"/>
    <n v="52"/>
    <m/>
    <s v="Suppressed"/>
    <s v=""/>
    <m/>
    <n v="969"/>
    <x v="2"/>
    <n v="109"/>
    <x v="2"/>
    <n v="-32.992120999999997"/>
    <n v="151.130526"/>
  </r>
  <r>
    <s v="2357"/>
    <s v="Lake Albert Public School"/>
    <s v="Lake Albert"/>
    <s v="Wagga Wagga"/>
    <s v="Riverina"/>
    <x v="1"/>
    <x v="1"/>
    <s v="Rural South and West"/>
    <x v="0"/>
    <x v="0"/>
    <s v="Coed"/>
    <n v="434"/>
    <n v="15"/>
    <s v="Published"/>
    <n v="65.099999999999994"/>
    <n v="5"/>
    <n v="963"/>
    <x v="2"/>
    <n v="104"/>
    <x v="0"/>
    <n v="-35.173563000000001"/>
    <n v="147.37924000000001"/>
  </r>
  <r>
    <s v="2359"/>
    <s v="Lake Cargelligo Central School"/>
    <s v="LAKE CARGELLIGO"/>
    <s v="Lachlan"/>
    <s v="Central West"/>
    <x v="3"/>
    <x v="3"/>
    <s v="Rural South and West"/>
    <x v="1"/>
    <x v="0"/>
    <s v="Coed"/>
    <n v="227"/>
    <n v="37"/>
    <s v="Published"/>
    <n v="83.99"/>
    <n v="7"/>
    <n v="858"/>
    <x v="1"/>
    <n v="152"/>
    <x v="1"/>
    <n v="-33.294835999999997"/>
    <n v="146.373966"/>
  </r>
  <r>
    <s v="2360"/>
    <s v="Lakemba Public School"/>
    <s v="Lakemba"/>
    <s v="Canterbury-Bankstown"/>
    <s v="Sydney - Inner South West"/>
    <x v="0"/>
    <x v="0"/>
    <s v="Metropolitan South"/>
    <x v="0"/>
    <x v="0"/>
    <s v="Coed"/>
    <n v="428"/>
    <n v="0"/>
    <s v="Published"/>
    <n v="0"/>
    <n v="99"/>
    <n v="999"/>
    <x v="2"/>
    <n v="102"/>
    <x v="0"/>
    <n v="-33.923614999999998"/>
    <n v="151.07004599999999"/>
  </r>
  <r>
    <s v="2362"/>
    <s v="Lake Munmorah Public School"/>
    <s v="Lake Munmorah"/>
    <s v="Central Coast (NSW)"/>
    <s v="Central Coast"/>
    <x v="0"/>
    <x v="0"/>
    <s v="Regional North"/>
    <x v="0"/>
    <x v="0"/>
    <s v="Coed"/>
    <n v="384"/>
    <n v="16"/>
    <s v="Published"/>
    <n v="61.44"/>
    <n v="7"/>
    <n v="950"/>
    <x v="2"/>
    <n v="132"/>
    <x v="0"/>
    <n v="-33.188200000000002"/>
    <n v="151.575559"/>
  </r>
  <r>
    <s v="2363"/>
    <s v="Lake Wyangan Public School"/>
    <s v="Lake Wyangan"/>
    <s v="Griffith"/>
    <s v="Riverina"/>
    <x v="2"/>
    <x v="2"/>
    <s v="Rural South and West"/>
    <x v="0"/>
    <x v="0"/>
    <s v="Coed"/>
    <n v="43"/>
    <n v="21"/>
    <s v="Published"/>
    <n v="9.0299999999999994"/>
    <n v="48"/>
    <n v="926"/>
    <x v="2"/>
    <n v="135"/>
    <x v="2"/>
    <n v="-34.248182999999997"/>
    <n v="146.03423799999999"/>
  </r>
  <r>
    <s v="2366"/>
    <s v="Lambton Public School"/>
    <s v="LAMBTON"/>
    <s v="Newcastle"/>
    <s v="Newcastle and Lake Macquarie"/>
    <x v="0"/>
    <x v="0"/>
    <s v="Regional North"/>
    <x v="0"/>
    <x v="0"/>
    <s v="Coed"/>
    <n v="339"/>
    <n v="9"/>
    <s v="Published"/>
    <n v="30.509999999999998"/>
    <n v="20"/>
    <n v="1065"/>
    <x v="3"/>
    <n v="53"/>
    <x v="0"/>
    <n v="-32.911704999999998"/>
    <n v="151.70413400000001"/>
  </r>
  <r>
    <s v="2368"/>
    <s v="Lane Cove Public School"/>
    <s v="Lane Cove"/>
    <s v="Lane Cove"/>
    <s v="Sydney - North Sydney and Hornsby"/>
    <x v="0"/>
    <x v="0"/>
    <s v="Metropolitan North"/>
    <x v="0"/>
    <x v="0"/>
    <s v="Coed"/>
    <n v="688"/>
    <m/>
    <s v="Suppressed"/>
    <s v=""/>
    <n v="49"/>
    <n v="1178"/>
    <x v="0"/>
    <n v="1"/>
    <x v="3"/>
    <n v="-33.816513999999998"/>
    <n v="151.16913400000001"/>
  </r>
  <r>
    <s v="2370"/>
    <s v="Lansdowne Public School"/>
    <s v="Lansdowne"/>
    <s v="Mid-Coast"/>
    <s v="Mid North Coast"/>
    <x v="1"/>
    <x v="1"/>
    <s v="Regional North and West"/>
    <x v="0"/>
    <x v="0"/>
    <s v="Coed"/>
    <n v="38"/>
    <m/>
    <s v="Suppressed"/>
    <s v=""/>
    <n v="0"/>
    <n v="907"/>
    <x v="2"/>
    <n v="139"/>
    <x v="2"/>
    <n v="-31.783944000000002"/>
    <n v="152.53205600000001"/>
  </r>
  <r>
    <s v="2372"/>
    <s v="Upper Lansdowne Public School"/>
    <s v="Upper Lansdowne"/>
    <s v="Mid-Coast"/>
    <s v="Mid North Coast"/>
    <x v="1"/>
    <x v="1"/>
    <s v="Regional North and West"/>
    <x v="0"/>
    <x v="0"/>
    <s v="Coed"/>
    <n v="13"/>
    <m/>
    <s v="Suppressed"/>
    <s v=""/>
    <m/>
    <n v="979"/>
    <x v="2"/>
    <n v="83"/>
    <x v="2"/>
    <n v="-31.705206"/>
    <n v="152.467389"/>
  </r>
  <r>
    <s v="2373"/>
    <s v="La Perouse Public School"/>
    <s v="La Perouse"/>
    <s v="Randwick"/>
    <s v="Sydney - Eastern Suburbs"/>
    <x v="0"/>
    <x v="0"/>
    <s v="Metropolitan South"/>
    <x v="0"/>
    <x v="0"/>
    <s v="Coed"/>
    <n v="111"/>
    <n v="50"/>
    <s v="Published"/>
    <n v="55.5"/>
    <n v="55"/>
    <n v="920"/>
    <x v="2"/>
    <n v="98"/>
    <x v="1"/>
    <n v="-33.978352000000001"/>
    <n v="151.235423"/>
  </r>
  <r>
    <s v="2374"/>
    <s v="Largs Public School"/>
    <s v="Largs"/>
    <s v="Maitland"/>
    <s v="Hunter Valley exc Newcastle"/>
    <x v="0"/>
    <x v="0"/>
    <s v="Regional North and West"/>
    <x v="0"/>
    <x v="0"/>
    <s v="Coed"/>
    <n v="155"/>
    <n v="15"/>
    <s v="Published"/>
    <n v="23.25"/>
    <m/>
    <n v="991"/>
    <x v="2"/>
    <n v="92"/>
    <x v="1"/>
    <n v="-32.700491"/>
    <n v="151.60563999999999"/>
  </r>
  <r>
    <s v="2375"/>
    <s v="Larnook Public School"/>
    <s v="LARNOOK"/>
    <s v="Lismore"/>
    <s v="Richmond - Tweed"/>
    <x v="1"/>
    <x v="1"/>
    <s v="Rural North"/>
    <x v="0"/>
    <x v="0"/>
    <s v="Coed"/>
    <n v="11"/>
    <m/>
    <s v="Suppressed"/>
    <s v=""/>
    <n v="0"/>
    <n v="886"/>
    <x v="1"/>
    <n v="175"/>
    <x v="2"/>
    <n v="-28.648612"/>
    <n v="153.11476500000001"/>
  </r>
  <r>
    <s v="2377"/>
    <s v="Laurieton Public School"/>
    <s v="Laurieton"/>
    <s v="Port Macquarie-Hastings"/>
    <s v="Mid North Coast"/>
    <x v="1"/>
    <x v="1"/>
    <s v="Regional North and West"/>
    <x v="0"/>
    <x v="0"/>
    <s v="Coed"/>
    <n v="151"/>
    <n v="21"/>
    <s v="Published"/>
    <n v="31.709999999999997"/>
    <n v="8"/>
    <n v="991"/>
    <x v="2"/>
    <n v="93"/>
    <x v="1"/>
    <n v="-31.651768000000001"/>
    <n v="152.79749100000001"/>
  </r>
  <r>
    <s v="2378"/>
    <s v="Lavington Public School"/>
    <s v="Lavington"/>
    <s v="Albury"/>
    <s v="Murray"/>
    <x v="1"/>
    <x v="1"/>
    <s v="Rural South and West"/>
    <x v="0"/>
    <x v="0"/>
    <s v="Coed"/>
    <n v="409"/>
    <n v="16"/>
    <s v="Published"/>
    <n v="65.44"/>
    <n v="22"/>
    <n v="944"/>
    <x v="2"/>
    <n v="121"/>
    <x v="0"/>
    <n v="-36.037410999999999"/>
    <n v="146.92826500000001"/>
  </r>
  <r>
    <s v="2379"/>
    <s v="Lawrence Public School"/>
    <s v="Lawrence"/>
    <s v="Clarence Valley"/>
    <s v="Coffs Harbour - Grafton"/>
    <x v="1"/>
    <x v="1"/>
    <s v="Rural North"/>
    <x v="0"/>
    <x v="0"/>
    <s v="Coed"/>
    <n v="52"/>
    <n v="15"/>
    <s v="Published"/>
    <n v="7.8"/>
    <m/>
    <n v="947"/>
    <x v="2"/>
    <n v="119"/>
    <x v="2"/>
    <n v="-29.491624999999999"/>
    <n v="153.100368"/>
  </r>
  <r>
    <s v="2381"/>
    <s v="Lawson Public School"/>
    <s v="Lawson"/>
    <s v="Blue Mountains"/>
    <s v="Sydney - Outer West and Blue Mountains"/>
    <x v="0"/>
    <x v="0"/>
    <s v="Regional North"/>
    <x v="0"/>
    <x v="0"/>
    <s v="Coed"/>
    <n v="196"/>
    <n v="16"/>
    <s v="Published"/>
    <n v="31.36"/>
    <n v="10"/>
    <n v="1000"/>
    <x v="3"/>
    <n v="92"/>
    <x v="1"/>
    <n v="-33.721217000000003"/>
    <n v="150.42824300000001"/>
  </r>
  <r>
    <s v="2386"/>
    <s v="Leeton Public School"/>
    <s v="Leeton"/>
    <s v="Leeton"/>
    <s v="Riverina"/>
    <x v="2"/>
    <x v="2"/>
    <s v="Rural South and West"/>
    <x v="0"/>
    <x v="0"/>
    <s v="Coed"/>
    <n v="258"/>
    <n v="10"/>
    <s v="Published"/>
    <n v="25.8"/>
    <n v="16"/>
    <n v="976"/>
    <x v="2"/>
    <n v="111"/>
    <x v="1"/>
    <n v="-34.546126000000001"/>
    <n v="146.40723199999999"/>
  </r>
  <r>
    <s v="2391"/>
    <s v="Leura Public School"/>
    <s v="Leura"/>
    <s v="Blue Mountains"/>
    <s v="Sydney - Outer West and Blue Mountains"/>
    <x v="0"/>
    <x v="0"/>
    <s v="Regional North"/>
    <x v="0"/>
    <x v="0"/>
    <s v="Coed"/>
    <n v="199"/>
    <n v="9"/>
    <s v="Published"/>
    <n v="17.91"/>
    <n v="21"/>
    <n v="1055"/>
    <x v="3"/>
    <n v="61"/>
    <x v="1"/>
    <n v="-33.711151000000001"/>
    <n v="150.33673300000001"/>
  </r>
  <r>
    <s v="2394"/>
    <s v="Lidcombe Public School"/>
    <s v="Lidcombe"/>
    <s v="Cumberland"/>
    <s v="Sydney - Parramatta"/>
    <x v="0"/>
    <x v="0"/>
    <s v="Metropolitan South"/>
    <x v="0"/>
    <x v="0"/>
    <s v="Coed"/>
    <n v="762"/>
    <m/>
    <s v="Suppressed"/>
    <s v=""/>
    <n v="91"/>
    <n v="1019"/>
    <x v="3"/>
    <n v="90"/>
    <x v="3"/>
    <n v="-33.861018999999999"/>
    <n v="151.04692600000001"/>
  </r>
  <r>
    <s v="2395"/>
    <s v="Lightning Ridge Central School"/>
    <s v="LIGHTNING RIDGE"/>
    <s v="Walgett"/>
    <s v="Far West and Orana"/>
    <x v="3"/>
    <x v="3"/>
    <s v="Rural North"/>
    <x v="1"/>
    <x v="0"/>
    <s v="Coed"/>
    <n v="311"/>
    <n v="61"/>
    <s v="Published"/>
    <n v="189.71"/>
    <n v="7"/>
    <n v="790"/>
    <x v="1"/>
    <n v="173"/>
    <x v="0"/>
    <n v="-29.425211000000001"/>
    <n v="147.97861399999999"/>
  </r>
  <r>
    <s v="2403"/>
    <s v="Lindfield Public School"/>
    <s v="LINDFIELD"/>
    <s v="Ku-ring-gai"/>
    <s v="Sydney - North Sydney and Hornsby"/>
    <x v="0"/>
    <x v="0"/>
    <s v="Metropolitan North"/>
    <x v="0"/>
    <x v="0"/>
    <s v="Coed"/>
    <n v="584"/>
    <m/>
    <s v="Suppressed"/>
    <s v=""/>
    <n v="66"/>
    <n v="1162"/>
    <x v="0"/>
    <n v="0"/>
    <x v="0"/>
    <n v="-33.780749999999998"/>
    <n v="151.16891699999999"/>
  </r>
  <r>
    <s v="2404"/>
    <s v="Lindfield East Public School"/>
    <s v="EAST LINDFIELD"/>
    <s v="Ku-ring-gai"/>
    <s v="Sydney - North Sydney and Hornsby"/>
    <x v="0"/>
    <x v="0"/>
    <s v="Metropolitan North"/>
    <x v="0"/>
    <x v="0"/>
    <s v="Coed"/>
    <n v="531"/>
    <m/>
    <s v="Suppressed"/>
    <s v=""/>
    <n v="73"/>
    <n v="1167"/>
    <x v="0"/>
    <n v="2"/>
    <x v="0"/>
    <n v="-33.767479000000002"/>
    <n v="151.18429"/>
  </r>
  <r>
    <s v="2407"/>
    <s v="Lisarow Public School"/>
    <s v="LISAROW"/>
    <s v="Central Coast (NSW)"/>
    <s v="Central Coast"/>
    <x v="0"/>
    <x v="0"/>
    <s v="Regional North"/>
    <x v="0"/>
    <x v="0"/>
    <s v="Coed"/>
    <n v="192"/>
    <n v="10"/>
    <s v="Published"/>
    <n v="19.200000000000003"/>
    <n v="12"/>
    <n v="1035"/>
    <x v="3"/>
    <n v="76"/>
    <x v="1"/>
    <n v="-33.381283000000003"/>
    <n v="151.376296"/>
  </r>
  <r>
    <s v="2409"/>
    <s v="Lismore South Public School"/>
    <s v="South Lismore"/>
    <s v="Lismore"/>
    <s v="Richmond - Tweed"/>
    <x v="1"/>
    <x v="1"/>
    <s v="Rural North"/>
    <x v="0"/>
    <x v="0"/>
    <s v="Coed"/>
    <n v="106"/>
    <n v="25"/>
    <s v="Published"/>
    <n v="26.5"/>
    <n v="9"/>
    <n v="898"/>
    <x v="1"/>
    <n v="145"/>
    <x v="1"/>
    <n v="-28.809501999999998"/>
    <n v="153.262056"/>
  </r>
  <r>
    <s v="2410"/>
    <s v="Lithgow Public School"/>
    <s v="Lithgow"/>
    <s v="Lithgow"/>
    <s v="Central West"/>
    <x v="1"/>
    <x v="1"/>
    <s v="Regional North and West"/>
    <x v="0"/>
    <x v="0"/>
    <s v="Coed"/>
    <n v="324"/>
    <n v="23"/>
    <s v="Published"/>
    <n v="74.52000000000001"/>
    <n v="8"/>
    <n v="919"/>
    <x v="2"/>
    <n v="142"/>
    <x v="0"/>
    <n v="-33.482092000000002"/>
    <n v="150.16022699999999"/>
  </r>
  <r>
    <s v="2413"/>
    <s v="Llandilo Public School"/>
    <s v="Llandilo"/>
    <s v="Penrith"/>
    <s v="Sydney - Outer West and Blue Mountains"/>
    <x v="0"/>
    <x v="0"/>
    <s v="Metropolitan North"/>
    <x v="0"/>
    <x v="0"/>
    <s v="Coed"/>
    <n v="155"/>
    <n v="14"/>
    <s v="Published"/>
    <n v="21.700000000000003"/>
    <n v="24"/>
    <n v="941"/>
    <x v="2"/>
    <n v="135"/>
    <x v="1"/>
    <n v="-33.707236999999999"/>
    <n v="150.75178299999999"/>
  </r>
  <r>
    <s v="2417"/>
    <s v="Lochinvar Public School"/>
    <s v="Lochinvar"/>
    <s v="Maitland"/>
    <s v="Hunter Valley exc Newcastle"/>
    <x v="1"/>
    <x v="1"/>
    <s v="Regional North and West"/>
    <x v="0"/>
    <x v="0"/>
    <s v="Coed"/>
    <n v="194"/>
    <n v="19"/>
    <s v="Published"/>
    <n v="36.86"/>
    <n v="5"/>
    <n v="965"/>
    <x v="2"/>
    <n v="110"/>
    <x v="1"/>
    <n v="-32.700305"/>
    <n v="151.451988"/>
  </r>
  <r>
    <s v="2418"/>
    <s v="Lockhart Central School"/>
    <s v="Lockhart"/>
    <s v="Lockhart"/>
    <s v="Riverina"/>
    <x v="2"/>
    <x v="2"/>
    <s v="Rural South and West"/>
    <x v="1"/>
    <x v="0"/>
    <s v="Coed"/>
    <n v="87"/>
    <n v="26"/>
    <s v="Published"/>
    <n v="22.62"/>
    <n v="0"/>
    <n v="874"/>
    <x v="1"/>
    <n v="148"/>
    <x v="2"/>
    <n v="-35.222752999999997"/>
    <n v="146.71474699999999"/>
  </r>
  <r>
    <s v="2421"/>
    <s v="Londonderry Public School"/>
    <s v="Londonderry"/>
    <s v="Penrith"/>
    <s v="Sydney - Outer West and Blue Mountains"/>
    <x v="0"/>
    <x v="0"/>
    <s v="Regional North"/>
    <x v="0"/>
    <x v="0"/>
    <s v="Coed"/>
    <n v="235"/>
    <n v="15"/>
    <s v="Published"/>
    <n v="35.25"/>
    <n v="16"/>
    <n v="939"/>
    <x v="2"/>
    <n v="125"/>
    <x v="1"/>
    <n v="-33.647454000000003"/>
    <n v="150.73690500000001"/>
  </r>
  <r>
    <s v="2423"/>
    <s v="Long Flat Public School"/>
    <s v="LONG FLAT"/>
    <s v="Port Macquarie-Hastings"/>
    <s v="Mid North Coast"/>
    <x v="1"/>
    <x v="1"/>
    <s v="Regional North and West"/>
    <x v="0"/>
    <x v="0"/>
    <s v="Coed"/>
    <n v="36"/>
    <m/>
    <s v="Suppressed"/>
    <s v=""/>
    <n v="0"/>
    <n v="887"/>
    <x v="1"/>
    <n v="141"/>
    <x v="2"/>
    <n v="-31.437823000000002"/>
    <n v="152.48612"/>
  </r>
  <r>
    <s v="2428"/>
    <s v="Lowanna Public School"/>
    <s v="Lowanna"/>
    <s v="Coffs Harbour"/>
    <s v="Coffs Harbour - Grafton"/>
    <x v="1"/>
    <x v="1"/>
    <s v="Regional North and West"/>
    <x v="0"/>
    <x v="0"/>
    <s v="Coed"/>
    <n v="20"/>
    <n v="55"/>
    <s v="Published"/>
    <n v="11"/>
    <m/>
    <n v="793"/>
    <x v="1"/>
    <n v="126"/>
    <x v="2"/>
    <n v="-30.20722"/>
    <n v="152.899923"/>
  </r>
  <r>
    <s v="2429"/>
    <s v="Lowesdale Public School"/>
    <s v="Lowesdale"/>
    <s v="Federation"/>
    <s v="Murray"/>
    <x v="1"/>
    <x v="1"/>
    <s v="Rural South and West"/>
    <x v="0"/>
    <x v="0"/>
    <s v="Coed"/>
    <n v="11"/>
    <n v="0"/>
    <s v="Published"/>
    <n v="0"/>
    <m/>
    <n v="1010"/>
    <x v="3"/>
    <n v="72"/>
    <x v="2"/>
    <n v="-35.856228999999999"/>
    <n v="146.368662"/>
  </r>
  <r>
    <s v="2431"/>
    <s v="Luddenham Public School"/>
    <s v="LUDDENHAM"/>
    <s v="Liverpool"/>
    <s v="Sydney - Outer West and Blue Mountains"/>
    <x v="1"/>
    <x v="1"/>
    <s v="Regional South and Connected Communities"/>
    <x v="0"/>
    <x v="0"/>
    <s v="Coed"/>
    <n v="35"/>
    <m/>
    <s v="Suppressed"/>
    <s v=""/>
    <n v="15"/>
    <n v="911"/>
    <x v="2"/>
    <n v="163"/>
    <x v="2"/>
    <n v="-33.881331000000003"/>
    <n v="150.69152299999999"/>
  </r>
  <r>
    <s v="2432"/>
    <s v="Lue Public School"/>
    <s v="Lue"/>
    <s v="Mid-Western"/>
    <s v="Central West"/>
    <x v="2"/>
    <x v="2"/>
    <s v="Regional North and West"/>
    <x v="0"/>
    <x v="0"/>
    <s v="Coed"/>
    <n v="26"/>
    <n v="23"/>
    <s v="Published"/>
    <n v="5.98"/>
    <n v="0"/>
    <n v="886"/>
    <x v="1"/>
    <n v="147"/>
    <x v="2"/>
    <n v="-32.656339000000003"/>
    <n v="149.844616"/>
  </r>
  <r>
    <s v="2436"/>
    <s v="Lyndhurst Public School"/>
    <s v="Lyndhurst"/>
    <s v="Blayney"/>
    <s v="Central West"/>
    <x v="2"/>
    <x v="2"/>
    <s v="Rural South and West"/>
    <x v="0"/>
    <x v="0"/>
    <s v="Coed"/>
    <n v="7"/>
    <m/>
    <s v="Suppressed"/>
    <s v=""/>
    <n v="0"/>
    <n v="856"/>
    <x v="1"/>
    <n v="203"/>
    <x v="2"/>
    <n v="-33.673265999999998"/>
    <n v="149.04491400000001"/>
  </r>
  <r>
    <s v="2439"/>
    <s v="Macdonald Valley Public School"/>
    <s v="CENTRAL MACDONALD"/>
    <s v="Hawkesbury"/>
    <s v="Sydney - Baulkham Hills and Hawkesbury"/>
    <x v="1"/>
    <x v="1"/>
    <s v="Regional North"/>
    <x v="0"/>
    <x v="0"/>
    <s v="Coed"/>
    <n v="13"/>
    <m/>
    <s v="Suppressed"/>
    <s v=""/>
    <m/>
    <n v="1020"/>
    <x v="3"/>
    <n v="100"/>
    <x v="2"/>
    <n v="-33.321271000000003"/>
    <n v="150.971993"/>
  </r>
  <r>
    <s v="2444"/>
    <s v="Macksville Public School"/>
    <s v="Macksville"/>
    <s v="Nambucca Valley"/>
    <s v="Mid North Coast"/>
    <x v="1"/>
    <x v="1"/>
    <s v="Regional North and West"/>
    <x v="0"/>
    <x v="0"/>
    <s v="Coed"/>
    <n v="284"/>
    <n v="24"/>
    <s v="Published"/>
    <n v="68.16"/>
    <n v="5"/>
    <n v="925"/>
    <x v="2"/>
    <n v="119"/>
    <x v="1"/>
    <n v="-30.707763"/>
    <n v="152.917145"/>
  </r>
  <r>
    <s v="2448"/>
    <s v="Maimuru Public School"/>
    <s v="Maimuru"/>
    <s v="Hilltops"/>
    <s v="Capital Region"/>
    <x v="2"/>
    <x v="2"/>
    <s v="Rural South and West"/>
    <x v="0"/>
    <x v="0"/>
    <s v="Coed"/>
    <n v="13"/>
    <n v="0"/>
    <s v="Published"/>
    <n v="0"/>
    <n v="0"/>
    <n v="966"/>
    <x v="2"/>
    <n v="143"/>
    <x v="2"/>
    <n v="-34.243065999999999"/>
    <n v="148.21431899999999"/>
  </r>
  <r>
    <s v="2451"/>
    <s v="Maitland East Public School"/>
    <s v="EAST MAITLAND"/>
    <s v="Maitland"/>
    <s v="Hunter Valley exc Newcastle"/>
    <x v="0"/>
    <x v="0"/>
    <s v="Regional North and West"/>
    <x v="0"/>
    <x v="0"/>
    <s v="Coed"/>
    <n v="559"/>
    <n v="15"/>
    <s v="Published"/>
    <n v="83.85"/>
    <n v="9"/>
    <n v="975"/>
    <x v="2"/>
    <n v="97"/>
    <x v="0"/>
    <n v="-32.748990999999997"/>
    <n v="151.58525599999999"/>
  </r>
  <r>
    <s v="2454"/>
    <s v="Malabar Public School"/>
    <s v="MALABAR"/>
    <s v="Randwick"/>
    <s v="Sydney - Eastern Suburbs"/>
    <x v="0"/>
    <x v="0"/>
    <s v="Metropolitan South"/>
    <x v="0"/>
    <x v="0"/>
    <s v="Coed"/>
    <n v="244"/>
    <n v="9"/>
    <s v="Published"/>
    <n v="21.96"/>
    <n v="20"/>
    <n v="1068"/>
    <x v="3"/>
    <n v="54"/>
    <x v="1"/>
    <n v="-33.962214000000003"/>
    <n v="151.248559"/>
  </r>
  <r>
    <s v="2464"/>
    <s v="Manifold Public School"/>
    <s v="Bentley"/>
    <s v="Richmond Valley"/>
    <s v="Richmond - Tweed"/>
    <x v="1"/>
    <x v="1"/>
    <s v="Rural North"/>
    <x v="0"/>
    <x v="0"/>
    <s v="Coed"/>
    <n v="17"/>
    <m/>
    <s v="Suppressed"/>
    <s v=""/>
    <n v="0"/>
    <n v="911"/>
    <x v="2"/>
    <n v="145"/>
    <x v="2"/>
    <n v="-28.749065999999999"/>
    <n v="153.077066"/>
  </r>
  <r>
    <s v="2465"/>
    <s v="Manildra Public School"/>
    <s v="MANILDRA"/>
    <s v="Cabonne"/>
    <s v="Central West"/>
    <x v="2"/>
    <x v="2"/>
    <s v="Rural South and West"/>
    <x v="0"/>
    <x v="0"/>
    <s v="Coed"/>
    <n v="39"/>
    <n v="18"/>
    <s v="Published"/>
    <n v="7.02"/>
    <n v="0"/>
    <n v="947"/>
    <x v="2"/>
    <n v="98"/>
    <x v="2"/>
    <n v="-33.184213999999997"/>
    <n v="148.70012199999999"/>
  </r>
  <r>
    <s v="2469"/>
    <s v="Manly West Public School"/>
    <s v="Balgowlah"/>
    <s v="Northern Beaches"/>
    <s v="Sydney - Northern Beaches"/>
    <x v="0"/>
    <x v="0"/>
    <s v="Metropolitan North"/>
    <x v="0"/>
    <x v="0"/>
    <s v="Coed"/>
    <n v="761"/>
    <n v="1"/>
    <s v="Published"/>
    <n v="7.61"/>
    <n v="25"/>
    <n v="1147"/>
    <x v="0"/>
    <n v="8"/>
    <x v="3"/>
    <n v="-33.791874999999997"/>
    <n v="151.268753"/>
  </r>
  <r>
    <s v="2472"/>
    <s v="Maraylya Public School"/>
    <s v="Maraylya"/>
    <s v="Hawkesbury"/>
    <s v="Sydney - Baulkham Hills and Hawkesbury"/>
    <x v="1"/>
    <x v="1"/>
    <s v="Regional North"/>
    <x v="0"/>
    <x v="0"/>
    <s v="Coed"/>
    <n v="106"/>
    <n v="10"/>
    <s v="Published"/>
    <n v="10.600000000000001"/>
    <n v="7"/>
    <n v="1018"/>
    <x v="3"/>
    <n v="76"/>
    <x v="1"/>
    <n v="-33.592680999999999"/>
    <n v="150.91626400000001"/>
  </r>
  <r>
    <s v="2476"/>
    <s v="Pelican Flat Public School"/>
    <s v="PELICAN"/>
    <s v="Lake Macquarie"/>
    <s v="Newcastle and Lake Macquarie"/>
    <x v="0"/>
    <x v="0"/>
    <s v="Regional North"/>
    <x v="0"/>
    <x v="0"/>
    <s v="Coed"/>
    <n v="94"/>
    <n v="13"/>
    <s v="Published"/>
    <n v="12.22"/>
    <m/>
    <n v="981"/>
    <x v="2"/>
    <n v="114"/>
    <x v="2"/>
    <n v="-33.074333000000003"/>
    <n v="151.648248"/>
  </r>
  <r>
    <s v="2480"/>
    <s v="Maroota Public School"/>
    <s v="MAROOTA"/>
    <s v="The Hills"/>
    <s v="Sydney - Baulkham Hills and Hawkesbury"/>
    <x v="1"/>
    <x v="1"/>
    <s v="Regional North"/>
    <x v="0"/>
    <x v="0"/>
    <s v="Coed"/>
    <n v="31"/>
    <m/>
    <s v="Suppressed"/>
    <s v=""/>
    <m/>
    <n v="950"/>
    <x v="2"/>
    <n v="132"/>
    <x v="2"/>
    <n v="-33.455283000000001"/>
    <n v="150.99365"/>
  </r>
  <r>
    <s v="2482"/>
    <s v="Maroubra Bay Public School"/>
    <s v="Maroubra"/>
    <s v="Randwick"/>
    <s v="Sydney - Eastern Suburbs"/>
    <x v="0"/>
    <x v="0"/>
    <s v="Metropolitan South"/>
    <x v="0"/>
    <x v="0"/>
    <s v="Coed"/>
    <n v="269"/>
    <n v="11"/>
    <s v="Published"/>
    <n v="29.59"/>
    <n v="40"/>
    <n v="1055"/>
    <x v="3"/>
    <n v="69"/>
    <x v="1"/>
    <n v="-33.944235999999997"/>
    <n v="151.253017"/>
  </r>
  <r>
    <s v="2485"/>
    <s v="Marrar Public School"/>
    <s v="Marrar"/>
    <s v="Coolamon"/>
    <s v="Riverina"/>
    <x v="1"/>
    <x v="1"/>
    <s v="Rural South and West"/>
    <x v="0"/>
    <x v="0"/>
    <s v="Coed"/>
    <n v="27"/>
    <m/>
    <s v="Suppressed"/>
    <s v=""/>
    <m/>
    <n v="1008"/>
    <x v="3"/>
    <n v="91"/>
    <x v="2"/>
    <n v="-34.828341000000002"/>
    <n v="147.355155"/>
  </r>
  <r>
    <s v="2489"/>
    <s v="Marsden Park Public School"/>
    <s v="MARSDEN PARK"/>
    <s v="Blacktown"/>
    <s v="Sydney - Blacktown"/>
    <x v="0"/>
    <x v="0"/>
    <s v="Metropolitan North"/>
    <x v="0"/>
    <x v="0"/>
    <s v="Coed"/>
    <n v="242"/>
    <n v="5"/>
    <s v="Published"/>
    <n v="12.100000000000001"/>
    <n v="75"/>
    <n v="1060"/>
    <x v="3"/>
    <n v="43"/>
    <x v="1"/>
    <n v="-33.696424999999998"/>
    <n v="150.833642"/>
  </r>
  <r>
    <s v="2492"/>
    <s v="Martindale Public School"/>
    <s v="Martindale"/>
    <s v="Muswellbrook"/>
    <s v="Hunter Valley exc Newcastle"/>
    <x v="2"/>
    <x v="2"/>
    <s v="Regional North and West"/>
    <x v="0"/>
    <x v="0"/>
    <s v="Coed"/>
    <n v="7"/>
    <n v="0"/>
    <s v="Published"/>
    <n v="0"/>
    <n v="0"/>
    <n v="992"/>
    <x v="2"/>
    <n v="137"/>
    <x v="2"/>
    <n v="-32.458834000000003"/>
    <n v="150.66572300000001"/>
  </r>
  <r>
    <s v="2493"/>
    <s v="Martins Creek Public School"/>
    <s v="Martins Creek"/>
    <s v="Dungog"/>
    <s v="Hunter Valley exc Newcastle"/>
    <x v="1"/>
    <x v="1"/>
    <s v="Regional North and West"/>
    <x v="0"/>
    <x v="0"/>
    <s v="Coed"/>
    <n v="5"/>
    <n v="0"/>
    <s v="Published"/>
    <n v="0"/>
    <n v="0"/>
    <m/>
    <x v="4"/>
    <n v="216"/>
    <x v="2"/>
    <n v="-32.565995999999998"/>
    <n v="151.62345300000001"/>
  </r>
  <r>
    <s v="2494"/>
    <s v="Martins Gully Public School"/>
    <s v="Armidale"/>
    <s v="Armidale"/>
    <s v="New England and North West"/>
    <x v="1"/>
    <x v="1"/>
    <s v="Rural North"/>
    <x v="0"/>
    <x v="0"/>
    <s v="Coed"/>
    <n v="164"/>
    <n v="5"/>
    <s v="Published"/>
    <n v="8.2000000000000011"/>
    <n v="7"/>
    <n v="1050"/>
    <x v="3"/>
    <n v="61"/>
    <x v="1"/>
    <n v="-30.523938000000001"/>
    <n v="151.63725600000001"/>
  </r>
  <r>
    <s v="2496"/>
    <s v="Marulan Public School"/>
    <s v="Marulan"/>
    <s v="Goulburn Mulwaree"/>
    <s v="Capital Region"/>
    <x v="1"/>
    <x v="1"/>
    <s v="Regional South and Connected Communities"/>
    <x v="0"/>
    <x v="0"/>
    <s v="Coed"/>
    <n v="140"/>
    <n v="13"/>
    <s v="Published"/>
    <n v="18.2"/>
    <n v="9"/>
    <n v="968"/>
    <x v="2"/>
    <n v="111"/>
    <x v="1"/>
    <n v="-34.713399000000003"/>
    <n v="150.00660300000001"/>
  </r>
  <r>
    <s v="2499"/>
    <s v="Mascot Public School"/>
    <s v="Mascot"/>
    <s v="Bayside (NSW)"/>
    <s v="Sydney - City and Inner South"/>
    <x v="0"/>
    <x v="0"/>
    <s v="Metropolitan South"/>
    <x v="0"/>
    <x v="0"/>
    <s v="Coed"/>
    <n v="397"/>
    <n v="6"/>
    <s v="Published"/>
    <n v="23.82"/>
    <n v="75"/>
    <n v="1035"/>
    <x v="3"/>
    <n v="62"/>
    <x v="0"/>
    <n v="-33.928576999999997"/>
    <n v="151.192485"/>
  </r>
  <r>
    <s v="2500"/>
    <s v="Mathoura Public School"/>
    <s v="Mathoura"/>
    <s v="Murray River"/>
    <s v="Murray"/>
    <x v="2"/>
    <x v="2"/>
    <s v="Rural South and West"/>
    <x v="0"/>
    <x v="0"/>
    <s v="Coed"/>
    <n v="52"/>
    <n v="17"/>
    <s v="Published"/>
    <n v="8.84"/>
    <n v="0"/>
    <n v="943"/>
    <x v="2"/>
    <n v="122"/>
    <x v="2"/>
    <n v="-35.816079000000002"/>
    <n v="144.902097"/>
  </r>
  <r>
    <s v="2501"/>
    <s v="Matong Public School"/>
    <s v="MATONG"/>
    <s v="Coolamon"/>
    <s v="Riverina"/>
    <x v="2"/>
    <x v="2"/>
    <s v="Rural South and West"/>
    <x v="0"/>
    <x v="0"/>
    <s v="Coed"/>
    <n v="32"/>
    <m/>
    <s v="Suppressed"/>
    <s v=""/>
    <n v="0"/>
    <n v="961"/>
    <x v="2"/>
    <n v="107"/>
    <x v="2"/>
    <n v="-34.770060999999998"/>
    <n v="146.92730299999999"/>
  </r>
  <r>
    <s v="2502"/>
    <s v="Matraville Public School"/>
    <s v="MATRAVILLE"/>
    <s v="Bayside (NSW)"/>
    <s v="Sydney - City and Inner South"/>
    <x v="0"/>
    <x v="0"/>
    <s v="Metropolitan South"/>
    <x v="0"/>
    <x v="0"/>
    <s v="Coed"/>
    <n v="222"/>
    <n v="6"/>
    <s v="Published"/>
    <n v="13.32"/>
    <n v="71"/>
    <n v="1046"/>
    <x v="3"/>
    <n v="68"/>
    <x v="1"/>
    <n v="-33.955064"/>
    <n v="151.22911099999999"/>
  </r>
  <r>
    <s v="2506"/>
    <s v="Mayfield East Public School"/>
    <s v="Mayfield East"/>
    <s v="Newcastle"/>
    <s v="Newcastle and Lake Macquarie"/>
    <x v="0"/>
    <x v="0"/>
    <s v="Regional North"/>
    <x v="0"/>
    <x v="0"/>
    <s v="Coed"/>
    <n v="343"/>
    <n v="10"/>
    <s v="Published"/>
    <n v="34.300000000000004"/>
    <n v="10"/>
    <n v="1044"/>
    <x v="3"/>
    <n v="59"/>
    <x v="0"/>
    <n v="-32.895359999999997"/>
    <n v="151.74866599999999"/>
  </r>
  <r>
    <s v="2507"/>
    <s v="Mayfield West Public School"/>
    <s v="Mayfield"/>
    <s v="Newcastle"/>
    <s v="Newcastle and Lake Macquarie"/>
    <x v="0"/>
    <x v="0"/>
    <s v="Regional North"/>
    <x v="0"/>
    <x v="0"/>
    <s v="Coed"/>
    <n v="342"/>
    <n v="13"/>
    <s v="Published"/>
    <n v="44.46"/>
    <n v="22"/>
    <n v="1033"/>
    <x v="3"/>
    <n v="66"/>
    <x v="0"/>
    <n v="-32.888697000000001"/>
    <n v="151.73011600000001"/>
  </r>
  <r>
    <s v="2508"/>
    <s v="Mayrung Public School"/>
    <s v="Deniliquin"/>
    <s v="Edward River"/>
    <s v="Murray"/>
    <x v="2"/>
    <x v="2"/>
    <s v="Rural South and West"/>
    <x v="0"/>
    <x v="0"/>
    <s v="Coed"/>
    <n v="27"/>
    <m/>
    <s v="Suppressed"/>
    <s v=""/>
    <n v="0"/>
    <n v="875"/>
    <x v="1"/>
    <n v="176"/>
    <x v="2"/>
    <n v="-35.464317000000001"/>
    <n v="145.30878999999999"/>
  </r>
  <r>
    <s v="2509"/>
    <s v="Meadow Flat Public School"/>
    <s v="MEADOW FLAT"/>
    <s v="Lithgow"/>
    <s v="Central West"/>
    <x v="1"/>
    <x v="1"/>
    <s v="Regional North and West"/>
    <x v="0"/>
    <x v="0"/>
    <s v="Coed"/>
    <n v="30"/>
    <m/>
    <s v="Suppressed"/>
    <s v=""/>
    <m/>
    <n v="1000"/>
    <x v="3"/>
    <n v="81"/>
    <x v="2"/>
    <n v="-33.433726"/>
    <n v="149.920456"/>
  </r>
  <r>
    <s v="2510"/>
    <s v="The Meadows Public School"/>
    <s v="Seven Hills"/>
    <s v="Blacktown"/>
    <s v="Sydney - Blacktown"/>
    <x v="0"/>
    <x v="0"/>
    <s v="Metropolitan South and West"/>
    <x v="0"/>
    <x v="0"/>
    <s v="Coed"/>
    <n v="335"/>
    <n v="10"/>
    <s v="Published"/>
    <n v="33.5"/>
    <n v="73"/>
    <n v="984"/>
    <x v="2"/>
    <n v="99"/>
    <x v="0"/>
    <n v="-33.781365000000001"/>
    <n v="150.942567"/>
  </r>
  <r>
    <s v="2511"/>
    <s v="Medlow Public School"/>
    <s v="UPPER TAYLORS ARM"/>
    <s v="Nambucca Valley"/>
    <s v="Mid North Coast"/>
    <x v="2"/>
    <x v="2"/>
    <s v="Regional North and West"/>
    <x v="0"/>
    <x v="0"/>
    <s v="Coed"/>
    <n v="33"/>
    <m/>
    <s v="Suppressed"/>
    <s v=""/>
    <m/>
    <n v="978"/>
    <x v="2"/>
    <n v="106"/>
    <x v="2"/>
    <n v="-30.779087000000001"/>
    <n v="152.69015999999999"/>
  </r>
  <r>
    <s v="2512"/>
    <s v="Medowie Public School"/>
    <s v="Medowie"/>
    <s v="Port Stephens"/>
    <s v="Hunter Valley exc Newcastle"/>
    <x v="1"/>
    <x v="1"/>
    <s v="Regional North"/>
    <x v="0"/>
    <x v="0"/>
    <s v="Coed"/>
    <n v="382"/>
    <n v="13"/>
    <s v="Published"/>
    <n v="49.660000000000004"/>
    <n v="6"/>
    <n v="994"/>
    <x v="2"/>
    <n v="93"/>
    <x v="0"/>
    <n v="-32.738244999999999"/>
    <n v="151.85406"/>
  </r>
  <r>
    <s v="2515"/>
    <s v="Megalong Public School"/>
    <s v="Megalong"/>
    <s v="Blue Mountains"/>
    <s v="Sydney - Outer West and Blue Mountains"/>
    <x v="1"/>
    <x v="1"/>
    <s v="Regional North"/>
    <x v="0"/>
    <x v="0"/>
    <s v="Coed"/>
    <n v="3"/>
    <n v="0"/>
    <s v="Published"/>
    <n v="0"/>
    <n v="0"/>
    <n v="1046"/>
    <x v="3"/>
    <n v="62"/>
    <x v="2"/>
    <n v="-33.715300999999997"/>
    <n v="150.23258200000001"/>
  </r>
  <r>
    <s v="2520"/>
    <s v="Menai Public School"/>
    <s v="Menai"/>
    <s v="Sutherland"/>
    <s v="Sydney - Sutherland"/>
    <x v="0"/>
    <x v="0"/>
    <s v="Metropolitan South and West"/>
    <x v="0"/>
    <x v="0"/>
    <s v="Coed"/>
    <n v="154"/>
    <n v="5"/>
    <s v="Published"/>
    <n v="7.7"/>
    <n v="29"/>
    <n v="1036"/>
    <x v="3"/>
    <n v="81"/>
    <x v="1"/>
    <n v="-34.012129999999999"/>
    <n v="151.006587"/>
  </r>
  <r>
    <s v="2522"/>
    <s v="Mendooran Central School"/>
    <s v="MENDOORAN"/>
    <s v="Warrumbungle"/>
    <s v="Far West and Orana"/>
    <x v="2"/>
    <x v="2"/>
    <s v="Regional North and West"/>
    <x v="1"/>
    <x v="0"/>
    <s v="Coed"/>
    <n v="89.8"/>
    <n v="38"/>
    <s v="Published"/>
    <n v="34.124000000000002"/>
    <m/>
    <n v="889"/>
    <x v="1"/>
    <n v="123"/>
    <x v="2"/>
    <n v="-31.818731"/>
    <n v="149.122445"/>
  </r>
  <r>
    <s v="2523"/>
    <s v="Menindee Central School"/>
    <s v="MENINDEE"/>
    <s v="Central Darling"/>
    <s v="Far West and Orana"/>
    <x v="4"/>
    <x v="4"/>
    <s v="Regional South and Connected Communities"/>
    <x v="1"/>
    <x v="0"/>
    <s v="Coed"/>
    <n v="74"/>
    <n v="80"/>
    <s v="Published"/>
    <n v="59.2"/>
    <n v="9"/>
    <n v="760"/>
    <x v="1"/>
    <n v="179"/>
    <x v="2"/>
    <n v="-32.393368000000002"/>
    <n v="142.41328999999999"/>
  </r>
  <r>
    <s v="2525"/>
    <s v="Merewether Public School"/>
    <s v="MEREWETHER"/>
    <s v="Newcastle"/>
    <s v="Newcastle and Lake Macquarie"/>
    <x v="0"/>
    <x v="0"/>
    <s v="Regional North"/>
    <x v="0"/>
    <x v="0"/>
    <s v="Coed"/>
    <n v="139"/>
    <n v="31"/>
    <s v="Published"/>
    <n v="43.089999999999996"/>
    <n v="7"/>
    <n v="950"/>
    <x v="2"/>
    <n v="125"/>
    <x v="1"/>
    <n v="-32.937547000000002"/>
    <n v="151.742152"/>
  </r>
  <r>
    <s v="2526"/>
    <s v="Merimbula Public School"/>
    <s v="MERIMBULA"/>
    <s v="Bega Valley"/>
    <s v="Capital Region"/>
    <x v="2"/>
    <x v="2"/>
    <s v="Rural South and West"/>
    <x v="0"/>
    <x v="0"/>
    <s v="Coed"/>
    <n v="428"/>
    <n v="9"/>
    <s v="Published"/>
    <n v="38.519999999999996"/>
    <n v="17"/>
    <n v="1001"/>
    <x v="3"/>
    <n v="89"/>
    <x v="0"/>
    <n v="-36.886524999999999"/>
    <n v="149.91695200000001"/>
  </r>
  <r>
    <s v="2528"/>
    <s v="Merriwa Central School"/>
    <s v="MERRIWA"/>
    <s v="Upper Hunter"/>
    <s v="Hunter Valley exc Newcastle"/>
    <x v="2"/>
    <x v="2"/>
    <s v="Regional North and West"/>
    <x v="1"/>
    <x v="0"/>
    <s v="Coed"/>
    <n v="221"/>
    <n v="25"/>
    <s v="Published"/>
    <n v="55.25"/>
    <m/>
    <n v="879"/>
    <x v="1"/>
    <n v="149"/>
    <x v="1"/>
    <n v="-32.145113000000002"/>
    <n v="150.352867"/>
  </r>
  <r>
    <s v="2531"/>
    <s v="Merrylands Public School"/>
    <s v="Merrylands"/>
    <s v="Cumberland"/>
    <s v="Sydney - Parramatta"/>
    <x v="0"/>
    <x v="0"/>
    <s v="Metropolitan South"/>
    <x v="0"/>
    <x v="0"/>
    <s v="Coed"/>
    <n v="620"/>
    <n v="1"/>
    <s v="Published"/>
    <n v="6.2"/>
    <n v="91"/>
    <n v="936"/>
    <x v="2"/>
    <n v="155"/>
    <x v="3"/>
    <n v="-33.840516000000001"/>
    <n v="150.97604699999999"/>
  </r>
  <r>
    <s v="2532"/>
    <s v="Bonnells Bay Public School"/>
    <s v="Bonnells Bay"/>
    <s v="Lake Macquarie"/>
    <s v="Newcastle and Lake Macquarie"/>
    <x v="0"/>
    <x v="0"/>
    <s v="Regional North"/>
    <x v="0"/>
    <x v="0"/>
    <s v="Coed"/>
    <n v="376"/>
    <n v="23"/>
    <s v="Published"/>
    <n v="86.48"/>
    <n v="6"/>
    <n v="925"/>
    <x v="2"/>
    <n v="130"/>
    <x v="0"/>
    <n v="-33.114488999999999"/>
    <n v="151.516783"/>
  </r>
  <r>
    <s v="2540"/>
    <s v="Michelago Public School"/>
    <s v="Michelago"/>
    <s v="Snowy Monaro"/>
    <s v="Capital Region"/>
    <x v="1"/>
    <x v="1"/>
    <s v="Rural South and West"/>
    <x v="0"/>
    <x v="0"/>
    <s v="Coed"/>
    <n v="45"/>
    <n v="16"/>
    <s v="Published"/>
    <n v="7.2"/>
    <n v="22"/>
    <n v="990"/>
    <x v="2"/>
    <n v="100"/>
    <x v="2"/>
    <n v="-35.705975000000002"/>
    <n v="149.16171600000001"/>
  </r>
  <r>
    <s v="2542"/>
    <s v="Middle Dural Public School"/>
    <s v="Middle Dural"/>
    <s v="Hornsby"/>
    <s v="Sydney - Baulkham Hills and Hawkesbury"/>
    <x v="0"/>
    <x v="0"/>
    <s v="Regional North"/>
    <x v="0"/>
    <x v="0"/>
    <s v="Coed"/>
    <n v="31"/>
    <m/>
    <s v="Suppressed"/>
    <s v=""/>
    <n v="47"/>
    <n v="1007"/>
    <x v="3"/>
    <n v="96"/>
    <x v="2"/>
    <n v="-33.644959999999998"/>
    <n v="151.023178"/>
  </r>
  <r>
    <s v="2543"/>
    <s v="Middle Harbour Public School"/>
    <s v="Mosman"/>
    <s v="Mosman"/>
    <s v="Sydney - North Sydney and Hornsby"/>
    <x v="0"/>
    <x v="0"/>
    <s v="Metropolitan North"/>
    <x v="0"/>
    <x v="0"/>
    <s v="Coed"/>
    <n v="423"/>
    <m/>
    <s v="Suppressed"/>
    <s v=""/>
    <n v="32"/>
    <n v="1162"/>
    <x v="0"/>
    <n v="3"/>
    <x v="0"/>
    <n v="-33.82282"/>
    <n v="151.23269999999999"/>
  </r>
  <r>
    <s v="2550"/>
    <s v="Milbrodale Public School"/>
    <s v="MILBRODALE"/>
    <s v="Singleton"/>
    <s v="Hunter Valley exc Newcastle"/>
    <x v="2"/>
    <x v="2"/>
    <s v="Regional North and West"/>
    <x v="0"/>
    <x v="0"/>
    <s v="Coed"/>
    <n v="19"/>
    <n v="68"/>
    <s v="Published"/>
    <n v="12.920000000000002"/>
    <m/>
    <n v="800"/>
    <x v="1"/>
    <n v="160"/>
    <x v="2"/>
    <n v="-32.696789000000003"/>
    <n v="151.005819"/>
  </r>
  <r>
    <s v="2554"/>
    <s v="Millers Forest Public School"/>
    <s v="MILLERS FOREST"/>
    <s v="Maitland"/>
    <s v="Hunter Valley exc Newcastle"/>
    <x v="0"/>
    <x v="0"/>
    <s v="Regional North and West"/>
    <x v="0"/>
    <x v="0"/>
    <s v="Coed"/>
    <n v="60"/>
    <n v="18"/>
    <s v="Published"/>
    <n v="10.799999999999999"/>
    <m/>
    <n v="920"/>
    <x v="2"/>
    <n v="149"/>
    <x v="2"/>
    <n v="-32.752066999999997"/>
    <n v="151.70372399999999"/>
  </r>
  <r>
    <s v="2555"/>
    <s v="Millfield Public School"/>
    <s v="Millfield"/>
    <s v="Cessnock"/>
    <s v="Hunter Valley exc Newcastle"/>
    <x v="1"/>
    <x v="1"/>
    <s v="Regional North"/>
    <x v="0"/>
    <x v="0"/>
    <s v="Coed"/>
    <n v="101"/>
    <n v="22"/>
    <s v="Published"/>
    <n v="22.22"/>
    <m/>
    <n v="932"/>
    <x v="2"/>
    <n v="130"/>
    <x v="1"/>
    <n v="-32.889837"/>
    <n v="151.25077400000001"/>
  </r>
  <r>
    <s v="2558"/>
    <s v="Millthorpe Public School"/>
    <s v="Millthorpe"/>
    <s v="Blayney"/>
    <s v="Central West"/>
    <x v="1"/>
    <x v="1"/>
    <s v="Rural South and West"/>
    <x v="0"/>
    <x v="0"/>
    <s v="Coed"/>
    <n v="235"/>
    <n v="8"/>
    <s v="Published"/>
    <n v="18.8"/>
    <n v="3"/>
    <n v="1053"/>
    <x v="3"/>
    <n v="50"/>
    <x v="1"/>
    <n v="-33.445146000000001"/>
    <n v="149.18593899999999"/>
  </r>
  <r>
    <s v="2560"/>
    <s v="Milperra Public School"/>
    <s v="Milperra"/>
    <s v="Canterbury-Bankstown"/>
    <s v="Sydney - Inner South West"/>
    <x v="0"/>
    <x v="0"/>
    <s v="Metropolitan South and West"/>
    <x v="0"/>
    <x v="0"/>
    <s v="Coed"/>
    <n v="317"/>
    <n v="5"/>
    <s v="Published"/>
    <n v="15.850000000000001"/>
    <n v="34"/>
    <n v="1027"/>
    <x v="3"/>
    <n v="89"/>
    <x v="0"/>
    <n v="-33.942076999999998"/>
    <n v="150.97977900000001"/>
  </r>
  <r>
    <s v="2565"/>
    <s v="Milton Public School"/>
    <s v="Milton"/>
    <s v="Shoalhaven"/>
    <s v="Southern Highlands and Shoalhaven"/>
    <x v="1"/>
    <x v="1"/>
    <s v="Regional South and Connected Communities"/>
    <x v="0"/>
    <x v="0"/>
    <s v="Coed"/>
    <n v="823"/>
    <n v="9"/>
    <s v="Published"/>
    <n v="74.069999999999993"/>
    <n v="8"/>
    <n v="1024"/>
    <x v="3"/>
    <n v="71"/>
    <x v="3"/>
    <n v="-35.314149"/>
    <n v="150.43581599999999"/>
  </r>
  <r>
    <s v="2571"/>
    <s v="Minmi Public School"/>
    <s v="Minmi"/>
    <s v="Newcastle"/>
    <s v="Newcastle and Lake Macquarie"/>
    <x v="0"/>
    <x v="0"/>
    <s v="Regional North"/>
    <x v="0"/>
    <x v="0"/>
    <s v="Coed"/>
    <n v="133"/>
    <n v="18"/>
    <s v="Published"/>
    <n v="23.939999999999998"/>
    <n v="15"/>
    <n v="1018"/>
    <x v="3"/>
    <n v="63"/>
    <x v="1"/>
    <n v="-32.876125000000002"/>
    <n v="151.61747099999999"/>
  </r>
  <r>
    <s v="2572"/>
    <s v="Minto Public School"/>
    <s v="MINTO"/>
    <s v="Campbelltown (NSW)"/>
    <s v="Sydney - Outer South West"/>
    <x v="0"/>
    <x v="0"/>
    <s v="Metropolitan South and West"/>
    <x v="0"/>
    <x v="0"/>
    <s v="Coed"/>
    <n v="220"/>
    <n v="5"/>
    <s v="Published"/>
    <n v="11"/>
    <n v="79"/>
    <n v="1010"/>
    <x v="3"/>
    <n v="80"/>
    <x v="1"/>
    <n v="-34.029978999999997"/>
    <n v="150.84726599999999"/>
  </r>
  <r>
    <s v="2574"/>
    <s v="Miranda Public School"/>
    <s v="MIRANDA"/>
    <s v="Sutherland"/>
    <s v="Sydney - Sutherland"/>
    <x v="0"/>
    <x v="0"/>
    <s v="Metropolitan South and West"/>
    <x v="0"/>
    <x v="0"/>
    <s v="Coed"/>
    <n v="300"/>
    <n v="4"/>
    <s v="Published"/>
    <n v="12"/>
    <n v="54"/>
    <n v="1024"/>
    <x v="3"/>
    <n v="75"/>
    <x v="0"/>
    <n v="-34.034644999999998"/>
    <n v="151.09740500000001"/>
  </r>
  <r>
    <s v="2580"/>
    <s v="Mitchells Island Public School"/>
    <s v="Mitchells Island"/>
    <s v="Mid-Coast"/>
    <s v="Mid North Coast"/>
    <x v="1"/>
    <x v="1"/>
    <s v="Regional North and West"/>
    <x v="0"/>
    <x v="0"/>
    <s v="Coed"/>
    <n v="37"/>
    <m/>
    <s v="Suppressed"/>
    <s v=""/>
    <m/>
    <n v="917"/>
    <x v="2"/>
    <n v="135"/>
    <x v="2"/>
    <n v="-31.896761999999999"/>
    <n v="152.61405400000001"/>
  </r>
  <r>
    <s v="2581"/>
    <s v="Mittagong Public School"/>
    <s v="Mittagong"/>
    <s v="Wingecarribee"/>
    <s v="Southern Highlands and Shoalhaven"/>
    <x v="1"/>
    <x v="1"/>
    <s v="Regional South and Connected Communities"/>
    <x v="0"/>
    <x v="0"/>
    <s v="Coed"/>
    <n v="536"/>
    <n v="11"/>
    <s v="Published"/>
    <n v="58.96"/>
    <n v="20"/>
    <n v="992"/>
    <x v="2"/>
    <n v="90"/>
    <x v="0"/>
    <n v="-34.448044000000003"/>
    <n v="150.44438"/>
  </r>
  <r>
    <s v="2584"/>
    <s v="Moama Public School"/>
    <s v="Moama"/>
    <s v="Murray River"/>
    <s v="Murray"/>
    <x v="1"/>
    <x v="1"/>
    <s v="Rural South and West"/>
    <x v="0"/>
    <x v="0"/>
    <s v="Coed"/>
    <n v="113"/>
    <n v="30"/>
    <s v="Published"/>
    <n v="33.9"/>
    <n v="5"/>
    <n v="889"/>
    <x v="1"/>
    <n v="144"/>
    <x v="1"/>
    <n v="-36.115313999999998"/>
    <n v="144.762821"/>
  </r>
  <r>
    <s v="2585"/>
    <s v="Modanville Public School"/>
    <s v="Lismore"/>
    <s v="Lismore"/>
    <s v="Richmond - Tweed"/>
    <x v="1"/>
    <x v="1"/>
    <s v="Rural North"/>
    <x v="0"/>
    <x v="0"/>
    <s v="Coed"/>
    <n v="58"/>
    <m/>
    <s v="Suppressed"/>
    <s v=""/>
    <m/>
    <n v="1014"/>
    <x v="3"/>
    <n v="74"/>
    <x v="2"/>
    <n v="-28.730204000000001"/>
    <n v="153.297192"/>
  </r>
  <r>
    <s v="2586"/>
    <s v="Mogo Public School"/>
    <s v="Mogo"/>
    <s v="Eurobodalla"/>
    <s v="Capital Region"/>
    <x v="1"/>
    <x v="1"/>
    <s v="Regional South and Connected Communities"/>
    <x v="0"/>
    <x v="0"/>
    <s v="Coed"/>
    <n v="27"/>
    <n v="52"/>
    <s v="Published"/>
    <n v="14.040000000000001"/>
    <n v="0"/>
    <n v="818"/>
    <x v="1"/>
    <n v="179"/>
    <x v="2"/>
    <n v="-35.786090999999999"/>
    <n v="150.140569"/>
  </r>
  <r>
    <s v="2590"/>
    <s v="Molong Central School"/>
    <s v="Molong"/>
    <s v="Cabonne"/>
    <s v="Central West"/>
    <x v="1"/>
    <x v="1"/>
    <s v="Rural South and West"/>
    <x v="1"/>
    <x v="0"/>
    <s v="Coed"/>
    <n v="392.8"/>
    <n v="26"/>
    <s v="Published"/>
    <n v="102.128"/>
    <n v="4"/>
    <n v="917"/>
    <x v="2"/>
    <n v="121"/>
    <x v="0"/>
    <n v="-33.098011"/>
    <n v="148.86389"/>
  </r>
  <r>
    <s v="2593"/>
    <s v="Mona Vale Public School"/>
    <s v="Mona Vale"/>
    <s v="Northern Beaches"/>
    <s v="Sydney - Northern Beaches"/>
    <x v="0"/>
    <x v="0"/>
    <s v="Metropolitan North"/>
    <x v="0"/>
    <x v="0"/>
    <s v="Coed"/>
    <n v="671"/>
    <n v="2"/>
    <s v="Published"/>
    <n v="13.42"/>
    <n v="22"/>
    <n v="1096"/>
    <x v="3"/>
    <n v="39"/>
    <x v="3"/>
    <n v="-33.676997999999998"/>
    <n v="151.30040399999999"/>
  </r>
  <r>
    <s v="2599"/>
    <s v="Monteagle Public School"/>
    <s v="Monteagle"/>
    <s v="Hilltops"/>
    <s v="Capital Region"/>
    <x v="2"/>
    <x v="2"/>
    <s v="Rural South and West"/>
    <x v="0"/>
    <x v="0"/>
    <s v="Coed"/>
    <n v="24"/>
    <m/>
    <s v="Suppressed"/>
    <s v=""/>
    <m/>
    <n v="969"/>
    <x v="2"/>
    <n v="110"/>
    <x v="2"/>
    <n v="-34.192993999999999"/>
    <n v="148.34725"/>
  </r>
  <r>
    <s v="2608"/>
    <s v="Moonbi Public School"/>
    <s v="Moonbi"/>
    <s v="Tamworth"/>
    <s v="New England and North West"/>
    <x v="2"/>
    <x v="2"/>
    <s v="Rural North"/>
    <x v="0"/>
    <x v="0"/>
    <s v="Coed"/>
    <n v="31"/>
    <n v="45"/>
    <s v="Published"/>
    <n v="13.950000000000001"/>
    <m/>
    <n v="850"/>
    <x v="1"/>
    <n v="140"/>
    <x v="2"/>
    <n v="-31.019752"/>
    <n v="151.07357300000001"/>
  </r>
  <r>
    <s v="2616"/>
    <s v="Moorland Public School"/>
    <s v="MOORLAND"/>
    <s v="Mid-Coast"/>
    <s v="Mid North Coast"/>
    <x v="1"/>
    <x v="1"/>
    <s v="Regional North and West"/>
    <x v="0"/>
    <x v="0"/>
    <s v="Coed"/>
    <n v="31"/>
    <n v="45"/>
    <s v="Published"/>
    <n v="13.950000000000001"/>
    <n v="0"/>
    <n v="825"/>
    <x v="1"/>
    <n v="159"/>
    <x v="2"/>
    <n v="-31.769631"/>
    <n v="152.651174"/>
  </r>
  <r>
    <s v="2618"/>
    <s v="Moree Public School"/>
    <s v="Moree"/>
    <s v="Moree Plains"/>
    <s v="New England and North West"/>
    <x v="2"/>
    <x v="2"/>
    <s v="Rural North"/>
    <x v="0"/>
    <x v="0"/>
    <s v="Coed"/>
    <n v="432"/>
    <n v="45"/>
    <s v="Published"/>
    <n v="194.4"/>
    <n v="8"/>
    <n v="862"/>
    <x v="1"/>
    <n v="139"/>
    <x v="0"/>
    <n v="-29.466194000000002"/>
    <n v="149.83756399999999"/>
  </r>
  <r>
    <s v="2621"/>
    <s v="Morisset Public School"/>
    <s v="MORISSET"/>
    <s v="Lake Macquarie"/>
    <s v="Newcastle and Lake Macquarie"/>
    <x v="0"/>
    <x v="0"/>
    <s v="Regional North"/>
    <x v="0"/>
    <x v="0"/>
    <s v="Coed"/>
    <n v="156"/>
    <n v="29"/>
    <s v="Published"/>
    <n v="45.239999999999995"/>
    <n v="14"/>
    <n v="919"/>
    <x v="2"/>
    <n v="122"/>
    <x v="1"/>
    <n v="-33.103543000000002"/>
    <n v="151.48958300000001"/>
  </r>
  <r>
    <s v="2623"/>
    <s v="Morpeth Public School"/>
    <s v="Morpeth"/>
    <s v="Maitland"/>
    <s v="Hunter Valley exc Newcastle"/>
    <x v="0"/>
    <x v="0"/>
    <s v="Regional North and West"/>
    <x v="0"/>
    <x v="0"/>
    <s v="Coed"/>
    <n v="262"/>
    <n v="16"/>
    <s v="Published"/>
    <n v="41.92"/>
    <n v="13"/>
    <n v="1023"/>
    <x v="3"/>
    <n v="64"/>
    <x v="1"/>
    <n v="-32.725662999999997"/>
    <n v="151.63212799999999"/>
  </r>
  <r>
    <s v="2624"/>
    <s v="Mortdale Public School"/>
    <s v="Mortdale"/>
    <s v="Georges River"/>
    <s v="Sydney - Inner South West"/>
    <x v="0"/>
    <x v="0"/>
    <s v="Metropolitan South"/>
    <x v="0"/>
    <x v="0"/>
    <s v="Coed"/>
    <n v="350"/>
    <m/>
    <s v="Suppressed"/>
    <s v=""/>
    <n v="58"/>
    <n v="1096"/>
    <x v="3"/>
    <n v="39"/>
    <x v="0"/>
    <n v="-33.972901"/>
    <n v="151.080995"/>
  </r>
  <r>
    <s v="2625"/>
    <s v="Mortlake Public School"/>
    <s v="Concord"/>
    <s v="Canada Bay"/>
    <s v="Sydney - Inner West"/>
    <x v="0"/>
    <x v="0"/>
    <s v="Metropolitan South"/>
    <x v="0"/>
    <x v="0"/>
    <s v="Coed"/>
    <n v="261"/>
    <n v="2"/>
    <s v="Published"/>
    <n v="5.22"/>
    <n v="54"/>
    <n v="1081"/>
    <x v="3"/>
    <n v="48"/>
    <x v="1"/>
    <n v="-33.849829"/>
    <n v="151.10386099999999"/>
  </r>
  <r>
    <s v="2628"/>
    <s v="Moruya Public School"/>
    <s v="Moruya"/>
    <s v="Eurobodalla"/>
    <s v="Capital Region"/>
    <x v="1"/>
    <x v="1"/>
    <s v="Regional South and Connected Communities"/>
    <x v="0"/>
    <x v="0"/>
    <s v="Coed"/>
    <n v="326"/>
    <n v="23"/>
    <s v="Published"/>
    <n v="74.98"/>
    <n v="9"/>
    <n v="943"/>
    <x v="2"/>
    <n v="120"/>
    <x v="0"/>
    <n v="-35.912616"/>
    <n v="150.07645299999999"/>
  </r>
  <r>
    <s v="2631"/>
    <s v="Moss Vale Public School"/>
    <s v="Moss Vale"/>
    <s v="Wingecarribee"/>
    <s v="Southern Highlands and Shoalhaven"/>
    <x v="1"/>
    <x v="1"/>
    <s v="Regional South and Connected Communities"/>
    <x v="0"/>
    <x v="0"/>
    <s v="Coed"/>
    <n v="442"/>
    <n v="11"/>
    <s v="Published"/>
    <n v="48.62"/>
    <n v="15"/>
    <n v="985"/>
    <x v="2"/>
    <n v="92"/>
    <x v="0"/>
    <n v="-34.550638999999997"/>
    <n v="150.366434"/>
  </r>
  <r>
    <s v="2632"/>
    <s v="Moulamein Public School"/>
    <s v="Moulamein"/>
    <s v="Murray River"/>
    <s v="Murray"/>
    <x v="2"/>
    <x v="2"/>
    <s v="Rural South and West"/>
    <x v="0"/>
    <x v="0"/>
    <s v="Coed"/>
    <n v="61"/>
    <m/>
    <s v="Suppressed"/>
    <s v=""/>
    <n v="18"/>
    <n v="965"/>
    <x v="2"/>
    <n v="93"/>
    <x v="2"/>
    <n v="-35.089269999999999"/>
    <n v="144.032816"/>
  </r>
  <r>
    <s v="2637"/>
    <s v="Mount George Public School"/>
    <s v="Mount George"/>
    <s v="Mid-Coast"/>
    <s v="Mid North Coast"/>
    <x v="1"/>
    <x v="1"/>
    <s v="Regional North and West"/>
    <x v="0"/>
    <x v="0"/>
    <s v="Coed"/>
    <n v="23"/>
    <n v="26"/>
    <s v="Published"/>
    <n v="5.98"/>
    <m/>
    <n v="932"/>
    <x v="2"/>
    <n v="135"/>
    <x v="2"/>
    <n v="-31.880981999999999"/>
    <n v="152.179633"/>
  </r>
  <r>
    <s v="2640"/>
    <s v="Mount Hunter Public School"/>
    <s v="Camden"/>
    <s v="Wollondilly"/>
    <s v="Sydney - Outer South West"/>
    <x v="1"/>
    <x v="1"/>
    <s v="Regional South and Connected Communities"/>
    <x v="0"/>
    <x v="0"/>
    <s v="Coed"/>
    <n v="32"/>
    <n v="0"/>
    <s v="Published"/>
    <n v="0"/>
    <n v="20"/>
    <n v="1054"/>
    <x v="3"/>
    <n v="90"/>
    <x v="2"/>
    <n v="-34.071770000000001"/>
    <n v="150.63642999999999"/>
  </r>
  <r>
    <s v="2641"/>
    <s v="Mount Kanwary Public School"/>
    <s v="Osterley"/>
    <s v="Port Stephens"/>
    <s v="Hunter Valley exc Newcastle"/>
    <x v="1"/>
    <x v="1"/>
    <s v="Regional North and West"/>
    <x v="0"/>
    <x v="0"/>
    <s v="Coed"/>
    <n v="38"/>
    <n v="34"/>
    <s v="Published"/>
    <n v="12.920000000000002"/>
    <m/>
    <n v="888"/>
    <x v="1"/>
    <n v="139"/>
    <x v="2"/>
    <n v="-32.724187000000001"/>
    <n v="151.69914600000001"/>
  </r>
  <r>
    <s v="2642"/>
    <s v="Mount Keira Public School"/>
    <s v="Mount Keira"/>
    <s v="Wollongong"/>
    <s v="Illawarra"/>
    <x v="0"/>
    <x v="0"/>
    <s v="Regional South and Connected Communities"/>
    <x v="0"/>
    <x v="0"/>
    <s v="Coed"/>
    <n v="91"/>
    <m/>
    <s v="Suppressed"/>
    <s v=""/>
    <n v="18"/>
    <n v="1072"/>
    <x v="3"/>
    <n v="53"/>
    <x v="2"/>
    <n v="-34.411383000000001"/>
    <n v="150.856224"/>
  </r>
  <r>
    <s v="2643"/>
    <s v="Mount Kembla Public School"/>
    <s v="Mount Kembla"/>
    <s v="Wollongong"/>
    <s v="Illawarra"/>
    <x v="0"/>
    <x v="0"/>
    <s v="Regional South and Connected Communities"/>
    <x v="0"/>
    <x v="0"/>
    <s v="Coed"/>
    <n v="159"/>
    <n v="7"/>
    <s v="Published"/>
    <n v="11.13"/>
    <n v="10"/>
    <n v="1050"/>
    <x v="3"/>
    <n v="64"/>
    <x v="1"/>
    <n v="-34.432398999999997"/>
    <n v="150.817114"/>
  </r>
  <r>
    <s v="2647"/>
    <s v="Mount Pleasant Public School"/>
    <s v="SINGLETON"/>
    <s v="Singleton"/>
    <s v="Hunter Valley exc Newcastle"/>
    <x v="1"/>
    <x v="1"/>
    <s v="Regional North and West"/>
    <x v="0"/>
    <x v="0"/>
    <s v="Coed"/>
    <n v="56"/>
    <n v="32"/>
    <s v="Published"/>
    <n v="17.920000000000002"/>
    <n v="0"/>
    <n v="910"/>
    <x v="2"/>
    <n v="119"/>
    <x v="2"/>
    <n v="-32.408482999999997"/>
    <n v="151.18878100000001"/>
  </r>
  <r>
    <s v="2648"/>
    <s v="Mount Pritchard Public School"/>
    <s v="Mount Pritchard"/>
    <s v="Fairfield"/>
    <s v="Sydney - South West"/>
    <x v="0"/>
    <x v="0"/>
    <s v="Metropolitan South and West"/>
    <x v="0"/>
    <x v="0"/>
    <s v="Coed"/>
    <n v="368"/>
    <n v="2"/>
    <s v="Published"/>
    <n v="7.36"/>
    <n v="77"/>
    <n v="951"/>
    <x v="2"/>
    <n v="150"/>
    <x v="0"/>
    <n v="-33.899844999999999"/>
    <n v="150.90000699999999"/>
  </r>
  <r>
    <s v="2652"/>
    <s v="Mount Victoria Public School"/>
    <s v="Mount Victoria"/>
    <s v="Blue Mountains"/>
    <s v="Sydney - Outer West and Blue Mountains"/>
    <x v="1"/>
    <x v="1"/>
    <s v="Regional North"/>
    <x v="0"/>
    <x v="0"/>
    <s v="Coed"/>
    <n v="56"/>
    <n v="0"/>
    <s v="Published"/>
    <n v="0"/>
    <n v="10"/>
    <n v="1039"/>
    <x v="3"/>
    <n v="82"/>
    <x v="2"/>
    <n v="-33.591334000000003"/>
    <n v="150.253883"/>
  </r>
  <r>
    <s v="2656"/>
    <s v="Mudgee Public School"/>
    <s v="Mudgee"/>
    <s v="Mid-Western"/>
    <s v="Central West"/>
    <x v="1"/>
    <x v="1"/>
    <s v="Regional North and West"/>
    <x v="0"/>
    <x v="0"/>
    <s v="Coed"/>
    <n v="539"/>
    <n v="23"/>
    <s v="Published"/>
    <n v="123.97"/>
    <n v="5"/>
    <n v="925"/>
    <x v="2"/>
    <n v="119"/>
    <x v="0"/>
    <n v="-32.595939999999999"/>
    <n v="149.58396400000001"/>
  </r>
  <r>
    <s v="2658"/>
    <s v="Mulbring Public School"/>
    <s v="Mulbring"/>
    <s v="Cessnock"/>
    <s v="Hunter Valley exc Newcastle"/>
    <x v="1"/>
    <x v="1"/>
    <s v="Regional North"/>
    <x v="0"/>
    <x v="0"/>
    <s v="Coed"/>
    <n v="56"/>
    <n v="14"/>
    <s v="Published"/>
    <n v="7.8400000000000007"/>
    <m/>
    <n v="954"/>
    <x v="2"/>
    <n v="136"/>
    <x v="2"/>
    <n v="-32.901304000000003"/>
    <n v="151.47856300000001"/>
  </r>
  <r>
    <s v="2659"/>
    <s v="Mulgoa Public School"/>
    <s v="Mulgoa"/>
    <s v="Penrith"/>
    <s v="Sydney - Outer West and Blue Mountains"/>
    <x v="1"/>
    <x v="1"/>
    <s v="Regional South and Connected Communities"/>
    <x v="0"/>
    <x v="0"/>
    <s v="Coed"/>
    <n v="103"/>
    <n v="7"/>
    <s v="Published"/>
    <n v="7.2100000000000009"/>
    <n v="16"/>
    <n v="980"/>
    <x v="2"/>
    <n v="97"/>
    <x v="1"/>
    <n v="-33.836505000000002"/>
    <n v="150.65034399999999"/>
  </r>
  <r>
    <s v="2660"/>
    <s v="Mullaley Public School"/>
    <s v="Mullaley"/>
    <s v="Gunnedah"/>
    <s v="New England and North West"/>
    <x v="2"/>
    <x v="2"/>
    <s v="Rural North"/>
    <x v="0"/>
    <x v="0"/>
    <s v="Coed"/>
    <n v="28"/>
    <m/>
    <s v="Suppressed"/>
    <s v=""/>
    <m/>
    <n v="922"/>
    <x v="2"/>
    <n v="101"/>
    <x v="2"/>
    <n v="-31.098656999999999"/>
    <n v="149.906668"/>
  </r>
  <r>
    <s v="2664"/>
    <s v="Mullion Creek Public School"/>
    <s v="Mullion Creek"/>
    <s v="Cabonne"/>
    <s v="Central West"/>
    <x v="1"/>
    <x v="1"/>
    <s v="Rural South and West"/>
    <x v="0"/>
    <x v="0"/>
    <s v="Coed"/>
    <n v="67"/>
    <m/>
    <s v="Suppressed"/>
    <s v=""/>
    <m/>
    <n v="1009"/>
    <x v="3"/>
    <n v="85"/>
    <x v="2"/>
    <n v="-33.139031000000003"/>
    <n v="149.12050099999999"/>
  </r>
  <r>
    <s v="2665"/>
    <s v="Mullumbimby Public School"/>
    <s v="Mullumbimby"/>
    <s v="Byron"/>
    <s v="Richmond - Tweed"/>
    <x v="1"/>
    <x v="1"/>
    <s v="Rural North"/>
    <x v="0"/>
    <x v="0"/>
    <s v="Coed"/>
    <n v="217"/>
    <n v="7"/>
    <s v="Published"/>
    <n v="15.190000000000001"/>
    <n v="17"/>
    <n v="1026"/>
    <x v="3"/>
    <n v="71"/>
    <x v="1"/>
    <n v="-28.552011"/>
    <n v="153.50593699999999"/>
  </r>
  <r>
    <s v="2667"/>
    <s v="Mulwala Public School"/>
    <s v="MULWALA"/>
    <s v="Federation"/>
    <s v="Murray"/>
    <x v="1"/>
    <x v="1"/>
    <s v="Rural South and West"/>
    <x v="0"/>
    <x v="0"/>
    <s v="Coed"/>
    <n v="48"/>
    <m/>
    <s v="Suppressed"/>
    <s v=""/>
    <m/>
    <n v="967"/>
    <x v="2"/>
    <n v="121"/>
    <x v="2"/>
    <n v="-35.987093999999999"/>
    <n v="146.00662399999999"/>
  </r>
  <r>
    <s v="2668"/>
    <s v="Clergate Public School"/>
    <s v="Clergate"/>
    <s v="Cabonne"/>
    <s v="Central West"/>
    <x v="1"/>
    <x v="1"/>
    <s v="Rural South and West"/>
    <x v="0"/>
    <x v="0"/>
    <s v="Coed"/>
    <n v="74"/>
    <n v="18"/>
    <s v="Published"/>
    <n v="13.32"/>
    <n v="0"/>
    <n v="961"/>
    <x v="2"/>
    <n v="101"/>
    <x v="2"/>
    <n v="-33.192056999999998"/>
    <n v="149.11229299999999"/>
  </r>
  <r>
    <s v="2669"/>
    <s v="Mumbil Public School"/>
    <s v="Mumbil"/>
    <s v="Dubbo"/>
    <s v="Far West and Orana"/>
    <x v="2"/>
    <x v="2"/>
    <s v="Rural South and West"/>
    <x v="0"/>
    <x v="0"/>
    <s v="Coed"/>
    <n v="10"/>
    <m/>
    <s v="Suppressed"/>
    <s v=""/>
    <n v="0"/>
    <n v="807"/>
    <x v="1"/>
    <n v="202"/>
    <x v="2"/>
    <n v="-32.722371000000003"/>
    <n v="149.052673"/>
  </r>
  <r>
    <s v="2671"/>
    <s v="Mummulgum Public School"/>
    <s v="Mummulgum"/>
    <s v="Kyogle"/>
    <s v="Richmond - Tweed"/>
    <x v="1"/>
    <x v="1"/>
    <s v="Rural North"/>
    <x v="0"/>
    <x v="0"/>
    <s v="Coed"/>
    <n v="21"/>
    <n v="0"/>
    <s v="Published"/>
    <n v="0"/>
    <m/>
    <n v="881"/>
    <x v="1"/>
    <n v="187"/>
    <x v="2"/>
    <n v="-28.848015"/>
    <n v="152.80164500000001"/>
  </r>
  <r>
    <s v="2675"/>
    <s v="Mungindi Central School"/>
    <s v="MUNGINDI"/>
    <s v="Moree Plains"/>
    <s v="New England and North West"/>
    <x v="3"/>
    <x v="3"/>
    <s v="Rural North"/>
    <x v="1"/>
    <x v="0"/>
    <s v="Coed"/>
    <n v="62.4"/>
    <n v="57"/>
    <s v="Published"/>
    <n v="35.567999999999998"/>
    <n v="42"/>
    <n v="795"/>
    <x v="1"/>
    <n v="160"/>
    <x v="2"/>
    <n v="-28.9802"/>
    <n v="148.99084999999999"/>
  </r>
  <r>
    <s v="2681"/>
    <s v="Murringo Public School"/>
    <s v="MURRINGO"/>
    <s v="Hilltops"/>
    <s v="Capital Region"/>
    <x v="2"/>
    <x v="2"/>
    <s v="Rural South and West"/>
    <x v="0"/>
    <x v="0"/>
    <s v="Coed"/>
    <n v="43"/>
    <m/>
    <s v="Suppressed"/>
    <s v=""/>
    <m/>
    <n v="941"/>
    <x v="2"/>
    <n v="123"/>
    <x v="2"/>
    <n v="-34.297201999999999"/>
    <n v="148.51547099999999"/>
  </r>
  <r>
    <s v="2685"/>
    <s v="Murrumburrah Public School"/>
    <s v="MURRUMBURRAH"/>
    <s v="Hilltops"/>
    <s v="Capital Region"/>
    <x v="1"/>
    <x v="1"/>
    <s v="Regional South and Connected Communities"/>
    <x v="0"/>
    <x v="0"/>
    <s v="Coed"/>
    <n v="210"/>
    <n v="17"/>
    <s v="Published"/>
    <n v="35.700000000000003"/>
    <n v="7"/>
    <n v="961"/>
    <x v="2"/>
    <n v="97"/>
    <x v="1"/>
    <n v="-34.550826000000001"/>
    <n v="148.35986199999999"/>
  </r>
  <r>
    <s v="2686"/>
    <s v="Murrurundi Public School"/>
    <s v="Murrurundi"/>
    <s v="Upper Hunter"/>
    <s v="Hunter Valley exc Newcastle"/>
    <x v="2"/>
    <x v="2"/>
    <s v="Regional North and West"/>
    <x v="0"/>
    <x v="0"/>
    <s v="Coed"/>
    <n v="36"/>
    <m/>
    <s v="Suppressed"/>
    <s v=""/>
    <m/>
    <n v="893"/>
    <x v="1"/>
    <n v="139"/>
    <x v="2"/>
    <n v="-31.762782999999999"/>
    <n v="150.832187"/>
  </r>
  <r>
    <s v="2687"/>
    <s v="Murwillumbah Public School"/>
    <s v="Murwillumbah"/>
    <s v="Tweed"/>
    <s v="Richmond - Tweed"/>
    <x v="1"/>
    <x v="1"/>
    <s v="Rural North"/>
    <x v="0"/>
    <x v="0"/>
    <s v="Coed"/>
    <n v="149"/>
    <n v="18"/>
    <s v="Published"/>
    <n v="26.82"/>
    <n v="5"/>
    <n v="959"/>
    <x v="2"/>
    <n v="119"/>
    <x v="1"/>
    <n v="-28.329885999999998"/>
    <n v="153.39113900000001"/>
  </r>
  <r>
    <s v="2688"/>
    <s v="Muswellbrook Public School"/>
    <s v="Muswellbrook"/>
    <s v="Muswellbrook"/>
    <s v="Hunter Valley exc Newcastle"/>
    <x v="1"/>
    <x v="1"/>
    <s v="Regional North and West"/>
    <x v="0"/>
    <x v="0"/>
    <s v="Coed"/>
    <n v="422"/>
    <n v="28"/>
    <s v="Published"/>
    <n v="118.16000000000001"/>
    <n v="6"/>
    <n v="913"/>
    <x v="2"/>
    <n v="125"/>
    <x v="0"/>
    <n v="-32.258429999999997"/>
    <n v="150.89636899999999"/>
  </r>
  <r>
    <s v="2695"/>
    <s v="Nabiac Public School"/>
    <s v="NABIAC"/>
    <s v="Mid-Coast"/>
    <s v="Mid North Coast"/>
    <x v="1"/>
    <x v="1"/>
    <s v="Regional North and West"/>
    <x v="0"/>
    <x v="0"/>
    <s v="Coed"/>
    <n v="165"/>
    <n v="17"/>
    <s v="Published"/>
    <n v="28.05"/>
    <m/>
    <n v="938"/>
    <x v="2"/>
    <n v="124"/>
    <x v="1"/>
    <n v="-32.097543999999999"/>
    <n v="152.381902"/>
  </r>
  <r>
    <s v="2696"/>
    <s v="Nambucca Heads Public School"/>
    <s v="Nambucca Heads"/>
    <s v="Nambucca Valley"/>
    <s v="Mid North Coast"/>
    <x v="1"/>
    <x v="1"/>
    <s v="Regional North and West"/>
    <x v="0"/>
    <x v="0"/>
    <s v="Coed"/>
    <n v="156"/>
    <n v="26"/>
    <s v="Published"/>
    <n v="40.56"/>
    <n v="4"/>
    <n v="904"/>
    <x v="2"/>
    <n v="132"/>
    <x v="1"/>
    <n v="-30.641694999999999"/>
    <n v="153.006338"/>
  </r>
  <r>
    <s v="2698"/>
    <s v="Nana Glen Public School"/>
    <s v="Nana Glen"/>
    <s v="Coffs Harbour"/>
    <s v="Coffs Harbour - Grafton"/>
    <x v="1"/>
    <x v="1"/>
    <s v="Regional North and West"/>
    <x v="0"/>
    <x v="0"/>
    <s v="Coed"/>
    <n v="100"/>
    <n v="30"/>
    <s v="Published"/>
    <n v="30"/>
    <n v="7"/>
    <n v="921"/>
    <x v="2"/>
    <n v="110"/>
    <x v="1"/>
    <n v="-30.135618999999998"/>
    <n v="153.00620599999999"/>
  </r>
  <r>
    <s v="2699"/>
    <s v="Nangus Public School"/>
    <s v="NANGUS"/>
    <s v="Cootamundra-Gundagai"/>
    <s v="Riverina"/>
    <x v="2"/>
    <x v="2"/>
    <s v="Rural South and West"/>
    <x v="0"/>
    <x v="0"/>
    <s v="Coed"/>
    <n v="10"/>
    <m/>
    <s v="Suppressed"/>
    <s v=""/>
    <n v="0"/>
    <n v="934"/>
    <x v="2"/>
    <n v="127"/>
    <x v="2"/>
    <n v="-35.053902000000001"/>
    <n v="147.90910600000001"/>
  </r>
  <r>
    <s v="2701"/>
    <s v="Naradhan Public School"/>
    <s v="Naradhan"/>
    <s v="Bland"/>
    <s v="Central West"/>
    <x v="3"/>
    <x v="3"/>
    <s v="Rural South and West"/>
    <x v="0"/>
    <x v="0"/>
    <s v="Coed"/>
    <n v="9"/>
    <m/>
    <s v="Suppressed"/>
    <s v=""/>
    <m/>
    <n v="922"/>
    <x v="2"/>
    <n v="114"/>
    <x v="2"/>
    <n v="-33.615639000000002"/>
    <n v="146.327405"/>
  </r>
  <r>
    <s v="2703"/>
    <s v="Narara Public School"/>
    <s v="Lisarow"/>
    <s v="Central Coast (NSW)"/>
    <s v="Central Coast"/>
    <x v="0"/>
    <x v="0"/>
    <s v="Regional North"/>
    <x v="0"/>
    <x v="0"/>
    <s v="Coed"/>
    <n v="377"/>
    <n v="8"/>
    <s v="Published"/>
    <n v="30.16"/>
    <n v="14"/>
    <n v="1008"/>
    <x v="3"/>
    <n v="90"/>
    <x v="0"/>
    <n v="-33.387915"/>
    <n v="151.362616"/>
  </r>
  <r>
    <s v="2704"/>
    <s v="Narellan Public School"/>
    <s v="Narellan"/>
    <s v="Camden"/>
    <s v="Sydney - Outer South West"/>
    <x v="0"/>
    <x v="0"/>
    <s v="Regional South and Connected Communities"/>
    <x v="0"/>
    <x v="0"/>
    <s v="Coed"/>
    <n v="291"/>
    <n v="13"/>
    <s v="Published"/>
    <n v="37.83"/>
    <n v="26"/>
    <n v="969"/>
    <x v="2"/>
    <n v="116"/>
    <x v="1"/>
    <n v="-34.042763999999998"/>
    <n v="150.733769"/>
  </r>
  <r>
    <s v="2706"/>
    <s v="Narrabeen Lakes Public School"/>
    <s v="Narrabeen"/>
    <s v="Northern Beaches"/>
    <s v="Sydney - Northern Beaches"/>
    <x v="0"/>
    <x v="0"/>
    <s v="Metropolitan North"/>
    <x v="0"/>
    <x v="0"/>
    <s v="Coed"/>
    <n v="364"/>
    <n v="3"/>
    <s v="Published"/>
    <n v="10.92"/>
    <n v="33"/>
    <n v="1091"/>
    <x v="3"/>
    <n v="43"/>
    <x v="0"/>
    <n v="-33.720323"/>
    <n v="151.29741300000001"/>
  </r>
  <r>
    <s v="2708"/>
    <s v="Narrabri Public School"/>
    <s v="Narrabri"/>
    <s v="Narrabri"/>
    <s v="New England and North West"/>
    <x v="2"/>
    <x v="2"/>
    <s v="Rural North"/>
    <x v="0"/>
    <x v="0"/>
    <s v="Coed"/>
    <n v="267"/>
    <n v="51"/>
    <s v="Published"/>
    <n v="136.17000000000002"/>
    <n v="7"/>
    <n v="823"/>
    <x v="1"/>
    <n v="158"/>
    <x v="1"/>
    <n v="-30.324942"/>
    <n v="149.78525200000001"/>
  </r>
  <r>
    <s v="2709"/>
    <s v="Narrabri West Public School"/>
    <s v="Narrabri"/>
    <s v="Narrabri"/>
    <s v="New England and North West"/>
    <x v="2"/>
    <x v="2"/>
    <s v="Rural North"/>
    <x v="0"/>
    <x v="0"/>
    <s v="Coed"/>
    <n v="232"/>
    <n v="32"/>
    <s v="Published"/>
    <n v="74.239999999999995"/>
    <n v="4"/>
    <n v="889"/>
    <x v="1"/>
    <n v="134"/>
    <x v="1"/>
    <n v="-30.344469"/>
    <n v="149.76390599999999"/>
  </r>
  <r>
    <s v="2710"/>
    <s v="Narrandera Public School"/>
    <s v="Narrandera"/>
    <s v="Narrandera"/>
    <s v="Riverina"/>
    <x v="2"/>
    <x v="2"/>
    <s v="Rural South and West"/>
    <x v="0"/>
    <x v="0"/>
    <s v="Coed"/>
    <n v="267"/>
    <n v="42"/>
    <s v="Published"/>
    <n v="112.14"/>
    <n v="6"/>
    <n v="853"/>
    <x v="1"/>
    <n v="147"/>
    <x v="1"/>
    <n v="-34.744466000000003"/>
    <n v="146.547854"/>
  </r>
  <r>
    <s v="2713"/>
    <s v="Narromine Public School"/>
    <s v="Narromine"/>
    <s v="Narromine"/>
    <s v="Far West and Orana"/>
    <x v="2"/>
    <x v="2"/>
    <s v="Regional North and West"/>
    <x v="0"/>
    <x v="0"/>
    <s v="Coed"/>
    <n v="237"/>
    <n v="56"/>
    <s v="Published"/>
    <n v="132.72"/>
    <n v="11"/>
    <n v="832"/>
    <x v="1"/>
    <n v="148"/>
    <x v="1"/>
    <n v="-32.229903"/>
    <n v="148.24442099999999"/>
  </r>
  <r>
    <s v="2714"/>
    <s v="Nashdale Public School"/>
    <s v="Nashdale"/>
    <s v="Cabonne"/>
    <s v="Central West"/>
    <x v="1"/>
    <x v="1"/>
    <s v="Rural South and West"/>
    <x v="0"/>
    <x v="0"/>
    <s v="Coed"/>
    <n v="137"/>
    <m/>
    <s v="Suppressed"/>
    <s v=""/>
    <n v="11"/>
    <n v="1063"/>
    <x v="3"/>
    <n v="52"/>
    <x v="1"/>
    <n v="-33.293793999999998"/>
    <n v="149.01346599999999"/>
  </r>
  <r>
    <s v="2723"/>
    <s v="Tomaree Public School"/>
    <s v="Salamander Bay"/>
    <s v="Port Stephens"/>
    <s v="Hunter Valley exc Newcastle"/>
    <x v="1"/>
    <x v="1"/>
    <s v="Regional North"/>
    <x v="0"/>
    <x v="0"/>
    <s v="Coed"/>
    <n v="310"/>
    <n v="15"/>
    <s v="Published"/>
    <n v="46.5"/>
    <n v="10"/>
    <n v="981"/>
    <x v="2"/>
    <n v="100"/>
    <x v="0"/>
    <n v="-32.737698999999999"/>
    <n v="152.113091"/>
  </r>
  <r>
    <s v="2725"/>
    <s v="Nemingha Public School"/>
    <s v="Nemingha"/>
    <s v="Tamworth"/>
    <s v="New England and North West"/>
    <x v="1"/>
    <x v="1"/>
    <s v="Rural North"/>
    <x v="0"/>
    <x v="0"/>
    <s v="Coed"/>
    <n v="193"/>
    <n v="17"/>
    <s v="Published"/>
    <n v="32.81"/>
    <n v="4"/>
    <n v="996"/>
    <x v="2"/>
    <n v="81"/>
    <x v="1"/>
    <n v="-31.126524"/>
    <n v="151.00415599999999"/>
  </r>
  <r>
    <s v="2730"/>
    <s v="Neutral Bay Public School"/>
    <s v="Neutral Bay"/>
    <s v="North Sydney"/>
    <s v="Sydney - North Sydney and Hornsby"/>
    <x v="0"/>
    <x v="0"/>
    <s v="Metropolitan North"/>
    <x v="0"/>
    <x v="0"/>
    <s v="Coed"/>
    <n v="641"/>
    <n v="0"/>
    <s v="Published"/>
    <n v="0"/>
    <n v="48"/>
    <n v="1169"/>
    <x v="0"/>
    <n v="0"/>
    <x v="3"/>
    <n v="-33.832610000000003"/>
    <n v="151.219605"/>
  </r>
  <r>
    <s v="2732"/>
    <s v="Neville Public School"/>
    <s v="Neville"/>
    <s v="Blayney"/>
    <s v="Central West"/>
    <x v="2"/>
    <x v="2"/>
    <s v="Regional North and West"/>
    <x v="0"/>
    <x v="0"/>
    <s v="Coed"/>
    <n v="9"/>
    <m/>
    <s v="Suppressed"/>
    <s v=""/>
    <n v="0"/>
    <n v="974"/>
    <x v="2"/>
    <n v="86"/>
    <x v="2"/>
    <n v="-33.708658"/>
    <n v="149.21678399999999"/>
  </r>
  <r>
    <s v="2736"/>
    <s v="Newcastle East Public School"/>
    <s v="Newcastle"/>
    <s v="Newcastle"/>
    <s v="Newcastle and Lake Macquarie"/>
    <x v="0"/>
    <x v="0"/>
    <s v="Regional North"/>
    <x v="0"/>
    <x v="0"/>
    <s v="Coed"/>
    <n v="260"/>
    <n v="3"/>
    <s v="Published"/>
    <n v="7.8"/>
    <n v="29"/>
    <n v="1112"/>
    <x v="0"/>
    <n v="26"/>
    <x v="1"/>
    <n v="-32.930284999999998"/>
    <n v="151.776915"/>
  </r>
  <r>
    <s v="2738"/>
    <s v="New Lambton Public School"/>
    <s v="New Lambton"/>
    <s v="Newcastle"/>
    <s v="Newcastle and Lake Macquarie"/>
    <x v="0"/>
    <x v="0"/>
    <s v="Regional North"/>
    <x v="0"/>
    <x v="0"/>
    <s v="Coed"/>
    <n v="538"/>
    <n v="5"/>
    <s v="Published"/>
    <n v="26.900000000000002"/>
    <n v="32"/>
    <n v="1108"/>
    <x v="0"/>
    <n v="34"/>
    <x v="0"/>
    <n v="-32.922604"/>
    <n v="151.712784"/>
  </r>
  <r>
    <s v="2740"/>
    <s v="Newport Public School"/>
    <s v="Newport"/>
    <s v="Northern Beaches"/>
    <s v="Sydney - Northern Beaches"/>
    <x v="0"/>
    <x v="0"/>
    <s v="Metropolitan North"/>
    <x v="0"/>
    <x v="0"/>
    <s v="Coed"/>
    <n v="556"/>
    <n v="1"/>
    <s v="Published"/>
    <n v="5.5600000000000005"/>
    <n v="14"/>
    <n v="1093"/>
    <x v="3"/>
    <n v="36"/>
    <x v="0"/>
    <n v="-33.660561000000001"/>
    <n v="151.31223700000001"/>
  </r>
  <r>
    <s v="2741"/>
    <s v="Newrybar Public School"/>
    <s v="Newrybar"/>
    <s v="Ballina"/>
    <s v="Richmond - Tweed"/>
    <x v="1"/>
    <x v="1"/>
    <s v="Rural North"/>
    <x v="0"/>
    <x v="0"/>
    <s v="Coed"/>
    <n v="61"/>
    <m/>
    <s v="Suppressed"/>
    <s v=""/>
    <n v="18"/>
    <n v="1082"/>
    <x v="3"/>
    <n v="40"/>
    <x v="2"/>
    <n v="-28.717113999999999"/>
    <n v="153.53305499999999"/>
  </r>
  <r>
    <s v="2744"/>
    <s v="Newtown North Public School"/>
    <s v="Newtown"/>
    <s v="Sydney"/>
    <s v="Sydney - City and Inner South"/>
    <x v="0"/>
    <x v="0"/>
    <s v="Metropolitan South"/>
    <x v="0"/>
    <x v="0"/>
    <s v="Coed"/>
    <n v="221"/>
    <n v="4"/>
    <s v="Published"/>
    <n v="8.84"/>
    <n v="34"/>
    <n v="1132"/>
    <x v="0"/>
    <n v="8"/>
    <x v="1"/>
    <n v="-33.891821"/>
    <n v="151.18539200000001"/>
  </r>
  <r>
    <s v="2748"/>
    <s v="Niangala Public School"/>
    <s v="Niangala"/>
    <s v="Tamworth"/>
    <s v="New England and North West"/>
    <x v="2"/>
    <x v="2"/>
    <s v="Rural North"/>
    <x v="0"/>
    <x v="0"/>
    <s v="Coed"/>
    <n v="11"/>
    <n v="0"/>
    <s v="Published"/>
    <n v="0"/>
    <m/>
    <n v="995"/>
    <x v="2"/>
    <n v="74"/>
    <x v="2"/>
    <n v="-31.298041000000001"/>
    <n v="151.40861899999999"/>
  </r>
  <r>
    <s v="2749"/>
    <s v="Nicholson Street Public School"/>
    <s v="Balmain East"/>
    <s v="Inner West"/>
    <s v="Sydney - Inner West"/>
    <x v="0"/>
    <x v="0"/>
    <s v="Metropolitan South"/>
    <x v="0"/>
    <x v="0"/>
    <s v="Coed"/>
    <n v="95"/>
    <m/>
    <s v="Suppressed"/>
    <s v=""/>
    <n v="18"/>
    <n v="1151"/>
    <x v="0"/>
    <n v="1"/>
    <x v="2"/>
    <n v="-33.855744000000001"/>
    <n v="151.19318799999999"/>
  </r>
  <r>
    <s v="2751"/>
    <s v="Nimbin Central School"/>
    <s v="Nimbin"/>
    <s v="Lismore"/>
    <s v="Richmond - Tweed"/>
    <x v="1"/>
    <x v="1"/>
    <s v="Rural North"/>
    <x v="1"/>
    <x v="0"/>
    <s v="Coed"/>
    <n v="242.6"/>
    <n v="17"/>
    <s v="Published"/>
    <n v="41.242000000000004"/>
    <n v="21"/>
    <n v="956"/>
    <x v="2"/>
    <n v="120"/>
    <x v="1"/>
    <n v="-28.595870999999999"/>
    <n v="153.22089099999999"/>
  </r>
  <r>
    <s v="2752"/>
    <s v="Nimmitabel Public School"/>
    <s v="NIMMITABEL"/>
    <s v="Snowy Monaro"/>
    <s v="Capital Region"/>
    <x v="2"/>
    <x v="2"/>
    <s v="Rural South and West"/>
    <x v="0"/>
    <x v="0"/>
    <s v="Coed"/>
    <n v="11"/>
    <m/>
    <s v="Suppressed"/>
    <s v=""/>
    <m/>
    <n v="920"/>
    <x v="2"/>
    <n v="119"/>
    <x v="2"/>
    <n v="-36.510936999999998"/>
    <n v="149.28959900000001"/>
  </r>
  <r>
    <s v="2758"/>
    <s v="Narooma Public School"/>
    <s v="Narooma"/>
    <s v="Eurobodalla"/>
    <s v="Capital Region"/>
    <x v="2"/>
    <x v="2"/>
    <s v="Regional South and Connected Communities"/>
    <x v="0"/>
    <x v="0"/>
    <s v="Coed"/>
    <n v="384"/>
    <n v="21"/>
    <s v="Published"/>
    <n v="80.64"/>
    <n v="8"/>
    <n v="956"/>
    <x v="2"/>
    <n v="103"/>
    <x v="0"/>
    <n v="-36.218595000000001"/>
    <n v="150.13733500000001"/>
  </r>
  <r>
    <s v="2759"/>
    <s v="Nords Wharf Public School"/>
    <s v="NORDS WHARF"/>
    <s v="Lake Macquarie"/>
    <s v="Newcastle and Lake Macquarie"/>
    <x v="1"/>
    <x v="1"/>
    <s v="Regional North"/>
    <x v="0"/>
    <x v="0"/>
    <s v="Coed"/>
    <n v="180"/>
    <n v="7"/>
    <s v="Published"/>
    <n v="12.600000000000001"/>
    <n v="9"/>
    <n v="1023"/>
    <x v="3"/>
    <n v="70"/>
    <x v="1"/>
    <n v="-33.135817000000003"/>
    <n v="151.605087"/>
  </r>
  <r>
    <s v="2760"/>
    <s v="Normanhurst Public School"/>
    <s v="Normanhurst"/>
    <s v="Hornsby"/>
    <s v="Sydney - North Sydney and Hornsby"/>
    <x v="0"/>
    <x v="0"/>
    <s v="Metropolitan North"/>
    <x v="0"/>
    <x v="0"/>
    <s v="Coed"/>
    <n v="372"/>
    <m/>
    <s v="Suppressed"/>
    <s v=""/>
    <n v="48"/>
    <n v="1139"/>
    <x v="0"/>
    <n v="15"/>
    <x v="0"/>
    <n v="-33.723331999999999"/>
    <n v="151.098026"/>
  </r>
  <r>
    <s v="2761"/>
    <s v="Northbridge Public School"/>
    <s v="Northbridge"/>
    <s v="Willoughby"/>
    <s v="Sydney - North Sydney and Hornsby"/>
    <x v="0"/>
    <x v="0"/>
    <s v="Metropolitan North"/>
    <x v="0"/>
    <x v="0"/>
    <s v="Coed"/>
    <n v="364"/>
    <m/>
    <s v="Suppressed"/>
    <s v=""/>
    <n v="38"/>
    <n v="1181"/>
    <x v="0"/>
    <n v="0"/>
    <x v="0"/>
    <n v="-33.813034000000002"/>
    <n v="151.21859699999999"/>
  </r>
  <r>
    <s v="2763"/>
    <s v="Northmead Public School"/>
    <s v="NORTHMEAD"/>
    <s v="Parramatta"/>
    <s v="Sydney - Parramatta"/>
    <x v="0"/>
    <x v="0"/>
    <s v="Metropolitan South"/>
    <x v="0"/>
    <x v="0"/>
    <s v="Coed"/>
    <n v="614"/>
    <n v="2"/>
    <s v="Published"/>
    <n v="12.280000000000001"/>
    <n v="53"/>
    <n v="1082"/>
    <x v="3"/>
    <n v="40"/>
    <x v="3"/>
    <n v="-33.786510999999997"/>
    <n v="150.99075300000001"/>
  </r>
  <r>
    <s v="2764"/>
    <s v="North Rocks Public School"/>
    <s v="North Rocks"/>
    <s v="Parramatta"/>
    <s v="Sydney - Parramatta"/>
    <x v="0"/>
    <x v="0"/>
    <s v="Metropolitan North"/>
    <x v="0"/>
    <x v="0"/>
    <s v="Coed"/>
    <n v="861"/>
    <m/>
    <s v="Suppressed"/>
    <s v=""/>
    <n v="71"/>
    <n v="1137"/>
    <x v="0"/>
    <n v="17"/>
    <x v="3"/>
    <n v="-33.768425000000001"/>
    <n v="151.025148"/>
  </r>
  <r>
    <s v="2765"/>
    <s v="North Star Public School"/>
    <s v="North Star"/>
    <s v="Gwydir"/>
    <s v="New England and North West"/>
    <x v="2"/>
    <x v="2"/>
    <s v="Rural North"/>
    <x v="0"/>
    <x v="0"/>
    <s v="Coed"/>
    <n v="22"/>
    <m/>
    <s v="Suppressed"/>
    <s v=""/>
    <m/>
    <n v="973"/>
    <x v="2"/>
    <n v="100"/>
    <x v="2"/>
    <n v="-28.926653000000002"/>
    <n v="150.39289099999999"/>
  </r>
  <r>
    <s v="2766"/>
    <s v="North Sydney Public School"/>
    <s v="Waverton"/>
    <s v="North Sydney"/>
    <s v="Sydney - North Sydney and Hornsby"/>
    <x v="0"/>
    <x v="0"/>
    <s v="Metropolitan North"/>
    <x v="0"/>
    <x v="0"/>
    <s v="Coed"/>
    <n v="756"/>
    <n v="2"/>
    <s v="Published"/>
    <n v="15.120000000000001"/>
    <n v="51"/>
    <n v="1144"/>
    <x v="0"/>
    <n v="7"/>
    <x v="3"/>
    <n v="-33.834819000000003"/>
    <n v="151.20368500000001"/>
  </r>
  <r>
    <s v="2769"/>
    <s v="Nowra Public School"/>
    <s v="NOWRA"/>
    <s v="Shoalhaven"/>
    <s v="Southern Highlands and Shoalhaven"/>
    <x v="1"/>
    <x v="1"/>
    <s v="Regional South and Connected Communities"/>
    <x v="0"/>
    <x v="0"/>
    <s v="Coed"/>
    <n v="517"/>
    <n v="33"/>
    <s v="Published"/>
    <n v="170.61"/>
    <n v="9"/>
    <n v="904"/>
    <x v="2"/>
    <n v="126"/>
    <x v="0"/>
    <n v="-34.879407"/>
    <n v="150.60051999999999"/>
  </r>
  <r>
    <s v="2771"/>
    <s v="Nulkaba Public School"/>
    <s v="NULKABA"/>
    <s v="Cessnock"/>
    <s v="Hunter Valley exc Newcastle"/>
    <x v="0"/>
    <x v="0"/>
    <s v="Regional North"/>
    <x v="0"/>
    <x v="0"/>
    <s v="Coed"/>
    <n v="389"/>
    <n v="20"/>
    <s v="Published"/>
    <n v="77.800000000000011"/>
    <n v="3"/>
    <n v="931"/>
    <x v="2"/>
    <n v="126"/>
    <x v="0"/>
    <n v="-32.810690999999998"/>
    <n v="151.34781000000001"/>
  </r>
  <r>
    <s v="2781"/>
    <s v="Nundle Public School"/>
    <s v="Nundle"/>
    <s v="Tamworth"/>
    <s v="New England and North West"/>
    <x v="2"/>
    <x v="2"/>
    <s v="Rural North"/>
    <x v="0"/>
    <x v="0"/>
    <s v="Coed"/>
    <n v="27"/>
    <m/>
    <s v="Suppressed"/>
    <s v=""/>
    <m/>
    <n v="955"/>
    <x v="2"/>
    <n v="98"/>
    <x v="2"/>
    <n v="-31.459683999999999"/>
    <n v="151.12742900000001"/>
  </r>
  <r>
    <s v="2784"/>
    <s v="Nymboida Public School"/>
    <s v="Nymboida"/>
    <s v="Clarence Valley"/>
    <s v="Coffs Harbour - Grafton"/>
    <x v="2"/>
    <x v="2"/>
    <s v="Rural North"/>
    <x v="0"/>
    <x v="0"/>
    <s v="Coed"/>
    <n v="19"/>
    <n v="32"/>
    <s v="Published"/>
    <n v="6.08"/>
    <m/>
    <n v="908"/>
    <x v="2"/>
    <n v="148"/>
    <x v="2"/>
    <n v="-29.947482000000001"/>
    <n v="152.72796399999999"/>
  </r>
  <r>
    <s v="2785"/>
    <s v="Nyngan Public School"/>
    <s v="Nyngan"/>
    <s v="Bogan"/>
    <s v="Far West and Orana"/>
    <x v="3"/>
    <x v="3"/>
    <s v="Rural South and West"/>
    <x v="0"/>
    <x v="0"/>
    <s v="Coed"/>
    <n v="131"/>
    <n v="66"/>
    <s v="Published"/>
    <n v="86.460000000000008"/>
    <n v="5"/>
    <n v="765"/>
    <x v="1"/>
    <n v="163"/>
    <x v="1"/>
    <n v="-31.568397999999998"/>
    <n v="147.19525899999999"/>
  </r>
  <r>
    <s v="2789"/>
    <s v="Oakdale Public School"/>
    <s v="Oakdale"/>
    <s v="Wollondilly"/>
    <s v="Sydney - Outer South West"/>
    <x v="1"/>
    <x v="1"/>
    <s v="Regional South and Connected Communities"/>
    <x v="0"/>
    <x v="0"/>
    <s v="Coed"/>
    <n v="141"/>
    <n v="19"/>
    <s v="Published"/>
    <n v="26.79"/>
    <n v="11"/>
    <n v="945"/>
    <x v="2"/>
    <n v="121"/>
    <x v="1"/>
    <n v="-34.078907000000001"/>
    <n v="150.508197"/>
  </r>
  <r>
    <s v="2791"/>
    <s v="Oaklands Central School"/>
    <s v="Oaklands"/>
    <s v="Federation"/>
    <s v="Murray"/>
    <x v="2"/>
    <x v="2"/>
    <s v="Rural South and West"/>
    <x v="1"/>
    <x v="0"/>
    <s v="Coed"/>
    <n v="36"/>
    <m/>
    <s v="Suppressed"/>
    <s v=""/>
    <m/>
    <n v="962"/>
    <x v="2"/>
    <n v="119"/>
    <x v="2"/>
    <n v="-35.552669000000002"/>
    <n v="146.17176799999999"/>
  </r>
  <r>
    <s v="2793"/>
    <s v="The Oaks Public School"/>
    <s v="THE OAKS"/>
    <s v="Wollondilly"/>
    <s v="Sydney - Outer South West"/>
    <x v="1"/>
    <x v="1"/>
    <s v="Regional South and Connected Communities"/>
    <x v="0"/>
    <x v="0"/>
    <s v="Coed"/>
    <n v="308"/>
    <n v="9"/>
    <s v="Published"/>
    <n v="27.72"/>
    <n v="9"/>
    <n v="977"/>
    <x v="2"/>
    <n v="105"/>
    <x v="0"/>
    <n v="-34.078384999999997"/>
    <n v="150.57172399999999"/>
  </r>
  <r>
    <s v="2794"/>
    <s v="Oakville Public School"/>
    <s v="Oakville"/>
    <s v="Hawkesbury"/>
    <s v="Sydney - Baulkham Hills and Hawkesbury"/>
    <x v="0"/>
    <x v="0"/>
    <s v="Regional North"/>
    <x v="0"/>
    <x v="0"/>
    <s v="Coed"/>
    <n v="612"/>
    <n v="5"/>
    <s v="Published"/>
    <n v="30.6"/>
    <n v="34"/>
    <n v="1032"/>
    <x v="3"/>
    <n v="75"/>
    <x v="3"/>
    <n v="-33.620452"/>
    <n v="150.87054000000001"/>
  </r>
  <r>
    <s v="2796"/>
    <s v="Oatley Public School"/>
    <s v="OATLEY"/>
    <s v="Georges River"/>
    <s v="Sydney - Inner South West"/>
    <x v="0"/>
    <x v="0"/>
    <s v="Metropolitan South"/>
    <x v="0"/>
    <x v="0"/>
    <s v="Coed"/>
    <n v="365"/>
    <n v="2"/>
    <s v="Published"/>
    <n v="7.3"/>
    <n v="45"/>
    <n v="1126"/>
    <x v="0"/>
    <n v="22"/>
    <x v="0"/>
    <n v="-33.983741000000002"/>
    <n v="151.080332"/>
  </r>
  <r>
    <s v="2797"/>
    <s v="Oberon Public School"/>
    <s v="OBERON"/>
    <s v="Oberon"/>
    <s v="Central West"/>
    <x v="1"/>
    <x v="1"/>
    <s v="Regional North and West"/>
    <x v="0"/>
    <x v="0"/>
    <s v="Coed"/>
    <n v="218"/>
    <n v="17"/>
    <s v="Published"/>
    <n v="37.06"/>
    <n v="6"/>
    <n v="920"/>
    <x v="2"/>
    <n v="136"/>
    <x v="1"/>
    <n v="-33.703254000000001"/>
    <n v="149.86451700000001"/>
  </r>
  <r>
    <s v="2798"/>
    <s v="O'Connell Public School"/>
    <s v="O'Connell"/>
    <s v="Bathurst"/>
    <s v="Central West"/>
    <x v="1"/>
    <x v="1"/>
    <s v="Regional North and West"/>
    <x v="0"/>
    <x v="0"/>
    <s v="Coed"/>
    <n v="68"/>
    <m/>
    <s v="Suppressed"/>
    <s v=""/>
    <n v="0"/>
    <n v="1056"/>
    <x v="3"/>
    <n v="56"/>
    <x v="2"/>
    <n v="-33.524512999999999"/>
    <n v="149.72007600000001"/>
  </r>
  <r>
    <s v="2799"/>
    <s v="Old Bar Public School"/>
    <s v="OLD BAR"/>
    <s v="Mid-Coast"/>
    <s v="Mid North Coast"/>
    <x v="1"/>
    <x v="1"/>
    <s v="Regional North and West"/>
    <x v="0"/>
    <x v="0"/>
    <s v="Coed"/>
    <n v="480"/>
    <n v="13"/>
    <s v="Published"/>
    <n v="62.400000000000006"/>
    <n v="8"/>
    <n v="994"/>
    <x v="2"/>
    <n v="89"/>
    <x v="0"/>
    <n v="-31.972339000000002"/>
    <n v="152.588536"/>
  </r>
  <r>
    <s v="2800"/>
    <s v="Old Bonalbo Public School"/>
    <s v="OLD BONALBO"/>
    <s v="Kyogle"/>
    <s v="Richmond - Tweed"/>
    <x v="2"/>
    <x v="2"/>
    <s v="Rural North"/>
    <x v="0"/>
    <x v="0"/>
    <s v="Coed"/>
    <n v="13"/>
    <n v="46"/>
    <s v="Published"/>
    <n v="5.98"/>
    <n v="0"/>
    <n v="776"/>
    <x v="1"/>
    <n v="228"/>
    <x v="2"/>
    <n v="-28.654622"/>
    <n v="152.59741299999999"/>
  </r>
  <r>
    <s v="2801"/>
    <s v="Old Guildford Public School"/>
    <s v="Guildford"/>
    <s v="Fairfield"/>
    <s v="Sydney - Parramatta"/>
    <x v="0"/>
    <x v="0"/>
    <s v="Metropolitan South"/>
    <x v="0"/>
    <x v="0"/>
    <s v="Coed"/>
    <n v="411"/>
    <m/>
    <s v="Suppressed"/>
    <s v=""/>
    <n v="95"/>
    <n v="903"/>
    <x v="2"/>
    <n v="190"/>
    <x v="0"/>
    <n v="-33.867483999999997"/>
    <n v="150.98650799999999"/>
  </r>
  <r>
    <s v="2811"/>
    <s v="Orange East Public School"/>
    <s v="Orange"/>
    <s v="Orange"/>
    <s v="Central West"/>
    <x v="1"/>
    <x v="1"/>
    <s v="Rural South and West"/>
    <x v="0"/>
    <x v="0"/>
    <s v="Coed"/>
    <n v="270"/>
    <n v="24"/>
    <s v="Published"/>
    <n v="64.8"/>
    <n v="6"/>
    <n v="951"/>
    <x v="2"/>
    <n v="100"/>
    <x v="1"/>
    <n v="-33.282069"/>
    <n v="149.113698"/>
  </r>
  <r>
    <s v="2812"/>
    <s v="Orange Grove Public School"/>
    <s v="Leichhardt"/>
    <s v="Inner West"/>
    <s v="Sydney - Inner West"/>
    <x v="0"/>
    <x v="0"/>
    <s v="Metropolitan South"/>
    <x v="0"/>
    <x v="0"/>
    <s v="Coed"/>
    <n v="519"/>
    <n v="2"/>
    <s v="Published"/>
    <n v="10.38"/>
    <n v="22"/>
    <n v="1132"/>
    <x v="0"/>
    <n v="14"/>
    <x v="0"/>
    <n v="-33.872278000000001"/>
    <n v="151.15867800000001"/>
  </r>
  <r>
    <s v="2814"/>
    <s v="Orara Upper Public School"/>
    <s v="UPPER ORARA"/>
    <s v="Coffs Harbour"/>
    <s v="Coffs Harbour - Grafton"/>
    <x v="1"/>
    <x v="1"/>
    <s v="Regional North and West"/>
    <x v="0"/>
    <x v="0"/>
    <s v="Coed"/>
    <n v="33"/>
    <n v="21"/>
    <s v="Published"/>
    <n v="6.93"/>
    <m/>
    <n v="940"/>
    <x v="2"/>
    <n v="119"/>
    <x v="2"/>
    <n v="-30.289005"/>
    <n v="153.01324"/>
  </r>
  <r>
    <s v="2815"/>
    <s v="Orchard Hills Public School"/>
    <s v="Orchard Hills"/>
    <s v="Penrith"/>
    <s v="Sydney - Outer West and Blue Mountains"/>
    <x v="0"/>
    <x v="0"/>
    <s v="Metropolitan South and West"/>
    <x v="0"/>
    <x v="0"/>
    <s v="Coed"/>
    <n v="242"/>
    <n v="7"/>
    <s v="Published"/>
    <n v="16.940000000000001"/>
    <n v="40"/>
    <n v="995"/>
    <x v="2"/>
    <n v="102"/>
    <x v="1"/>
    <n v="-33.783028999999999"/>
    <n v="150.72136499999999"/>
  </r>
  <r>
    <s v="2818"/>
    <s v="Otford Public School"/>
    <s v="Otford"/>
    <s v="Wollongong"/>
    <s v="Illawarra"/>
    <x v="1"/>
    <x v="1"/>
    <s v="Regional South and Connected Communities"/>
    <x v="0"/>
    <x v="0"/>
    <s v="Coed"/>
    <n v="48"/>
    <m/>
    <s v="Suppressed"/>
    <s v=""/>
    <n v="20"/>
    <n v="1104"/>
    <x v="0"/>
    <n v="30"/>
    <x v="2"/>
    <n v="-34.212198000000001"/>
    <n v="151.001507"/>
  </r>
  <r>
    <s v="2820"/>
    <s v="Ourimbah Public School"/>
    <s v="Ourimbah"/>
    <s v="Central Coast (NSW)"/>
    <s v="Central Coast"/>
    <x v="0"/>
    <x v="0"/>
    <s v="Regional North"/>
    <x v="0"/>
    <x v="0"/>
    <s v="Coed"/>
    <n v="332"/>
    <n v="9"/>
    <s v="Published"/>
    <n v="29.88"/>
    <n v="9"/>
    <n v="1018"/>
    <x v="3"/>
    <n v="80"/>
    <x v="0"/>
    <n v="-33.354916000000003"/>
    <n v="151.368168"/>
  </r>
  <r>
    <s v="2826"/>
    <s v="Padstow Park Public School"/>
    <s v="Padstow"/>
    <s v="Canterbury-Bankstown"/>
    <s v="Sydney - Inner South West"/>
    <x v="0"/>
    <x v="0"/>
    <s v="Metropolitan South and West"/>
    <x v="0"/>
    <x v="0"/>
    <s v="Coed"/>
    <n v="334"/>
    <n v="5"/>
    <s v="Published"/>
    <n v="16.7"/>
    <n v="60"/>
    <n v="1019"/>
    <x v="3"/>
    <n v="94"/>
    <x v="0"/>
    <n v="-33.954954999999998"/>
    <n v="151.03088199999999"/>
  </r>
  <r>
    <s v="2827"/>
    <s v="Pallamallawa Public School"/>
    <s v="PALLAMALLAWA"/>
    <s v="Moree Plains"/>
    <s v="New England and North West"/>
    <x v="2"/>
    <x v="2"/>
    <s v="Rural North"/>
    <x v="0"/>
    <x v="0"/>
    <s v="Coed"/>
    <n v="21"/>
    <m/>
    <s v="Suppressed"/>
    <s v=""/>
    <n v="0"/>
    <n v="857"/>
    <x v="1"/>
    <n v="166"/>
    <x v="2"/>
    <n v="-29.473894000000001"/>
    <n v="150.14146400000001"/>
  </r>
  <r>
    <s v="2829"/>
    <s v="Palmers Island Public School"/>
    <s v="Palmers Island"/>
    <s v="Clarence Valley"/>
    <s v="Coffs Harbour - Grafton"/>
    <x v="1"/>
    <x v="1"/>
    <s v="Rural North"/>
    <x v="0"/>
    <x v="0"/>
    <s v="Coed"/>
    <n v="56"/>
    <n v="14"/>
    <s v="Published"/>
    <n v="7.8400000000000007"/>
    <m/>
    <n v="944"/>
    <x v="2"/>
    <n v="134"/>
    <x v="2"/>
    <n v="-29.419567000000001"/>
    <n v="153.28822"/>
  </r>
  <r>
    <s v="2831"/>
    <s v="Pambula Public School"/>
    <s v="Pambula"/>
    <s v="Bega Valley"/>
    <s v="Capital Region"/>
    <x v="2"/>
    <x v="2"/>
    <s v="Rural South and West"/>
    <x v="0"/>
    <x v="0"/>
    <s v="Coed"/>
    <n v="257"/>
    <n v="7"/>
    <s v="Published"/>
    <n v="17.990000000000002"/>
    <n v="7"/>
    <n v="994"/>
    <x v="2"/>
    <n v="94"/>
    <x v="1"/>
    <n v="-36.925482000000002"/>
    <n v="149.871813"/>
  </r>
  <r>
    <s v="2835"/>
    <s v="Parkes Public School"/>
    <s v="Parkes"/>
    <s v="Parkes"/>
    <s v="Central West"/>
    <x v="2"/>
    <x v="2"/>
    <s v="Rural South and West"/>
    <x v="0"/>
    <x v="0"/>
    <s v="Coed"/>
    <n v="363"/>
    <n v="36"/>
    <s v="Published"/>
    <n v="130.68"/>
    <n v="3"/>
    <n v="896"/>
    <x v="1"/>
    <n v="136"/>
    <x v="0"/>
    <n v="-33.132289999999998"/>
    <n v="148.17631399999999"/>
  </r>
  <r>
    <s v="2838"/>
    <s v="Parklea Public School"/>
    <s v="GLENWOOD"/>
    <s v="Blacktown"/>
    <s v="Sydney - Blacktown"/>
    <x v="0"/>
    <x v="0"/>
    <s v="Metropolitan North"/>
    <x v="0"/>
    <x v="0"/>
    <s v="Coed"/>
    <n v="566"/>
    <n v="4"/>
    <s v="Published"/>
    <n v="22.64"/>
    <n v="62"/>
    <n v="1083"/>
    <x v="3"/>
    <n v="40"/>
    <x v="0"/>
    <n v="-33.725884999999998"/>
    <n v="150.93476000000001"/>
  </r>
  <r>
    <s v="2840"/>
    <s v="Parramatta Public School"/>
    <s v="PARRAMATTA"/>
    <s v="Parramatta"/>
    <s v="Sydney - Parramatta"/>
    <x v="0"/>
    <x v="0"/>
    <s v="Metropolitan South"/>
    <x v="0"/>
    <x v="0"/>
    <s v="Coed"/>
    <n v="671"/>
    <m/>
    <s v="Suppressed"/>
    <s v=""/>
    <n v="96"/>
    <n v="1134"/>
    <x v="0"/>
    <n v="9"/>
    <x v="3"/>
    <n v="-33.816820999999997"/>
    <n v="151.008374"/>
  </r>
  <r>
    <s v="2841"/>
    <s v="Wooli Public School"/>
    <s v="Wooli"/>
    <s v="Clarence Valley"/>
    <s v="Coffs Harbour - Grafton"/>
    <x v="1"/>
    <x v="1"/>
    <s v="Rural North"/>
    <x v="0"/>
    <x v="0"/>
    <s v="Coed"/>
    <n v="29"/>
    <m/>
    <s v="Suppressed"/>
    <s v=""/>
    <m/>
    <n v="1021"/>
    <x v="3"/>
    <n v="78"/>
    <x v="2"/>
    <n v="-29.870923000000001"/>
    <n v="153.265781"/>
  </r>
  <r>
    <s v="2842"/>
    <s v="Parramatta North Public School"/>
    <s v="NORTH PARRAMATTA"/>
    <s v="Parramatta"/>
    <s v="Sydney - Parramatta"/>
    <x v="0"/>
    <x v="0"/>
    <s v="Metropolitan South"/>
    <x v="0"/>
    <x v="0"/>
    <s v="Coed"/>
    <n v="253"/>
    <n v="3"/>
    <s v="Published"/>
    <n v="7.59"/>
    <n v="80"/>
    <n v="1077"/>
    <x v="3"/>
    <n v="52"/>
    <x v="1"/>
    <n v="-33.803950999999998"/>
    <n v="151.004694"/>
  </r>
  <r>
    <s v="2843"/>
    <s v="Parramatta West Public School"/>
    <s v="Parramatta"/>
    <s v="Parramatta"/>
    <s v="Sydney - Parramatta"/>
    <x v="0"/>
    <x v="0"/>
    <s v="Metropolitan South"/>
    <x v="0"/>
    <x v="0"/>
    <s v="Coed"/>
    <n v="949"/>
    <n v="1"/>
    <s v="Published"/>
    <n v="9.49"/>
    <n v="90"/>
    <n v="1029"/>
    <x v="3"/>
    <n v="85"/>
    <x v="3"/>
    <n v="-33.824472"/>
    <n v="150.99096800000001"/>
  </r>
  <r>
    <s v="2844"/>
    <s v="Paterson Public School"/>
    <s v="Paterson"/>
    <s v="Dungog"/>
    <s v="Hunter Valley exc Newcastle"/>
    <x v="1"/>
    <x v="1"/>
    <s v="Regional North and West"/>
    <x v="0"/>
    <x v="0"/>
    <s v="Coed"/>
    <n v="104"/>
    <m/>
    <s v="Suppressed"/>
    <s v=""/>
    <n v="0"/>
    <n v="1027"/>
    <x v="3"/>
    <n v="79"/>
    <x v="1"/>
    <n v="-32.602294000000001"/>
    <n v="151.61231900000001"/>
  </r>
  <r>
    <s v="2846"/>
    <s v="Paxton Public School"/>
    <s v="Paxton"/>
    <s v="Cessnock"/>
    <s v="Hunter Valley exc Newcastle"/>
    <x v="1"/>
    <x v="1"/>
    <s v="Regional North"/>
    <x v="0"/>
    <x v="0"/>
    <s v="Coed"/>
    <n v="80"/>
    <n v="23"/>
    <s v="Published"/>
    <n v="18.400000000000002"/>
    <m/>
    <n v="926"/>
    <x v="2"/>
    <n v="126"/>
    <x v="2"/>
    <n v="-32.900993"/>
    <n v="151.28462099999999"/>
  </r>
  <r>
    <s v="2848"/>
    <s v="Peak Hill Central School"/>
    <s v="Peak Hill"/>
    <s v="Parkes"/>
    <s v="Central West"/>
    <x v="2"/>
    <x v="2"/>
    <s v="Rural South and West"/>
    <x v="1"/>
    <x v="0"/>
    <s v="Coed"/>
    <n v="126"/>
    <n v="62"/>
    <s v="Published"/>
    <n v="78.12"/>
    <n v="4"/>
    <n v="815"/>
    <x v="1"/>
    <n v="164"/>
    <x v="1"/>
    <n v="-32.728855000000003"/>
    <n v="148.19211100000001"/>
  </r>
  <r>
    <s v="2849"/>
    <s v="Peakhurst Public School"/>
    <s v="PEAKHURST"/>
    <s v="Georges River"/>
    <s v="Sydney - Inner South West"/>
    <x v="0"/>
    <x v="0"/>
    <s v="Metropolitan South"/>
    <x v="0"/>
    <x v="0"/>
    <s v="Coed"/>
    <n v="412"/>
    <n v="2"/>
    <s v="Published"/>
    <n v="8.24"/>
    <n v="75"/>
    <n v="1043"/>
    <x v="3"/>
    <n v="74"/>
    <x v="0"/>
    <n v="-33.955401999999999"/>
    <n v="151.06230600000001"/>
  </r>
  <r>
    <s v="2852"/>
    <s v="Peats Ridge Public School"/>
    <s v="PEATS RIDGE"/>
    <s v="Central Coast (NSW)"/>
    <s v="Central Coast"/>
    <x v="1"/>
    <x v="1"/>
    <s v="Regional North"/>
    <x v="0"/>
    <x v="0"/>
    <s v="Coed"/>
    <n v="19"/>
    <m/>
    <s v="Suppressed"/>
    <s v=""/>
    <n v="38"/>
    <n v="947"/>
    <x v="2"/>
    <n v="91"/>
    <x v="2"/>
    <n v="-33.325840999999997"/>
    <n v="151.23275000000001"/>
  </r>
  <r>
    <s v="2855"/>
    <s v="Pelaw Main Public School"/>
    <s v="Pelaw Main"/>
    <s v="Cessnock"/>
    <s v="Hunter Valley exc Newcastle"/>
    <x v="0"/>
    <x v="0"/>
    <s v="Regional North"/>
    <x v="0"/>
    <x v="0"/>
    <s v="Coed"/>
    <n v="115"/>
    <n v="28"/>
    <s v="Published"/>
    <n v="32.200000000000003"/>
    <m/>
    <n v="901"/>
    <x v="2"/>
    <n v="133"/>
    <x v="1"/>
    <n v="-32.831923000000003"/>
    <n v="151.48474300000001"/>
  </r>
  <r>
    <s v="2857"/>
    <s v="Pennant Hills Public School"/>
    <s v="Pennant Hills"/>
    <s v="Hornsby"/>
    <s v="Sydney - Ryde"/>
    <x v="0"/>
    <x v="0"/>
    <s v="Metropolitan North"/>
    <x v="0"/>
    <x v="0"/>
    <s v="Coed"/>
    <n v="490"/>
    <n v="1"/>
    <s v="Published"/>
    <n v="4.9000000000000004"/>
    <n v="51"/>
    <n v="1143"/>
    <x v="0"/>
    <n v="10"/>
    <x v="0"/>
    <n v="-33.735799999999998"/>
    <n v="151.06805800000001"/>
  </r>
  <r>
    <s v="2858"/>
    <s v="West Pennant Hills Public School"/>
    <s v="West Pennant Hills"/>
    <s v="Hornsby"/>
    <s v="Sydney - Ryde"/>
    <x v="0"/>
    <x v="0"/>
    <s v="Metropolitan North"/>
    <x v="0"/>
    <x v="0"/>
    <s v="Coed"/>
    <n v="510"/>
    <n v="2"/>
    <s v="Published"/>
    <n v="10.200000000000001"/>
    <n v="43"/>
    <n v="1134"/>
    <x v="0"/>
    <n v="10"/>
    <x v="0"/>
    <n v="-33.746074999999998"/>
    <n v="151.05049099999999"/>
  </r>
  <r>
    <s v="2859"/>
    <s v="Penrith Public School"/>
    <s v="Penrith"/>
    <s v="Penrith"/>
    <s v="Sydney - Outer West and Blue Mountains"/>
    <x v="0"/>
    <x v="0"/>
    <s v="Metropolitan South and West"/>
    <x v="0"/>
    <x v="0"/>
    <s v="Coed"/>
    <n v="524"/>
    <n v="11"/>
    <s v="Published"/>
    <n v="57.64"/>
    <n v="48"/>
    <n v="986"/>
    <x v="2"/>
    <n v="101"/>
    <x v="0"/>
    <n v="-33.755926000000002"/>
    <n v="150.70438999999999"/>
  </r>
  <r>
    <s v="2861"/>
    <s v="Penshurst Public School"/>
    <s v="Penshurst"/>
    <s v="Georges River"/>
    <s v="Sydney - Inner South West"/>
    <x v="0"/>
    <x v="0"/>
    <s v="Metropolitan South"/>
    <x v="0"/>
    <x v="0"/>
    <s v="Coed"/>
    <n v="458"/>
    <m/>
    <s v="Suppressed"/>
    <s v=""/>
    <n v="87"/>
    <n v="1061"/>
    <x v="3"/>
    <n v="57"/>
    <x v="0"/>
    <n v="-33.962636000000003"/>
    <n v="151.08770200000001"/>
  </r>
  <r>
    <s v="2862"/>
    <s v="Perthville Public School"/>
    <s v="PERTHVILLE"/>
    <s v="Bathurst"/>
    <s v="Central West"/>
    <x v="1"/>
    <x v="1"/>
    <s v="Regional North and West"/>
    <x v="0"/>
    <x v="0"/>
    <s v="Coed"/>
    <n v="126"/>
    <n v="7"/>
    <s v="Published"/>
    <n v="8.82"/>
    <n v="5"/>
    <n v="1013"/>
    <x v="3"/>
    <n v="81"/>
    <x v="1"/>
    <n v="-33.491052000000003"/>
    <n v="149.55005199999999"/>
  </r>
  <r>
    <s v="2867"/>
    <s v="Picton Public School"/>
    <s v="Picton"/>
    <s v="Wollondilly"/>
    <s v="Sydney - Outer South West"/>
    <x v="1"/>
    <x v="1"/>
    <s v="Regional South and Connected Communities"/>
    <x v="0"/>
    <x v="0"/>
    <s v="Coed"/>
    <n v="307"/>
    <n v="12"/>
    <s v="Published"/>
    <n v="36.839999999999996"/>
    <n v="4"/>
    <n v="991"/>
    <x v="2"/>
    <n v="98"/>
    <x v="0"/>
    <n v="-34.17624"/>
    <n v="150.60934599999999"/>
  </r>
  <r>
    <s v="2870"/>
    <s v="Pilliga Public School"/>
    <s v="Pilliga"/>
    <s v="Narrabri"/>
    <s v="New England and North West"/>
    <x v="3"/>
    <x v="3"/>
    <s v="Rural North"/>
    <x v="0"/>
    <x v="0"/>
    <s v="Coed"/>
    <n v="18"/>
    <n v="67"/>
    <s v="Published"/>
    <n v="12.06"/>
    <n v="0"/>
    <n v="747"/>
    <x v="1"/>
    <n v="183"/>
    <x v="2"/>
    <n v="-30.352247999999999"/>
    <n v="148.889152"/>
  </r>
  <r>
    <s v="2884"/>
    <s v="Pitt Town Public School"/>
    <s v="Pitt Town"/>
    <s v="Hawkesbury"/>
    <s v="Sydney - Baulkham Hills and Hawkesbury"/>
    <x v="0"/>
    <x v="0"/>
    <s v="Regional North"/>
    <x v="0"/>
    <x v="0"/>
    <s v="Coed"/>
    <n v="290"/>
    <n v="11"/>
    <s v="Published"/>
    <n v="31.9"/>
    <n v="7"/>
    <n v="987"/>
    <x v="2"/>
    <n v="100"/>
    <x v="1"/>
    <n v="-33.583886999999997"/>
    <n v="150.85963799999999"/>
  </r>
  <r>
    <s v="2886"/>
    <s v="Pleasant Hills Public School"/>
    <s v="Pleasant Hills"/>
    <s v="Lockhart"/>
    <s v="Riverina"/>
    <x v="2"/>
    <x v="2"/>
    <s v="Rural South and West"/>
    <x v="0"/>
    <x v="0"/>
    <s v="Coed"/>
    <n v="13"/>
    <m/>
    <s v="Suppressed"/>
    <s v=""/>
    <n v="0"/>
    <n v="920"/>
    <x v="2"/>
    <n v="117"/>
    <x v="2"/>
    <n v="-35.46651"/>
    <n v="146.79851199999999"/>
  </r>
  <r>
    <s v="2887"/>
    <s v="Plumpton Public School"/>
    <s v="Plumpton"/>
    <s v="Blacktown"/>
    <s v="Sydney - Blacktown"/>
    <x v="0"/>
    <x v="0"/>
    <s v="Metropolitan South and West"/>
    <x v="0"/>
    <x v="0"/>
    <s v="Coed"/>
    <n v="504"/>
    <n v="8"/>
    <s v="Published"/>
    <n v="40.32"/>
    <n v="74"/>
    <n v="981"/>
    <x v="2"/>
    <n v="98"/>
    <x v="0"/>
    <n v="-33.749158000000001"/>
    <n v="150.83855600000001"/>
  </r>
  <r>
    <s v="2890"/>
    <s v="The Pocket Public School"/>
    <s v="The Pocket"/>
    <s v="Byron"/>
    <s v="Richmond - Tweed"/>
    <x v="1"/>
    <x v="1"/>
    <s v="Rural North"/>
    <x v="0"/>
    <x v="0"/>
    <s v="Coed"/>
    <n v="111"/>
    <m/>
    <s v="Suppressed"/>
    <s v=""/>
    <n v="23"/>
    <n v="1068"/>
    <x v="3"/>
    <n v="55"/>
    <x v="1"/>
    <n v="-28.505413999999998"/>
    <n v="153.47911199999999"/>
  </r>
  <r>
    <s v="2893"/>
    <s v="Pomona Public School"/>
    <s v="Pomona"/>
    <s v="Wentworth"/>
    <s v="Murray"/>
    <x v="3"/>
    <x v="3"/>
    <s v="Rural South and West"/>
    <x v="0"/>
    <x v="0"/>
    <s v="Coed"/>
    <n v="19"/>
    <m/>
    <s v="Suppressed"/>
    <s v=""/>
    <n v="0"/>
    <n v="929"/>
    <x v="2"/>
    <n v="123"/>
    <x v="2"/>
    <n v="-34.025725999999999"/>
    <n v="141.89492999999999"/>
  </r>
  <r>
    <s v="2895"/>
    <s v="Pooncarie Public School"/>
    <s v="Pooncarie"/>
    <s v="Wentworth"/>
    <s v="Murray"/>
    <x v="3"/>
    <x v="3"/>
    <s v="Rural South and West"/>
    <x v="0"/>
    <x v="0"/>
    <s v="Coed"/>
    <n v="8"/>
    <n v="0"/>
    <s v="Published"/>
    <n v="0"/>
    <n v="0"/>
    <n v="937"/>
    <x v="2"/>
    <n v="119"/>
    <x v="2"/>
    <n v="-33.383032999999998"/>
    <n v="142.56832399999999"/>
  </r>
  <r>
    <s v="2896"/>
    <s v="Port Kembla Public School"/>
    <s v="Port Kembla"/>
    <s v="Wollongong"/>
    <s v="Illawarra"/>
    <x v="0"/>
    <x v="0"/>
    <s v="Regional South and Connected Communities"/>
    <x v="0"/>
    <x v="0"/>
    <s v="Coed"/>
    <n v="278"/>
    <n v="13"/>
    <s v="Published"/>
    <n v="36.14"/>
    <n v="17"/>
    <n v="1014"/>
    <x v="3"/>
    <n v="83"/>
    <x v="1"/>
    <n v="-34.486089999999997"/>
    <n v="150.91472400000001"/>
  </r>
  <r>
    <s v="2897"/>
    <s v="Portland Central School"/>
    <s v="PORTLAND"/>
    <s v="Lithgow"/>
    <s v="Central West"/>
    <x v="1"/>
    <x v="1"/>
    <s v="Regional North and West"/>
    <x v="1"/>
    <x v="0"/>
    <s v="Coed"/>
    <n v="202.6"/>
    <n v="39"/>
    <s v="Published"/>
    <n v="79.013999999999996"/>
    <n v="3"/>
    <n v="845"/>
    <x v="1"/>
    <n v="168"/>
    <x v="1"/>
    <n v="-33.354771999999997"/>
    <n v="149.97965300000001"/>
  </r>
  <r>
    <s v="2899"/>
    <s v="Port Macquarie Public School"/>
    <s v="Port Macquarie"/>
    <s v="Port Macquarie-Hastings"/>
    <s v="Mid North Coast"/>
    <x v="1"/>
    <x v="1"/>
    <s v="Regional North and West"/>
    <x v="0"/>
    <x v="0"/>
    <s v="Coed"/>
    <n v="451"/>
    <n v="24"/>
    <s v="Published"/>
    <n v="108.24"/>
    <n v="11"/>
    <n v="932"/>
    <x v="2"/>
    <n v="116"/>
    <x v="0"/>
    <n v="-31.429869"/>
    <n v="152.913872"/>
  </r>
  <r>
    <s v="2900"/>
    <s v="Premer Public School"/>
    <s v="Premer"/>
    <s v="Liverpool Plains"/>
    <s v="New England and North West"/>
    <x v="2"/>
    <x v="2"/>
    <s v="Rural North"/>
    <x v="0"/>
    <x v="0"/>
    <s v="Coed"/>
    <n v="12"/>
    <n v="50"/>
    <s v="Published"/>
    <n v="6"/>
    <n v="0"/>
    <n v="822"/>
    <x v="1"/>
    <n v="149"/>
    <x v="2"/>
    <n v="-31.453552999999999"/>
    <n v="149.90048100000001"/>
  </r>
  <r>
    <s v="2901"/>
    <s v="Prestons Public School"/>
    <s v="Prestons"/>
    <s v="Liverpool"/>
    <s v="Sydney - South West"/>
    <x v="0"/>
    <x v="0"/>
    <s v="Metropolitan South and West"/>
    <x v="0"/>
    <x v="0"/>
    <s v="Coed"/>
    <n v="586"/>
    <n v="5"/>
    <s v="Published"/>
    <n v="29.3"/>
    <n v="78"/>
    <n v="962"/>
    <x v="2"/>
    <n v="128"/>
    <x v="0"/>
    <n v="-33.946420000000003"/>
    <n v="150.889961"/>
  </r>
  <r>
    <s v="2902"/>
    <s v="Pretty Beach Public School"/>
    <s v="PRETTY BEACH"/>
    <s v="Central Coast (NSW)"/>
    <s v="Central Coast"/>
    <x v="0"/>
    <x v="0"/>
    <s v="Regional North"/>
    <x v="0"/>
    <x v="0"/>
    <s v="Coed"/>
    <n v="154"/>
    <m/>
    <s v="Suppressed"/>
    <s v=""/>
    <n v="16"/>
    <n v="1102"/>
    <x v="0"/>
    <n v="41"/>
    <x v="1"/>
    <n v="-33.528039"/>
    <n v="151.350019"/>
  </r>
  <r>
    <s v="2904"/>
    <s v="Primbee Public School"/>
    <s v="Primbee"/>
    <s v="Wollongong"/>
    <s v="Illawarra"/>
    <x v="0"/>
    <x v="0"/>
    <s v="Regional South and Connected Communities"/>
    <x v="0"/>
    <x v="0"/>
    <s v="Coed"/>
    <n v="88"/>
    <n v="13"/>
    <s v="Published"/>
    <n v="11.440000000000001"/>
    <n v="22"/>
    <n v="943"/>
    <x v="2"/>
    <n v="134"/>
    <x v="2"/>
    <n v="-34.501421000000001"/>
    <n v="150.88230200000001"/>
  </r>
  <r>
    <s v="2910"/>
    <s v="Punchbowl Public School"/>
    <s v="PUNCHBOWL"/>
    <s v="Canterbury-Bankstown"/>
    <s v="Sydney - Inner South West"/>
    <x v="0"/>
    <x v="0"/>
    <s v="Metropolitan South"/>
    <x v="0"/>
    <x v="0"/>
    <s v="Coed"/>
    <n v="528"/>
    <n v="2"/>
    <s v="Published"/>
    <n v="10.56"/>
    <n v="94"/>
    <n v="976"/>
    <x v="2"/>
    <n v="119"/>
    <x v="0"/>
    <n v="-33.930613000000001"/>
    <n v="151.055905"/>
  </r>
  <r>
    <s v="2913"/>
    <s v="Putney Public School"/>
    <s v="Ryde"/>
    <s v="Ryde"/>
    <s v="Sydney - Ryde"/>
    <x v="0"/>
    <x v="0"/>
    <s v="Metropolitan North"/>
    <x v="0"/>
    <x v="0"/>
    <s v="Coed"/>
    <n v="357"/>
    <m/>
    <s v="Suppressed"/>
    <s v=""/>
    <n v="50"/>
    <n v="1114"/>
    <x v="0"/>
    <n v="28"/>
    <x v="0"/>
    <n v="-33.824562"/>
    <n v="151.110973"/>
  </r>
  <r>
    <s v="2917"/>
    <s v="Quaama Public School"/>
    <s v="Quaama"/>
    <s v="Bega Valley"/>
    <s v="Capital Region"/>
    <x v="2"/>
    <x v="2"/>
    <s v="Regional South and Connected Communities"/>
    <x v="0"/>
    <x v="0"/>
    <s v="Coed"/>
    <n v="53"/>
    <m/>
    <s v="Suppressed"/>
    <s v=""/>
    <m/>
    <n v="987"/>
    <x v="2"/>
    <n v="104"/>
    <x v="2"/>
    <n v="-36.464225999999996"/>
    <n v="149.86705000000001"/>
  </r>
  <r>
    <s v="2918"/>
    <s v="Quakers Hill Public School"/>
    <s v="Quakers Hill"/>
    <s v="Blacktown"/>
    <s v="Sydney - Blacktown"/>
    <x v="0"/>
    <x v="0"/>
    <s v="Metropolitan North"/>
    <x v="0"/>
    <x v="0"/>
    <s v="Coed"/>
    <n v="962"/>
    <n v="5"/>
    <s v="Published"/>
    <n v="48.1"/>
    <n v="81"/>
    <n v="1097"/>
    <x v="3"/>
    <n v="29"/>
    <x v="3"/>
    <n v="-33.737467000000002"/>
    <n v="150.885265"/>
  </r>
  <r>
    <s v="2919"/>
    <s v="Quambone Public School"/>
    <s v="Quambone"/>
    <s v="Coonamble"/>
    <s v="Far West and Orana"/>
    <x v="3"/>
    <x v="3"/>
    <s v="Rural North"/>
    <x v="0"/>
    <x v="0"/>
    <s v="Coed"/>
    <n v="8"/>
    <m/>
    <s v="Suppressed"/>
    <s v=""/>
    <n v="0"/>
    <n v="826"/>
    <x v="1"/>
    <n v="117"/>
    <x v="2"/>
    <n v="-30.930706000000001"/>
    <n v="147.87200100000001"/>
  </r>
  <r>
    <s v="2920"/>
    <s v="Quandialla Public School"/>
    <s v="Quandialla"/>
    <s v="Weddin"/>
    <s v="Central West"/>
    <x v="2"/>
    <x v="2"/>
    <s v="Rural South and West"/>
    <x v="0"/>
    <x v="0"/>
    <s v="Coed"/>
    <n v="10"/>
    <n v="0"/>
    <s v="Published"/>
    <n v="0"/>
    <n v="0"/>
    <n v="942"/>
    <x v="2"/>
    <n v="135"/>
    <x v="2"/>
    <n v="-34.010362000000001"/>
    <n v="147.79045400000001"/>
  </r>
  <r>
    <s v="2922"/>
    <s v="Queanbeyan Public School"/>
    <s v="Queanbeyan"/>
    <s v="Queanbeyan-Palerang"/>
    <s v="Capital Region"/>
    <x v="0"/>
    <x v="0"/>
    <s v="Rural South and West"/>
    <x v="0"/>
    <x v="0"/>
    <s v="Coed"/>
    <n v="361"/>
    <n v="12"/>
    <s v="Published"/>
    <n v="43.32"/>
    <n v="26"/>
    <n v="997"/>
    <x v="2"/>
    <n v="89"/>
    <x v="0"/>
    <n v="-35.357526"/>
    <n v="149.236154"/>
  </r>
  <r>
    <s v="2926"/>
    <s v="Leppington Public School"/>
    <s v="Leppington"/>
    <s v="Camden"/>
    <s v="Sydney - South West"/>
    <x v="0"/>
    <x v="0"/>
    <s v="Metropolitan South and West"/>
    <x v="0"/>
    <x v="0"/>
    <s v="Coed"/>
    <n v="507"/>
    <n v="3"/>
    <s v="Published"/>
    <n v="15.209999999999999"/>
    <n v="73"/>
    <n v="1032"/>
    <x v="3"/>
    <n v="71"/>
    <x v="0"/>
    <n v="-33.959268999999999"/>
    <n v="150.810901"/>
  </r>
  <r>
    <s v="2927"/>
    <s v="Raglan Public School"/>
    <s v="Raglan"/>
    <s v="Bathurst"/>
    <s v="Central West"/>
    <x v="1"/>
    <x v="1"/>
    <s v="Regional North and West"/>
    <x v="0"/>
    <x v="0"/>
    <s v="Coed"/>
    <n v="191"/>
    <n v="12"/>
    <s v="Published"/>
    <n v="22.919999999999998"/>
    <n v="8"/>
    <n v="978"/>
    <x v="2"/>
    <n v="102"/>
    <x v="1"/>
    <n v="-33.428033999999997"/>
    <n v="149.648098"/>
  </r>
  <r>
    <s v="2930"/>
    <s v="Rainbow Street Public School"/>
    <s v="RANDWICK"/>
    <s v="Randwick"/>
    <s v="Sydney - Eastern Suburbs"/>
    <x v="0"/>
    <x v="0"/>
    <s v="Metropolitan South"/>
    <x v="0"/>
    <x v="0"/>
    <s v="Coed"/>
    <n v="454"/>
    <n v="2"/>
    <s v="Published"/>
    <n v="9.08"/>
    <n v="56"/>
    <n v="1122"/>
    <x v="0"/>
    <n v="17"/>
    <x v="0"/>
    <n v="-33.924647"/>
    <n v="151.23716400000001"/>
  </r>
  <r>
    <s v="2931"/>
    <s v="Raleigh Public School"/>
    <s v="RALEIGH"/>
    <s v="Bellingen"/>
    <s v="Coffs Harbour - Grafton"/>
    <x v="1"/>
    <x v="1"/>
    <s v="Regional North and West"/>
    <x v="0"/>
    <x v="0"/>
    <s v="Coed"/>
    <n v="24"/>
    <m/>
    <s v="Suppressed"/>
    <s v=""/>
    <m/>
    <n v="1097"/>
    <x v="3"/>
    <n v="46"/>
    <x v="2"/>
    <n v="-30.450064000000001"/>
    <n v="153.012586"/>
  </r>
  <r>
    <s v="2933"/>
    <s v="Rand Public School"/>
    <s v="Rand"/>
    <s v="Federation"/>
    <s v="Murray"/>
    <x v="2"/>
    <x v="2"/>
    <s v="Rural South and West"/>
    <x v="0"/>
    <x v="0"/>
    <s v="Coed"/>
    <n v="30"/>
    <m/>
    <s v="Suppressed"/>
    <s v=""/>
    <n v="0"/>
    <n v="979"/>
    <x v="2"/>
    <n v="97"/>
    <x v="2"/>
    <n v="-35.596086999999997"/>
    <n v="146.58044200000001"/>
  </r>
  <r>
    <s v="2935"/>
    <s v="Rankins Springs Public School"/>
    <s v="Rankins Springs"/>
    <s v="Carrathool"/>
    <s v="Riverina"/>
    <x v="2"/>
    <x v="2"/>
    <s v="Rural South and West"/>
    <x v="0"/>
    <x v="0"/>
    <s v="Coed"/>
    <n v="18"/>
    <n v="0"/>
    <s v="Published"/>
    <n v="0"/>
    <m/>
    <n v="988"/>
    <x v="2"/>
    <n v="84"/>
    <x v="2"/>
    <n v="-33.839979999999997"/>
    <n v="146.25824499999999"/>
  </r>
  <r>
    <s v="2937"/>
    <s v="Rappville Public School"/>
    <s v="RAPPVILLE"/>
    <s v="Richmond Valley"/>
    <s v="Richmond - Tweed"/>
    <x v="2"/>
    <x v="2"/>
    <s v="Rural North"/>
    <x v="0"/>
    <x v="0"/>
    <s v="Coed"/>
    <n v="17"/>
    <m/>
    <s v="Suppressed"/>
    <s v=""/>
    <m/>
    <n v="896"/>
    <x v="1"/>
    <n v="142"/>
    <x v="2"/>
    <n v="-29.085815"/>
    <n v="152.95533"/>
  </r>
  <r>
    <s v="2943"/>
    <s v="Raymond Terrace Public School"/>
    <s v="Raymond Terrace"/>
    <s v="Port Stephens"/>
    <s v="Hunter Valley exc Newcastle"/>
    <x v="0"/>
    <x v="0"/>
    <s v="Regional North"/>
    <x v="0"/>
    <x v="0"/>
    <s v="Coed"/>
    <n v="322"/>
    <n v="39"/>
    <s v="Published"/>
    <n v="125.58"/>
    <n v="6"/>
    <n v="864"/>
    <x v="1"/>
    <n v="152"/>
    <x v="0"/>
    <n v="-32.767015999999998"/>
    <n v="151.74001000000001"/>
  </r>
  <r>
    <s v="2946"/>
    <s v="Redhead Public School"/>
    <s v="Redhead"/>
    <s v="Lake Macquarie"/>
    <s v="Newcastle and Lake Macquarie"/>
    <x v="0"/>
    <x v="0"/>
    <s v="Regional North"/>
    <x v="0"/>
    <x v="0"/>
    <s v="Coed"/>
    <n v="240"/>
    <n v="7"/>
    <s v="Published"/>
    <n v="16.8"/>
    <n v="8"/>
    <n v="1089"/>
    <x v="3"/>
    <n v="42"/>
    <x v="1"/>
    <n v="-33.011645999999999"/>
    <n v="151.71142499999999"/>
  </r>
  <r>
    <s v="2948"/>
    <s v="Red Range Public School"/>
    <s v="RED RANGE"/>
    <s v="Glen Innes Severn"/>
    <s v="New England and North West"/>
    <x v="2"/>
    <x v="2"/>
    <s v="Rural North"/>
    <x v="0"/>
    <x v="0"/>
    <s v="Coed"/>
    <n v="28"/>
    <n v="36"/>
    <s v="Published"/>
    <n v="10.08"/>
    <m/>
    <n v="858"/>
    <x v="1"/>
    <n v="151"/>
    <x v="2"/>
    <n v="-29.776132"/>
    <n v="151.89737299999999"/>
  </r>
  <r>
    <s v="2950"/>
    <s v="Regents Park Public School"/>
    <s v="Regents Park"/>
    <s v="Canterbury-Bankstown"/>
    <s v="Sydney - Parramatta"/>
    <x v="0"/>
    <x v="0"/>
    <s v="Metropolitan South"/>
    <x v="0"/>
    <x v="0"/>
    <s v="Coed"/>
    <n v="268"/>
    <m/>
    <s v="Suppressed"/>
    <s v=""/>
    <n v="89"/>
    <n v="968"/>
    <x v="2"/>
    <n v="128"/>
    <x v="1"/>
    <n v="-33.885517999999998"/>
    <n v="151.02469300000001"/>
  </r>
  <r>
    <s v="2951"/>
    <s v="Regentville Public School"/>
    <s v="Regentville"/>
    <s v="Penrith"/>
    <s v="Sydney - Outer West and Blue Mountains"/>
    <x v="0"/>
    <x v="0"/>
    <s v="Metropolitan South and West"/>
    <x v="0"/>
    <x v="0"/>
    <s v="Coed"/>
    <n v="523"/>
    <n v="10"/>
    <s v="Published"/>
    <n v="52.300000000000004"/>
    <n v="14"/>
    <n v="1003"/>
    <x v="3"/>
    <n v="93"/>
    <x v="0"/>
    <n v="-33.777279999999998"/>
    <n v="150.66831099999999"/>
  </r>
  <r>
    <s v="2955"/>
    <s v="Repton Public School"/>
    <s v="REPTON"/>
    <s v="Bellingen"/>
    <s v="Coffs Harbour - Grafton"/>
    <x v="1"/>
    <x v="1"/>
    <s v="Regional North and West"/>
    <x v="0"/>
    <x v="0"/>
    <s v="Coed"/>
    <n v="63"/>
    <m/>
    <s v="Suppressed"/>
    <s v=""/>
    <m/>
    <n v="1030"/>
    <x v="3"/>
    <n v="75"/>
    <x v="2"/>
    <n v="-30.446021000000002"/>
    <n v="153.02903699999999"/>
  </r>
  <r>
    <s v="2958"/>
    <s v="Revesby Public School"/>
    <s v="Revesby"/>
    <s v="Canterbury-Bankstown"/>
    <s v="Sydney - Inner South West"/>
    <x v="0"/>
    <x v="0"/>
    <s v="Metropolitan South and West"/>
    <x v="0"/>
    <x v="0"/>
    <s v="Coed"/>
    <n v="303"/>
    <n v="4"/>
    <s v="Published"/>
    <n v="12.120000000000001"/>
    <n v="73"/>
    <n v="999"/>
    <x v="2"/>
    <n v="115"/>
    <x v="0"/>
    <n v="-33.944448999999999"/>
    <n v="151.017145"/>
  </r>
  <r>
    <s v="2965"/>
    <s v="Richmond North Public School"/>
    <s v="NORTH RICHMOND"/>
    <s v="Hawkesbury"/>
    <s v="Sydney - Outer West and Blue Mountains"/>
    <x v="0"/>
    <x v="0"/>
    <s v="Regional North"/>
    <x v="0"/>
    <x v="0"/>
    <s v="Coed"/>
    <n v="309"/>
    <n v="14"/>
    <s v="Published"/>
    <n v="43.260000000000005"/>
    <n v="13"/>
    <n v="984"/>
    <x v="2"/>
    <n v="92"/>
    <x v="0"/>
    <n v="-33.580590999999998"/>
    <n v="150.716871"/>
  </r>
  <r>
    <s v="2968"/>
    <s v="The Risk Public School"/>
    <s v="THE RISK"/>
    <s v="Kyogle"/>
    <s v="Richmond - Tweed"/>
    <x v="1"/>
    <x v="1"/>
    <s v="Rural North"/>
    <x v="0"/>
    <x v="0"/>
    <s v="Coed"/>
    <n v="23"/>
    <m/>
    <s v="Suppressed"/>
    <s v=""/>
    <m/>
    <n v="869"/>
    <x v="1"/>
    <n v="169"/>
    <x v="2"/>
    <n v="-28.476942999999999"/>
    <n v="152.93396999999999"/>
  </r>
  <r>
    <s v="2970"/>
    <s v="Riverstone Public School"/>
    <s v="Riverstone"/>
    <s v="Blacktown"/>
    <s v="Sydney - Blacktown"/>
    <x v="0"/>
    <x v="0"/>
    <s v="Metropolitan North"/>
    <x v="0"/>
    <x v="0"/>
    <s v="Coed"/>
    <n v="599"/>
    <n v="14"/>
    <s v="Published"/>
    <n v="83.860000000000014"/>
    <n v="54"/>
    <n v="986"/>
    <x v="2"/>
    <n v="83"/>
    <x v="0"/>
    <n v="-33.678387000000001"/>
    <n v="150.87101899999999"/>
  </r>
  <r>
    <s v="2971"/>
    <s v="Robertson Public School"/>
    <s v="ROBERTSON"/>
    <s v="Wingecarribee"/>
    <s v="Southern Highlands and Shoalhaven"/>
    <x v="1"/>
    <x v="1"/>
    <s v="Regional South and Connected Communities"/>
    <x v="0"/>
    <x v="0"/>
    <s v="Coed"/>
    <n v="147"/>
    <n v="5"/>
    <s v="Published"/>
    <n v="7.3500000000000005"/>
    <n v="11"/>
    <n v="1025"/>
    <x v="3"/>
    <n v="76"/>
    <x v="1"/>
    <n v="-34.589624999999998"/>
    <n v="150.59248299999999"/>
  </r>
  <r>
    <s v="2973"/>
    <s v="Rockdale Public School"/>
    <s v="Rockdale"/>
    <s v="Bayside (NSW)"/>
    <s v="Sydney - Inner South West"/>
    <x v="0"/>
    <x v="0"/>
    <s v="Metropolitan South"/>
    <x v="0"/>
    <x v="0"/>
    <s v="Coed"/>
    <n v="321"/>
    <n v="3"/>
    <s v="Published"/>
    <n v="9.629999999999999"/>
    <n v="93"/>
    <n v="1053"/>
    <x v="3"/>
    <n v="53"/>
    <x v="0"/>
    <n v="-33.952626000000002"/>
    <n v="151.14168100000001"/>
  </r>
  <r>
    <s v="2974"/>
    <s v="Rockley Public School"/>
    <s v="Rockley"/>
    <s v="Bathurst"/>
    <s v="Central West"/>
    <x v="1"/>
    <x v="1"/>
    <s v="Regional North and West"/>
    <x v="0"/>
    <x v="0"/>
    <s v="Coed"/>
    <n v="13"/>
    <m/>
    <s v="Suppressed"/>
    <s v=""/>
    <n v="0"/>
    <n v="941"/>
    <x v="2"/>
    <n v="108"/>
    <x v="2"/>
    <n v="-33.691929999999999"/>
    <n v="149.56255400000001"/>
  </r>
  <r>
    <s v="2976"/>
    <s v="The Rock Central School"/>
    <s v="The Rock"/>
    <s v="Lockhart"/>
    <s v="Riverina"/>
    <x v="1"/>
    <x v="1"/>
    <s v="Rural South and West"/>
    <x v="1"/>
    <x v="0"/>
    <s v="Coed"/>
    <n v="169"/>
    <n v="15"/>
    <s v="Published"/>
    <n v="25.349999999999998"/>
    <n v="4"/>
    <n v="953"/>
    <x v="2"/>
    <n v="124"/>
    <x v="1"/>
    <n v="-35.266334999999998"/>
    <n v="147.115239"/>
  </r>
  <r>
    <s v="2980"/>
    <s v="Whian Whian Public School"/>
    <s v="Whian Whian"/>
    <s v="Lismore"/>
    <s v="Richmond - Tweed"/>
    <x v="1"/>
    <x v="1"/>
    <s v="Rural North"/>
    <x v="0"/>
    <x v="0"/>
    <s v="Coed"/>
    <n v="8"/>
    <n v="0"/>
    <s v="Published"/>
    <n v="0"/>
    <m/>
    <n v="1052"/>
    <x v="3"/>
    <n v="65"/>
    <x v="2"/>
    <n v="-28.638211999999999"/>
    <n v="153.31431699999999"/>
  </r>
  <r>
    <s v="2983"/>
    <s v="Rocky River Public School"/>
    <s v="Uralla"/>
    <s v="Uralla"/>
    <s v="New England and North West"/>
    <x v="1"/>
    <x v="1"/>
    <s v="Rural North"/>
    <x v="0"/>
    <x v="0"/>
    <s v="Coed"/>
    <n v="39"/>
    <n v="31"/>
    <s v="Published"/>
    <n v="12.09"/>
    <m/>
    <n v="963"/>
    <x v="2"/>
    <n v="101"/>
    <x v="2"/>
    <n v="-30.612856000000001"/>
    <n v="151.49178800000001"/>
  </r>
  <r>
    <s v="2985"/>
    <s v="Rollands Plains Upper Public School"/>
    <s v="Rollands Plains"/>
    <s v="Port Macquarie-Hastings"/>
    <s v="Mid North Coast"/>
    <x v="1"/>
    <x v="1"/>
    <s v="Regional North and West"/>
    <x v="0"/>
    <x v="0"/>
    <s v="Coed"/>
    <n v="24"/>
    <n v="25"/>
    <s v="Published"/>
    <n v="6"/>
    <n v="0"/>
    <n v="939"/>
    <x v="2"/>
    <n v="119"/>
    <x v="2"/>
    <n v="-31.239301999999999"/>
    <n v="152.63180500000001"/>
  </r>
  <r>
    <s v="2987"/>
    <s v="Rosebank Public School"/>
    <s v="Rosebank"/>
    <s v="Lismore"/>
    <s v="Richmond - Tweed"/>
    <x v="1"/>
    <x v="1"/>
    <s v="Rural North"/>
    <x v="0"/>
    <x v="0"/>
    <s v="Coed"/>
    <n v="20"/>
    <m/>
    <s v="Suppressed"/>
    <s v=""/>
    <n v="33"/>
    <n v="989"/>
    <x v="2"/>
    <n v="100"/>
    <x v="2"/>
    <n v="-28.678336000000002"/>
    <n v="153.388262"/>
  </r>
  <r>
    <s v="2988"/>
    <s v="Rose Bay Public School"/>
    <s v="ROSE BAY"/>
    <s v="Woollahra"/>
    <s v="Sydney - Eastern Suburbs"/>
    <x v="0"/>
    <x v="0"/>
    <s v="Metropolitan South"/>
    <x v="0"/>
    <x v="0"/>
    <s v="Coed"/>
    <n v="377"/>
    <m/>
    <s v="Suppressed"/>
    <s v=""/>
    <n v="55"/>
    <n v="1145"/>
    <x v="0"/>
    <n v="15"/>
    <x v="0"/>
    <n v="-33.873010999999998"/>
    <n v="151.270962"/>
  </r>
  <r>
    <s v="2994"/>
    <s v="Roseville Public School"/>
    <s v="Roseville"/>
    <s v="Ku-ring-gai"/>
    <s v="Sydney - North Sydney and Hornsby"/>
    <x v="0"/>
    <x v="0"/>
    <s v="Metropolitan North"/>
    <x v="0"/>
    <x v="0"/>
    <s v="Coed"/>
    <n v="520"/>
    <n v="0"/>
    <s v="Published"/>
    <n v="0"/>
    <n v="62"/>
    <n v="1172"/>
    <x v="0"/>
    <n v="0"/>
    <x v="0"/>
    <n v="-33.781883000000001"/>
    <n v="151.18866600000001"/>
  </r>
  <r>
    <s v="2996"/>
    <s v="Rosewood Public School"/>
    <s v="ROSEWOOD"/>
    <s v="Snowy Valleys"/>
    <s v="Riverina"/>
    <x v="2"/>
    <x v="2"/>
    <s v="Rural South and West"/>
    <x v="0"/>
    <x v="0"/>
    <s v="Coed"/>
    <n v="14"/>
    <n v="57"/>
    <s v="Published"/>
    <n v="7.9799999999999995"/>
    <n v="0"/>
    <n v="739"/>
    <x v="1"/>
    <n v="179"/>
    <x v="2"/>
    <n v="-35.670202000000003"/>
    <n v="147.86083199999999"/>
  </r>
  <r>
    <s v="2997"/>
    <s v="Ross Hill Public School"/>
    <s v="Inverell"/>
    <s v="Inverell"/>
    <s v="New England and North West"/>
    <x v="2"/>
    <x v="2"/>
    <s v="Rural North"/>
    <x v="0"/>
    <x v="0"/>
    <s v="Coed"/>
    <n v="475"/>
    <n v="38"/>
    <s v="Published"/>
    <n v="180.5"/>
    <n v="2"/>
    <n v="871"/>
    <x v="1"/>
    <n v="142"/>
    <x v="0"/>
    <n v="-29.770175999999999"/>
    <n v="151.10309100000001"/>
  </r>
  <r>
    <s v="2999"/>
    <s v="Rossmore Public School"/>
    <s v="ROSSMORE"/>
    <s v="Camden"/>
    <s v="Sydney - South West"/>
    <x v="0"/>
    <x v="0"/>
    <s v="Regional South and Connected Communities"/>
    <x v="0"/>
    <x v="0"/>
    <s v="Coed"/>
    <n v="113"/>
    <n v="17"/>
    <s v="Published"/>
    <n v="19.21"/>
    <n v="54"/>
    <n v="937"/>
    <x v="2"/>
    <n v="139"/>
    <x v="1"/>
    <n v="-33.946492999999997"/>
    <n v="150.77085700000001"/>
  </r>
  <r>
    <s v="3006"/>
    <s v="Rous Public School"/>
    <s v="Alstonville"/>
    <s v="Ballina"/>
    <s v="Richmond - Tweed"/>
    <x v="1"/>
    <x v="1"/>
    <s v="Rural North"/>
    <x v="0"/>
    <x v="0"/>
    <s v="Coed"/>
    <n v="85"/>
    <m/>
    <s v="Suppressed"/>
    <s v=""/>
    <n v="13"/>
    <n v="1031"/>
    <x v="3"/>
    <n v="73"/>
    <x v="2"/>
    <n v="-28.870683"/>
    <n v="153.40662399999999"/>
  </r>
  <r>
    <s v="3008"/>
    <s v="Rouse Hill Public School"/>
    <s v="Rouse Hill"/>
    <s v="The Hills"/>
    <s v="Sydney - Baulkham Hills and Hawkesbury"/>
    <x v="0"/>
    <x v="0"/>
    <s v="Metropolitan North"/>
    <x v="0"/>
    <x v="0"/>
    <s v="Coed"/>
    <n v="1058"/>
    <n v="1"/>
    <s v="Published"/>
    <n v="10.58"/>
    <n v="68"/>
    <n v="1093"/>
    <x v="3"/>
    <n v="29"/>
    <x v="4"/>
    <n v="-33.679219000000003"/>
    <n v="150.920985"/>
  </r>
  <r>
    <s v="3020"/>
    <s v="Rydalmere Public School"/>
    <s v="RYDALMERE"/>
    <s v="Parramatta"/>
    <s v="Sydney - Parramatta"/>
    <x v="0"/>
    <x v="0"/>
    <s v="Metropolitan North"/>
    <x v="0"/>
    <x v="0"/>
    <s v="Coed"/>
    <n v="151"/>
    <m/>
    <s v="Suppressed"/>
    <s v=""/>
    <n v="64"/>
    <n v="1018"/>
    <x v="3"/>
    <n v="77"/>
    <x v="1"/>
    <n v="-33.814317000000003"/>
    <n v="151.04470499999999"/>
  </r>
  <r>
    <s v="3021"/>
    <s v="Ryde Public School"/>
    <s v="Ryde"/>
    <s v="Ryde"/>
    <s v="Sydney - Ryde"/>
    <x v="0"/>
    <x v="0"/>
    <s v="Metropolitan North"/>
    <x v="0"/>
    <x v="0"/>
    <s v="Coed"/>
    <n v="497"/>
    <n v="1"/>
    <s v="Published"/>
    <n v="4.97"/>
    <n v="82"/>
    <n v="1096"/>
    <x v="3"/>
    <n v="33"/>
    <x v="0"/>
    <n v="-33.812551999999997"/>
    <n v="151.10801499999999"/>
  </r>
  <r>
    <s v="3022"/>
    <s v="North Ryde Public School"/>
    <s v="North Ryde"/>
    <s v="Ryde"/>
    <s v="Sydney - Ryde"/>
    <x v="0"/>
    <x v="0"/>
    <s v="Metropolitan North"/>
    <x v="0"/>
    <x v="0"/>
    <s v="Coed"/>
    <n v="316"/>
    <m/>
    <s v="Suppressed"/>
    <s v=""/>
    <n v="69"/>
    <n v="1123"/>
    <x v="0"/>
    <n v="19"/>
    <x v="0"/>
    <n v="-33.794766000000003"/>
    <n v="151.12004200000001"/>
  </r>
  <r>
    <s v="3023"/>
    <s v="West Ryde Public School"/>
    <s v="West Ryde"/>
    <s v="Ryde"/>
    <s v="Sydney - Ryde"/>
    <x v="0"/>
    <x v="0"/>
    <s v="Metropolitan North"/>
    <x v="0"/>
    <x v="0"/>
    <s v="Coed"/>
    <n v="512"/>
    <m/>
    <s v="Suppressed"/>
    <s v=""/>
    <n v="83"/>
    <n v="1117"/>
    <x v="0"/>
    <n v="21"/>
    <x v="0"/>
    <n v="-33.808363"/>
    <n v="151.08509699999999"/>
  </r>
  <r>
    <s v="3025"/>
    <s v="Rylstone Public School"/>
    <s v="RYLSTONE"/>
    <s v="Mid-Western"/>
    <s v="Central West"/>
    <x v="2"/>
    <x v="2"/>
    <s v="Regional North and West"/>
    <x v="0"/>
    <x v="0"/>
    <s v="Coed"/>
    <n v="99"/>
    <n v="11"/>
    <s v="Published"/>
    <n v="10.89"/>
    <m/>
    <n v="989"/>
    <x v="2"/>
    <n v="86"/>
    <x v="2"/>
    <n v="-32.795563999999999"/>
    <n v="149.97287700000001"/>
  </r>
  <r>
    <s v="3029"/>
    <s v="St Johns Park Public School"/>
    <s v="St Johns Park"/>
    <s v="Fairfield"/>
    <s v="Sydney - South West"/>
    <x v="0"/>
    <x v="0"/>
    <s v="Metropolitan South and West"/>
    <x v="0"/>
    <x v="0"/>
    <s v="Coed"/>
    <n v="673"/>
    <m/>
    <s v="Suppressed"/>
    <s v=""/>
    <n v="90"/>
    <n v="1023"/>
    <x v="3"/>
    <n v="92"/>
    <x v="3"/>
    <n v="-33.887203999999997"/>
    <n v="150.89927800000001"/>
  </r>
  <r>
    <s v="3031"/>
    <s v="St Marys Public School"/>
    <s v="St Marys"/>
    <s v="Penrith"/>
    <s v="Sydney - Outer West and Blue Mountains"/>
    <x v="0"/>
    <x v="0"/>
    <s v="Metropolitan North"/>
    <x v="0"/>
    <x v="0"/>
    <s v="Coed"/>
    <n v="258"/>
    <n v="17"/>
    <s v="Published"/>
    <n v="43.860000000000007"/>
    <n v="56"/>
    <n v="954"/>
    <x v="2"/>
    <n v="109"/>
    <x v="1"/>
    <n v="-33.768363999999998"/>
    <n v="150.770634"/>
  </r>
  <r>
    <s v="3032"/>
    <s v="St Peters Public School"/>
    <s v="St Peters"/>
    <s v="Inner West"/>
    <s v="Sydney - City and Inner South"/>
    <x v="0"/>
    <x v="0"/>
    <s v="Metropolitan South"/>
    <x v="0"/>
    <x v="0"/>
    <s v="Coed"/>
    <n v="154"/>
    <n v="5"/>
    <s v="Published"/>
    <n v="7.7"/>
    <n v="30"/>
    <n v="1099"/>
    <x v="3"/>
    <n v="32"/>
    <x v="1"/>
    <n v="-33.912993"/>
    <n v="151.17669599999999"/>
  </r>
  <r>
    <s v="3035"/>
    <s v="Salt Ash Public School"/>
    <s v="SALT ASH"/>
    <s v="Port Stephens"/>
    <s v="Hunter Valley exc Newcastle"/>
    <x v="1"/>
    <x v="1"/>
    <s v="Regional North"/>
    <x v="0"/>
    <x v="0"/>
    <s v="Coed"/>
    <n v="142"/>
    <n v="32"/>
    <s v="Published"/>
    <n v="45.44"/>
    <m/>
    <n v="904"/>
    <x v="2"/>
    <n v="136"/>
    <x v="1"/>
    <n v="-32.787841"/>
    <n v="151.90384800000001"/>
  </r>
  <r>
    <s v="3038"/>
    <s v="Sans Souci Public School"/>
    <s v="Sans Souci"/>
    <s v="Georges River"/>
    <s v="Sydney - Inner South West"/>
    <x v="0"/>
    <x v="0"/>
    <s v="Metropolitan South"/>
    <x v="0"/>
    <x v="0"/>
    <s v="Coed"/>
    <n v="523"/>
    <n v="2"/>
    <s v="Published"/>
    <n v="10.46"/>
    <n v="71"/>
    <n v="1060"/>
    <x v="3"/>
    <n v="60"/>
    <x v="0"/>
    <n v="-33.994990000000001"/>
    <n v="151.12923000000001"/>
  </r>
  <r>
    <s v="3042"/>
    <s v="Sawtell Public School"/>
    <s v="Sawtell"/>
    <s v="Coffs Harbour"/>
    <s v="Coffs Harbour - Grafton"/>
    <x v="1"/>
    <x v="1"/>
    <s v="Regional North and West"/>
    <x v="0"/>
    <x v="0"/>
    <s v="Coed"/>
    <n v="293"/>
    <n v="16"/>
    <s v="Published"/>
    <n v="46.88"/>
    <n v="11"/>
    <n v="1003"/>
    <x v="3"/>
    <n v="85"/>
    <x v="1"/>
    <n v="-30.363316000000001"/>
    <n v="153.09764000000001"/>
  </r>
  <r>
    <s v="3045"/>
    <s v="Scarborough Public School"/>
    <s v="Scarborough"/>
    <s v="Wollongong"/>
    <s v="Illawarra"/>
    <x v="0"/>
    <x v="0"/>
    <s v="Regional South and Connected Communities"/>
    <x v="0"/>
    <x v="0"/>
    <s v="Coed"/>
    <n v="54"/>
    <m/>
    <s v="Suppressed"/>
    <s v=""/>
    <n v="11"/>
    <n v="1080"/>
    <x v="3"/>
    <n v="59"/>
    <x v="2"/>
    <n v="-34.266182000000001"/>
    <n v="150.966036"/>
  </r>
  <r>
    <s v="3046"/>
    <s v="Schofields Public School"/>
    <s v="SCHOFIELDS"/>
    <s v="Blacktown"/>
    <s v="Sydney - Blacktown"/>
    <x v="0"/>
    <x v="0"/>
    <s v="Metropolitan North"/>
    <x v="0"/>
    <x v="0"/>
    <s v="Coed"/>
    <n v="1119"/>
    <n v="2"/>
    <s v="Published"/>
    <n v="22.38"/>
    <n v="78"/>
    <n v="1086"/>
    <x v="3"/>
    <n v="29"/>
    <x v="4"/>
    <n v="-33.693114999999999"/>
    <n v="150.875247"/>
  </r>
  <r>
    <s v="3048"/>
    <s v="Seaham Public School"/>
    <s v="Seaham"/>
    <s v="Port Stephens"/>
    <s v="Hunter Valley exc Newcastle"/>
    <x v="1"/>
    <x v="1"/>
    <s v="Regional North"/>
    <x v="0"/>
    <x v="0"/>
    <s v="Coed"/>
    <n v="156"/>
    <n v="13"/>
    <s v="Published"/>
    <n v="20.28"/>
    <n v="4"/>
    <n v="990"/>
    <x v="2"/>
    <n v="95"/>
    <x v="1"/>
    <n v="-32.662095000000001"/>
    <n v="151.72936200000001"/>
  </r>
  <r>
    <s v="3053"/>
    <s v="Seven Hills North Public School"/>
    <s v="Seven Hills"/>
    <s v="Blacktown"/>
    <s v="Sydney - Blacktown"/>
    <x v="0"/>
    <x v="0"/>
    <s v="Metropolitan South and West"/>
    <x v="0"/>
    <x v="0"/>
    <s v="Coed"/>
    <n v="246"/>
    <n v="7"/>
    <s v="Published"/>
    <n v="17.220000000000002"/>
    <n v="46"/>
    <n v="1066"/>
    <x v="3"/>
    <n v="48"/>
    <x v="1"/>
    <n v="-33.759976000000002"/>
    <n v="150.95504099999999"/>
  </r>
  <r>
    <s v="3060"/>
    <s v="Shellharbour Public School"/>
    <s v="Shellharbour"/>
    <s v="Shellharbour"/>
    <s v="Illawarra"/>
    <x v="0"/>
    <x v="0"/>
    <s v="Regional South and Connected Communities"/>
    <x v="0"/>
    <x v="0"/>
    <s v="Coed"/>
    <n v="368"/>
    <n v="10"/>
    <s v="Published"/>
    <n v="36.800000000000004"/>
    <n v="6"/>
    <n v="999"/>
    <x v="2"/>
    <n v="92"/>
    <x v="0"/>
    <n v="-34.578968000000003"/>
    <n v="150.86510899999999"/>
  </r>
  <r>
    <s v="3065"/>
    <s v="Shortland Public School"/>
    <s v="Shortland"/>
    <s v="Newcastle"/>
    <s v="Newcastle and Lake Macquarie"/>
    <x v="0"/>
    <x v="0"/>
    <s v="Regional North"/>
    <x v="0"/>
    <x v="0"/>
    <s v="Coed"/>
    <n v="271"/>
    <n v="28"/>
    <s v="Published"/>
    <n v="75.88000000000001"/>
    <n v="20"/>
    <n v="926"/>
    <x v="2"/>
    <n v="124"/>
    <x v="1"/>
    <n v="-32.881435000000003"/>
    <n v="151.695063"/>
  </r>
  <r>
    <s v="3070"/>
    <s v="Singleton Public School"/>
    <s v="SINGLETON"/>
    <s v="Singleton"/>
    <s v="Hunter Valley exc Newcastle"/>
    <x v="1"/>
    <x v="1"/>
    <s v="Regional North and West"/>
    <x v="0"/>
    <x v="0"/>
    <s v="Coed"/>
    <n v="353"/>
    <n v="22"/>
    <s v="Published"/>
    <n v="77.66"/>
    <n v="5"/>
    <n v="950"/>
    <x v="2"/>
    <n v="109"/>
    <x v="0"/>
    <n v="-32.563135000000003"/>
    <n v="151.171752"/>
  </r>
  <r>
    <s v="3073"/>
    <s v="Smithfield Public School"/>
    <s v="SMITHFIELD"/>
    <s v="Fairfield"/>
    <s v="Sydney - South West"/>
    <x v="0"/>
    <x v="0"/>
    <s v="Metropolitan South and West"/>
    <x v="0"/>
    <x v="0"/>
    <s v="Coed"/>
    <n v="517"/>
    <n v="6"/>
    <s v="Published"/>
    <n v="31.02"/>
    <n v="81"/>
    <n v="948"/>
    <x v="2"/>
    <n v="143"/>
    <x v="0"/>
    <n v="-33.853583"/>
    <n v="150.93349499999999"/>
  </r>
  <r>
    <s v="3075"/>
    <s v="Smithtown Public School"/>
    <s v="Smithtown"/>
    <s v="Kempsey"/>
    <s v="Mid North Coast"/>
    <x v="1"/>
    <x v="1"/>
    <s v="Regional North and West"/>
    <x v="0"/>
    <x v="0"/>
    <s v="Coed"/>
    <n v="54"/>
    <n v="35"/>
    <s v="Published"/>
    <n v="18.899999999999999"/>
    <m/>
    <n v="885"/>
    <x v="1"/>
    <n v="128"/>
    <x v="2"/>
    <n v="-31.018187999999999"/>
    <n v="152.94136499999999"/>
  </r>
  <r>
    <s v="3077"/>
    <s v="Sofala Public School"/>
    <s v="Sofala"/>
    <s v="Bathurst"/>
    <s v="Central West"/>
    <x v="1"/>
    <x v="1"/>
    <s v="Regional North and West"/>
    <x v="0"/>
    <x v="0"/>
    <s v="Coed"/>
    <n v="8"/>
    <m/>
    <s v="Suppressed"/>
    <s v=""/>
    <n v="0"/>
    <n v="946"/>
    <x v="2"/>
    <n v="140"/>
    <x v="2"/>
    <n v="-33.082242000000001"/>
    <n v="149.69517200000001"/>
  </r>
  <r>
    <s v="3078"/>
    <s v="Somersby Public School"/>
    <s v="Gosford"/>
    <s v="Central Coast (NSW)"/>
    <s v="Central Coast"/>
    <x v="1"/>
    <x v="1"/>
    <s v="Regional North"/>
    <x v="0"/>
    <x v="0"/>
    <s v="Coed"/>
    <n v="56"/>
    <n v="18"/>
    <s v="Published"/>
    <n v="10.08"/>
    <n v="18"/>
    <n v="1034"/>
    <x v="3"/>
    <n v="62"/>
    <x v="2"/>
    <n v="-33.358367999999999"/>
    <n v="151.291312"/>
  </r>
  <r>
    <s v="3079"/>
    <s v="Somerton Public School"/>
    <s v="Somerton"/>
    <s v="Tamworth"/>
    <s v="New England and North West"/>
    <x v="2"/>
    <x v="2"/>
    <s v="Rural North"/>
    <x v="0"/>
    <x v="0"/>
    <s v="Coed"/>
    <n v="17"/>
    <n v="47"/>
    <s v="Published"/>
    <n v="7.9899999999999993"/>
    <m/>
    <n v="895"/>
    <x v="1"/>
    <n v="128"/>
    <x v="2"/>
    <n v="-30.938431999999999"/>
    <n v="150.64155600000001"/>
  </r>
  <r>
    <s v="3083"/>
    <s v="South West Rocks Public School"/>
    <s v="SOUTH WEST ROCKS"/>
    <s v="Kempsey"/>
    <s v="Mid North Coast"/>
    <x v="1"/>
    <x v="1"/>
    <s v="Regional North and West"/>
    <x v="0"/>
    <x v="0"/>
    <s v="Coed"/>
    <n v="348"/>
    <n v="23"/>
    <s v="Published"/>
    <n v="80.040000000000006"/>
    <n v="10"/>
    <n v="952"/>
    <x v="2"/>
    <n v="100"/>
    <x v="0"/>
    <n v="-30.891501999999999"/>
    <n v="153.03987900000001"/>
  </r>
  <r>
    <s v="3089"/>
    <s v="Spring Hill Public School"/>
    <s v="Spring Hill"/>
    <s v="Orange"/>
    <s v="Central West"/>
    <x v="1"/>
    <x v="1"/>
    <s v="Rural South and West"/>
    <x v="0"/>
    <x v="0"/>
    <s v="Coed"/>
    <n v="57"/>
    <n v="26"/>
    <s v="Published"/>
    <n v="14.82"/>
    <m/>
    <n v="969"/>
    <x v="2"/>
    <n v="85"/>
    <x v="2"/>
    <n v="-33.399574000000001"/>
    <n v="149.15129400000001"/>
  </r>
  <r>
    <s v="3091"/>
    <s v="Spring Ridge Public School"/>
    <s v="Spring Ridge"/>
    <s v="Liverpool Plains"/>
    <s v="New England and North West"/>
    <x v="2"/>
    <x v="2"/>
    <s v="Rural North"/>
    <x v="0"/>
    <x v="0"/>
    <s v="Coed"/>
    <n v="25"/>
    <n v="0"/>
    <s v="Published"/>
    <n v="0"/>
    <n v="0"/>
    <n v="1004"/>
    <x v="3"/>
    <n v="76"/>
    <x v="2"/>
    <n v="-31.392399000000001"/>
    <n v="150.254649"/>
  </r>
  <r>
    <s v="3093"/>
    <s v="Spring Terrace Public School"/>
    <s v="Spring Terrace"/>
    <s v="Cabonne"/>
    <s v="Central West"/>
    <x v="1"/>
    <x v="1"/>
    <s v="Rural South and West"/>
    <x v="0"/>
    <x v="0"/>
    <s v="Coed"/>
    <n v="40"/>
    <m/>
    <s v="Suppressed"/>
    <s v=""/>
    <n v="0"/>
    <n v="927"/>
    <x v="2"/>
    <n v="127"/>
    <x v="2"/>
    <n v="-33.393976000000002"/>
    <n v="149.09736899999999"/>
  </r>
  <r>
    <s v="3095"/>
    <s v="Springwood Public School"/>
    <s v="Springwood"/>
    <s v="Blue Mountains"/>
    <s v="Sydney - Outer West and Blue Mountains"/>
    <x v="0"/>
    <x v="0"/>
    <s v="Regional North"/>
    <x v="0"/>
    <x v="0"/>
    <s v="Coed"/>
    <n v="370"/>
    <n v="9"/>
    <s v="Published"/>
    <n v="33.299999999999997"/>
    <n v="13"/>
    <n v="1059"/>
    <x v="3"/>
    <n v="52"/>
    <x v="0"/>
    <n v="-33.704613000000002"/>
    <n v="150.57347200000001"/>
  </r>
  <r>
    <s v="3103"/>
    <s v="Stanwell Park Public School"/>
    <s v="Stanwell Park"/>
    <s v="Wollongong"/>
    <s v="Illawarra"/>
    <x v="0"/>
    <x v="0"/>
    <s v="Regional South and Connected Communities"/>
    <x v="0"/>
    <x v="0"/>
    <s v="Coed"/>
    <n v="150"/>
    <n v="5"/>
    <s v="Published"/>
    <n v="7.5"/>
    <n v="16"/>
    <n v="1112"/>
    <x v="0"/>
    <n v="24"/>
    <x v="1"/>
    <n v="-34.228715000000001"/>
    <n v="150.98453599999999"/>
  </r>
  <r>
    <s v="3104"/>
    <s v="Warrawong Public School"/>
    <s v="WARRAWONG"/>
    <s v="Wollongong"/>
    <s v="Illawarra"/>
    <x v="0"/>
    <x v="0"/>
    <s v="Regional South and Connected Communities"/>
    <x v="0"/>
    <x v="0"/>
    <s v="Coed"/>
    <n v="276"/>
    <n v="18"/>
    <s v="Published"/>
    <n v="49.68"/>
    <n v="38"/>
    <n v="891"/>
    <x v="1"/>
    <n v="162"/>
    <x v="1"/>
    <n v="-34.481366999999999"/>
    <n v="150.877847"/>
  </r>
  <r>
    <s v="3109"/>
    <s v="Stockinbingal Public School"/>
    <s v="Stockinbingal"/>
    <s v="Cootamundra-Gundagai"/>
    <s v="Riverina"/>
    <x v="2"/>
    <x v="2"/>
    <s v="Rural South and West"/>
    <x v="0"/>
    <x v="0"/>
    <s v="Coed"/>
    <n v="12"/>
    <m/>
    <s v="Suppressed"/>
    <s v=""/>
    <m/>
    <n v="929"/>
    <x v="2"/>
    <n v="208"/>
    <x v="2"/>
    <n v="-34.497610999999999"/>
    <n v="147.88306499999999"/>
  </r>
  <r>
    <s v="3110"/>
    <s v="Stockton Public School"/>
    <s v="Stockton"/>
    <s v="Newcastle"/>
    <s v="Newcastle and Lake Macquarie"/>
    <x v="0"/>
    <x v="0"/>
    <s v="Regional North"/>
    <x v="0"/>
    <x v="0"/>
    <s v="Coed"/>
    <n v="254"/>
    <n v="19"/>
    <s v="Published"/>
    <n v="48.26"/>
    <n v="9"/>
    <n v="1000"/>
    <x v="3"/>
    <n v="73"/>
    <x v="1"/>
    <n v="-32.910955999999999"/>
    <n v="151.78109499999999"/>
  </r>
  <r>
    <s v="3112"/>
    <s v="Stokers Siding Public School"/>
    <s v="Stokers Siding"/>
    <s v="Tweed"/>
    <s v="Richmond - Tweed"/>
    <x v="1"/>
    <x v="1"/>
    <s v="Rural North"/>
    <x v="0"/>
    <x v="0"/>
    <s v="Coed"/>
    <n v="37"/>
    <m/>
    <s v="Suppressed"/>
    <s v=""/>
    <m/>
    <n v="962"/>
    <x v="2"/>
    <n v="120"/>
    <x v="2"/>
    <n v="-28.393823000000001"/>
    <n v="153.404371"/>
  </r>
  <r>
    <s v="3119"/>
    <s v="Stratford Public School"/>
    <s v="Stratford"/>
    <s v="Mid-Coast"/>
    <s v="Mid North Coast"/>
    <x v="2"/>
    <x v="2"/>
    <s v="Regional North and West"/>
    <x v="0"/>
    <x v="0"/>
    <s v="Coed"/>
    <n v="15"/>
    <m/>
    <s v="Suppressed"/>
    <s v=""/>
    <n v="0"/>
    <n v="904"/>
    <x v="2"/>
    <n v="130"/>
    <x v="2"/>
    <n v="-32.116885000000003"/>
    <n v="151.93922000000001"/>
  </r>
  <r>
    <s v="3122"/>
    <s v="Stratheden Public School"/>
    <s v="Stratheden"/>
    <s v="Richmond Valley"/>
    <s v="Richmond - Tweed"/>
    <x v="1"/>
    <x v="1"/>
    <s v="Rural North"/>
    <x v="0"/>
    <x v="0"/>
    <s v="Coed"/>
    <n v="18"/>
    <m/>
    <s v="Suppressed"/>
    <s v=""/>
    <m/>
    <n v="931"/>
    <x v="2"/>
    <n v="108"/>
    <x v="2"/>
    <n v="-28.755713"/>
    <n v="152.93722199999999"/>
  </r>
  <r>
    <s v="3123"/>
    <s v="Strathfield North Public School"/>
    <s v="North Strathfield"/>
    <s v="Canada Bay"/>
    <s v="Sydney - Inner West"/>
    <x v="0"/>
    <x v="0"/>
    <s v="Metropolitan South"/>
    <x v="0"/>
    <x v="0"/>
    <s v="Coed"/>
    <n v="508"/>
    <n v="1"/>
    <s v="Published"/>
    <n v="5.08"/>
    <n v="71"/>
    <n v="1112"/>
    <x v="0"/>
    <n v="30"/>
    <x v="0"/>
    <n v="-33.854531000000001"/>
    <n v="151.09204"/>
  </r>
  <r>
    <s v="3124"/>
    <s v="Strathfield South Public School"/>
    <s v="STRATHFIELD"/>
    <s v="Strathfield"/>
    <s v="Sydney - Inner West"/>
    <x v="0"/>
    <x v="0"/>
    <s v="Metropolitan South"/>
    <x v="0"/>
    <x v="0"/>
    <s v="Coed"/>
    <n v="423"/>
    <m/>
    <s v="Suppressed"/>
    <s v=""/>
    <n v="91"/>
    <n v="1084"/>
    <x v="3"/>
    <n v="43"/>
    <x v="0"/>
    <n v="-33.890779999999999"/>
    <n v="151.08470199999999"/>
  </r>
  <r>
    <s v="3125"/>
    <s v="Stroud Public School"/>
    <s v="STROUD"/>
    <s v="Mid-Coast"/>
    <s v="Mid North Coast"/>
    <x v="1"/>
    <x v="1"/>
    <s v="Regional North and West"/>
    <x v="0"/>
    <x v="0"/>
    <s v="Coed"/>
    <n v="71"/>
    <n v="25"/>
    <s v="Published"/>
    <n v="17.75"/>
    <m/>
    <n v="931"/>
    <x v="2"/>
    <n v="129"/>
    <x v="2"/>
    <n v="-32.402532999999998"/>
    <n v="151.96423899999999"/>
  </r>
  <r>
    <s v="3126"/>
    <s v="Stroud Road Public School"/>
    <s v="Stroud Road"/>
    <s v="Mid-Coast"/>
    <s v="Mid North Coast"/>
    <x v="1"/>
    <x v="1"/>
    <s v="Regional North and West"/>
    <x v="0"/>
    <x v="0"/>
    <s v="Coed"/>
    <n v="9"/>
    <m/>
    <s v="Suppressed"/>
    <s v=""/>
    <n v="0"/>
    <n v="948"/>
    <x v="2"/>
    <n v="117"/>
    <x v="2"/>
    <n v="-32.347985999999999"/>
    <n v="151.93236899999999"/>
  </r>
  <r>
    <s v="3127"/>
    <s v="Stuart Town Public School"/>
    <s v="Stuart Town"/>
    <s v="Dubbo"/>
    <s v="Far West and Orana"/>
    <x v="2"/>
    <x v="2"/>
    <s v="Rural South and West"/>
    <x v="0"/>
    <x v="0"/>
    <s v="Coed"/>
    <n v="11"/>
    <n v="64"/>
    <s v="Published"/>
    <n v="7.04"/>
    <n v="0"/>
    <n v="722"/>
    <x v="1"/>
    <n v="134"/>
    <x v="2"/>
    <n v="-32.802565999999999"/>
    <n v="149.068273"/>
  </r>
  <r>
    <s v="3129"/>
    <s v="Summer Hill Public School"/>
    <s v="Summer Hill"/>
    <s v="Inner West"/>
    <s v="Sydney - Inner West"/>
    <x v="0"/>
    <x v="0"/>
    <s v="Metropolitan South"/>
    <x v="0"/>
    <x v="0"/>
    <s v="Coed"/>
    <n v="662"/>
    <n v="1"/>
    <s v="Published"/>
    <n v="6.62"/>
    <n v="56"/>
    <n v="1167"/>
    <x v="0"/>
    <n v="4"/>
    <x v="3"/>
    <n v="-33.895814999999999"/>
    <n v="151.135853"/>
  </r>
  <r>
    <s v="3136"/>
    <s v="Sutherland Public School"/>
    <s v="Sutherland"/>
    <s v="Sutherland"/>
    <s v="Sydney - Sutherland"/>
    <x v="0"/>
    <x v="0"/>
    <s v="Metropolitan South and West"/>
    <x v="0"/>
    <x v="0"/>
    <s v="Coed"/>
    <n v="344"/>
    <n v="2"/>
    <s v="Published"/>
    <n v="6.88"/>
    <n v="61"/>
    <n v="1101"/>
    <x v="0"/>
    <n v="30"/>
    <x v="0"/>
    <n v="-34.033000999999999"/>
    <n v="151.05914899999999"/>
  </r>
  <r>
    <s v="3137"/>
    <s v="Sutton Public School"/>
    <s v="Sutton"/>
    <s v="Yass Valley"/>
    <s v="Capital Region"/>
    <x v="1"/>
    <x v="1"/>
    <s v="Rural South and West"/>
    <x v="0"/>
    <x v="0"/>
    <s v="Coed"/>
    <n v="152"/>
    <m/>
    <s v="Suppressed"/>
    <s v=""/>
    <n v="12"/>
    <n v="1098"/>
    <x v="3"/>
    <n v="44"/>
    <x v="1"/>
    <n v="-35.165610999999998"/>
    <n v="149.25497899999999"/>
  </r>
  <r>
    <s v="3141"/>
    <s v="Swansea Public School"/>
    <s v="Swansea"/>
    <s v="Lake Macquarie"/>
    <s v="Newcastle and Lake Macquarie"/>
    <x v="0"/>
    <x v="0"/>
    <s v="Regional North"/>
    <x v="0"/>
    <x v="0"/>
    <s v="Coed"/>
    <n v="199"/>
    <n v="29"/>
    <s v="Published"/>
    <n v="57.709999999999994"/>
    <n v="5"/>
    <n v="923"/>
    <x v="2"/>
    <n v="133"/>
    <x v="1"/>
    <n v="-33.084060999999998"/>
    <n v="151.636301"/>
  </r>
  <r>
    <s v="3143"/>
    <s v="Sylvania Public School"/>
    <s v="SYLVANIA"/>
    <s v="Sutherland"/>
    <s v="Sydney - Sutherland"/>
    <x v="0"/>
    <x v="0"/>
    <s v="Metropolitan South and West"/>
    <x v="0"/>
    <x v="0"/>
    <s v="Coed"/>
    <n v="167"/>
    <m/>
    <s v="Suppressed"/>
    <s v=""/>
    <n v="45"/>
    <n v="1038"/>
    <x v="3"/>
    <n v="78"/>
    <x v="1"/>
    <n v="-34.008118000000003"/>
    <n v="151.112077"/>
  </r>
  <r>
    <s v="3145"/>
    <s v="Tabulam Public School"/>
    <s v="Tabulam"/>
    <s v="Kyogle"/>
    <s v="Richmond - Tweed"/>
    <x v="2"/>
    <x v="2"/>
    <s v="Rural North"/>
    <x v="0"/>
    <x v="0"/>
    <s v="Coed"/>
    <n v="63"/>
    <n v="56"/>
    <s v="Published"/>
    <n v="35.28"/>
    <n v="57"/>
    <n v="775"/>
    <x v="1"/>
    <n v="201"/>
    <x v="2"/>
    <n v="-28.888649000000001"/>
    <n v="152.568703"/>
  </r>
  <r>
    <s v="3147"/>
    <s v="Tacoma Public School"/>
    <s v="Tacoma"/>
    <s v="Central Coast (NSW)"/>
    <s v="Central Coast"/>
    <x v="0"/>
    <x v="0"/>
    <s v="Regional North"/>
    <x v="0"/>
    <x v="0"/>
    <s v="Coed"/>
    <n v="186"/>
    <n v="20"/>
    <s v="Published"/>
    <n v="37.200000000000003"/>
    <n v="15"/>
    <n v="938"/>
    <x v="2"/>
    <n v="115"/>
    <x v="1"/>
    <n v="-33.282980000000002"/>
    <n v="151.45893599999999"/>
  </r>
  <r>
    <s v="3148"/>
    <s v="Tahmoor Public School"/>
    <s v="Tahmoor"/>
    <s v="Wollondilly"/>
    <s v="Sydney - Outer South West"/>
    <x v="1"/>
    <x v="1"/>
    <s v="Regional South and Connected Communities"/>
    <x v="0"/>
    <x v="0"/>
    <s v="Coed"/>
    <n v="525"/>
    <n v="21"/>
    <s v="Published"/>
    <n v="110.25"/>
    <n v="13"/>
    <n v="927"/>
    <x v="2"/>
    <n v="134"/>
    <x v="0"/>
    <n v="-34.227663"/>
    <n v="150.58895100000001"/>
  </r>
  <r>
    <s v="3153"/>
    <s v="Tallimba Public School"/>
    <s v="Tallimba"/>
    <s v="Bland"/>
    <s v="Central West"/>
    <x v="2"/>
    <x v="2"/>
    <s v="Rural South and West"/>
    <x v="0"/>
    <x v="0"/>
    <s v="Coed"/>
    <n v="6"/>
    <m/>
    <s v="Suppressed"/>
    <s v=""/>
    <n v="0"/>
    <n v="954"/>
    <x v="2"/>
    <n v="111"/>
    <x v="2"/>
    <n v="-33.993586000000001"/>
    <n v="146.877792"/>
  </r>
  <r>
    <s v="3154"/>
    <s v="Tallong Public School"/>
    <s v="TALLONG"/>
    <s v="Goulburn Mulwaree"/>
    <s v="Capital Region"/>
    <x v="1"/>
    <x v="1"/>
    <s v="Regional South and Connected Communities"/>
    <x v="0"/>
    <x v="0"/>
    <s v="Coed"/>
    <n v="61"/>
    <m/>
    <s v="Suppressed"/>
    <s v=""/>
    <n v="12"/>
    <n v="996"/>
    <x v="2"/>
    <n v="95"/>
    <x v="2"/>
    <n v="-34.721496000000002"/>
    <n v="150.08334099999999"/>
  </r>
  <r>
    <s v="3157"/>
    <s v="Tamworth Public School"/>
    <s v="Tamworth"/>
    <s v="Tamworth"/>
    <s v="New England and North West"/>
    <x v="1"/>
    <x v="1"/>
    <s v="Rural North"/>
    <x v="0"/>
    <x v="0"/>
    <s v="Coed"/>
    <n v="891"/>
    <n v="20"/>
    <s v="Published"/>
    <n v="178.20000000000002"/>
    <n v="15"/>
    <n v="997"/>
    <x v="2"/>
    <n v="82"/>
    <x v="3"/>
    <n v="-31.084712"/>
    <n v="150.935305"/>
  </r>
  <r>
    <s v="3158"/>
    <s v="Tamworth West Public School"/>
    <s v="West Tamworth"/>
    <s v="Tamworth"/>
    <s v="New England and North West"/>
    <x v="1"/>
    <x v="1"/>
    <s v="Rural North"/>
    <x v="0"/>
    <x v="0"/>
    <s v="Coed"/>
    <n v="370"/>
    <n v="32"/>
    <s v="Published"/>
    <n v="118.4"/>
    <n v="10"/>
    <n v="908"/>
    <x v="2"/>
    <n v="130"/>
    <x v="0"/>
    <n v="-31.09158"/>
    <n v="150.92056299999999"/>
  </r>
  <r>
    <s v="3159"/>
    <s v="Tanja Public School"/>
    <s v="Tanja"/>
    <s v="Bega Valley"/>
    <s v="Capital Region"/>
    <x v="2"/>
    <x v="2"/>
    <s v="Regional South and Connected Communities"/>
    <x v="0"/>
    <x v="0"/>
    <s v="Coed"/>
    <n v="6"/>
    <n v="0"/>
    <s v="Published"/>
    <n v="0"/>
    <m/>
    <n v="1085"/>
    <x v="3"/>
    <n v="41"/>
    <x v="2"/>
    <n v="-36.64029"/>
    <n v="149.97507200000001"/>
  </r>
  <r>
    <s v="3162"/>
    <s v="Tarago Public School"/>
    <s v="Tarago"/>
    <s v="Goulburn Mulwaree"/>
    <s v="Capital Region"/>
    <x v="1"/>
    <x v="1"/>
    <s v="Regional South and Connected Communities"/>
    <x v="0"/>
    <x v="0"/>
    <s v="Coed"/>
    <n v="52"/>
    <n v="13"/>
    <s v="Published"/>
    <n v="6.76"/>
    <m/>
    <n v="956"/>
    <x v="2"/>
    <n v="106"/>
    <x v="2"/>
    <n v="-35.067670999999997"/>
    <n v="149.654751"/>
  </r>
  <r>
    <s v="3163"/>
    <s v="Taralga Public School"/>
    <s v="Taralga"/>
    <s v="Upper Lachlan"/>
    <s v="Capital Region"/>
    <x v="1"/>
    <x v="1"/>
    <s v="Regional South and Connected Communities"/>
    <x v="0"/>
    <x v="0"/>
    <s v="Coed"/>
    <n v="11"/>
    <m/>
    <s v="Suppressed"/>
    <s v=""/>
    <m/>
    <n v="965"/>
    <x v="2"/>
    <n v="130"/>
    <x v="2"/>
    <n v="-34.397973999999998"/>
    <n v="149.82096200000001"/>
  </r>
  <r>
    <s v="3165"/>
    <s v="Tarcutta Public School"/>
    <s v="Tarcutta"/>
    <s v="Wagga Wagga"/>
    <s v="Riverina"/>
    <x v="2"/>
    <x v="2"/>
    <s v="Rural South and West"/>
    <x v="0"/>
    <x v="0"/>
    <s v="Coed"/>
    <n v="22"/>
    <n v="36"/>
    <s v="Published"/>
    <n v="7.92"/>
    <m/>
    <n v="874"/>
    <x v="1"/>
    <n v="139"/>
    <x v="2"/>
    <n v="-35.279294"/>
    <n v="147.738339"/>
  </r>
  <r>
    <s v="3167"/>
    <s v="Taree Public School"/>
    <s v="Taree"/>
    <s v="Mid-Coast"/>
    <s v="Mid North Coast"/>
    <x v="1"/>
    <x v="1"/>
    <s v="Regional South and Connected Communities"/>
    <x v="0"/>
    <x v="0"/>
    <s v="Coed"/>
    <n v="83"/>
    <n v="48"/>
    <s v="Published"/>
    <n v="39.839999999999996"/>
    <n v="12"/>
    <n v="795"/>
    <x v="1"/>
    <n v="192"/>
    <x v="2"/>
    <n v="-31.910903999999999"/>
    <n v="152.46215799999999"/>
  </r>
  <r>
    <s v="3168"/>
    <s v="Taren Point Public School"/>
    <s v="Taren Point"/>
    <s v="Sutherland"/>
    <s v="Sydney - Sutherland"/>
    <x v="0"/>
    <x v="0"/>
    <s v="Metropolitan South and West"/>
    <x v="0"/>
    <x v="0"/>
    <s v="Coed"/>
    <n v="114"/>
    <n v="9"/>
    <s v="Published"/>
    <n v="10.26"/>
    <n v="66"/>
    <n v="1043"/>
    <x v="3"/>
    <n v="58"/>
    <x v="1"/>
    <n v="-34.018079999999998"/>
    <n v="151.12269000000001"/>
  </r>
  <r>
    <s v="3173"/>
    <s v="Tathra Public School"/>
    <s v="Tathra"/>
    <s v="Bega Valley"/>
    <s v="Capital Region"/>
    <x v="2"/>
    <x v="2"/>
    <s v="Regional South and Connected Communities"/>
    <x v="0"/>
    <x v="0"/>
    <s v="Coed"/>
    <n v="171"/>
    <n v="5"/>
    <s v="Published"/>
    <n v="8.5500000000000007"/>
    <n v="7"/>
    <n v="1048"/>
    <x v="3"/>
    <n v="74"/>
    <x v="1"/>
    <n v="-36.732802"/>
    <n v="149.979602"/>
  </r>
  <r>
    <s v="3175"/>
    <s v="Tea Gardens Public School"/>
    <s v="TEA GARDENS"/>
    <s v="Mid-Coast"/>
    <s v="Hunter Valley exc Newcastle"/>
    <x v="1"/>
    <x v="1"/>
    <s v="Regional North"/>
    <x v="0"/>
    <x v="0"/>
    <s v="Coed"/>
    <n v="130"/>
    <n v="25"/>
    <s v="Published"/>
    <n v="32.5"/>
    <n v="16"/>
    <n v="934"/>
    <x v="2"/>
    <n v="116"/>
    <x v="1"/>
    <n v="-32.667785000000002"/>
    <n v="152.15799100000001"/>
  </r>
  <r>
    <s v="3176"/>
    <s v="Telegraph Point Public School"/>
    <s v="Telegraph Point"/>
    <s v="Port Macquarie-Hastings"/>
    <s v="Mid North Coast"/>
    <x v="1"/>
    <x v="1"/>
    <s v="Regional North and West"/>
    <x v="0"/>
    <x v="0"/>
    <s v="Coed"/>
    <n v="126"/>
    <n v="15"/>
    <s v="Published"/>
    <n v="18.899999999999999"/>
    <m/>
    <n v="968"/>
    <x v="2"/>
    <n v="106"/>
    <x v="1"/>
    <n v="-31.334143000000001"/>
    <n v="152.79312899999999"/>
  </r>
  <r>
    <s v="3178"/>
    <s v="Temora Public School"/>
    <s v="TEMORA"/>
    <s v="Temora"/>
    <s v="Riverina"/>
    <x v="2"/>
    <x v="2"/>
    <s v="Rural South and West"/>
    <x v="0"/>
    <x v="0"/>
    <s v="Coed"/>
    <n v="213"/>
    <n v="7"/>
    <s v="Published"/>
    <n v="14.910000000000002"/>
    <n v="4"/>
    <n v="969"/>
    <x v="2"/>
    <n v="111"/>
    <x v="1"/>
    <n v="-34.444842999999999"/>
    <n v="147.53526500000001"/>
  </r>
  <r>
    <s v="3180"/>
    <s v="Tenambit Public School"/>
    <s v="TENAMBIT"/>
    <s v="Maitland"/>
    <s v="Hunter Valley exc Newcastle"/>
    <x v="0"/>
    <x v="0"/>
    <s v="Regional North and West"/>
    <x v="0"/>
    <x v="0"/>
    <s v="Coed"/>
    <n v="283"/>
    <n v="29"/>
    <s v="Published"/>
    <n v="82.07"/>
    <n v="6"/>
    <n v="893"/>
    <x v="1"/>
    <n v="149"/>
    <x v="1"/>
    <n v="-32.742528"/>
    <n v="151.604859"/>
  </r>
  <r>
    <s v="3182"/>
    <s v="The Sir Henry Parkes Memorial Public School"/>
    <s v="TENTERFIELD"/>
    <s v="Tenterfield"/>
    <s v="New England and North West"/>
    <x v="2"/>
    <x v="2"/>
    <s v="Rural North"/>
    <x v="0"/>
    <x v="0"/>
    <s v="Coed"/>
    <n v="199"/>
    <n v="30"/>
    <s v="Published"/>
    <n v="59.699999999999996"/>
    <n v="4"/>
    <n v="865"/>
    <x v="1"/>
    <n v="154"/>
    <x v="1"/>
    <n v="-29.056080999999999"/>
    <n v="152.026106"/>
  </r>
  <r>
    <s v="3183"/>
    <s v="Teralba Public School"/>
    <s v="Teralba"/>
    <s v="Lake Macquarie"/>
    <s v="Newcastle and Lake Macquarie"/>
    <x v="0"/>
    <x v="0"/>
    <s v="Regional North"/>
    <x v="0"/>
    <x v="0"/>
    <s v="Coed"/>
    <n v="111"/>
    <n v="24"/>
    <s v="Published"/>
    <n v="26.64"/>
    <n v="7"/>
    <n v="959"/>
    <x v="2"/>
    <n v="96"/>
    <x v="1"/>
    <n v="-32.962493000000002"/>
    <n v="151.605976"/>
  </r>
  <r>
    <s v="3185"/>
    <s v="Terara Public School"/>
    <s v="TERARA"/>
    <s v="Shoalhaven"/>
    <s v="Southern Highlands and Shoalhaven"/>
    <x v="1"/>
    <x v="1"/>
    <s v="Regional South and Connected Communities"/>
    <x v="0"/>
    <x v="0"/>
    <s v="Coed"/>
    <n v="96"/>
    <m/>
    <s v="Suppressed"/>
    <s v=""/>
    <n v="7"/>
    <n v="1009"/>
    <x v="3"/>
    <n v="86"/>
    <x v="2"/>
    <n v="-34.866633"/>
    <n v="150.63038"/>
  </r>
  <r>
    <s v="3189"/>
    <s v="Terranora Public School"/>
    <s v="Terranora"/>
    <s v="Tweed"/>
    <s v="Richmond - Tweed"/>
    <x v="0"/>
    <x v="0"/>
    <s v="Rural North"/>
    <x v="0"/>
    <x v="0"/>
    <s v="Coed"/>
    <n v="286"/>
    <n v="10"/>
    <s v="Published"/>
    <n v="28.6"/>
    <n v="7"/>
    <n v="1023"/>
    <x v="3"/>
    <n v="75"/>
    <x v="1"/>
    <n v="-28.240248000000001"/>
    <n v="153.49927199999999"/>
  </r>
  <r>
    <s v="3190"/>
    <s v="Terrey Hills Public School"/>
    <s v="Terrey Hills"/>
    <s v="Northern Beaches"/>
    <s v="Sydney - Northern Beaches"/>
    <x v="0"/>
    <x v="0"/>
    <s v="Metropolitan North"/>
    <x v="0"/>
    <x v="0"/>
    <s v="Coed"/>
    <n v="183"/>
    <m/>
    <s v="Suppressed"/>
    <s v=""/>
    <n v="18"/>
    <n v="1100"/>
    <x v="0"/>
    <n v="41"/>
    <x v="1"/>
    <n v="-33.685723000000003"/>
    <n v="151.22261900000001"/>
  </r>
  <r>
    <s v="3191"/>
    <s v="Terrigal Public School"/>
    <s v="Terrigal"/>
    <s v="Central Coast (NSW)"/>
    <s v="Central Coast"/>
    <x v="0"/>
    <x v="0"/>
    <s v="Regional North"/>
    <x v="0"/>
    <x v="0"/>
    <s v="Coed"/>
    <n v="888"/>
    <n v="4"/>
    <s v="Published"/>
    <n v="35.520000000000003"/>
    <n v="14"/>
    <n v="1078"/>
    <x v="3"/>
    <n v="48"/>
    <x v="3"/>
    <n v="-33.442449000000003"/>
    <n v="151.438197"/>
  </r>
  <r>
    <s v="3195"/>
    <s v="Tharbogang Public School"/>
    <s v="Tharbogang"/>
    <s v="Griffith"/>
    <s v="Riverina"/>
    <x v="2"/>
    <x v="2"/>
    <s v="Rural South and West"/>
    <x v="0"/>
    <x v="0"/>
    <s v="Coed"/>
    <n v="11"/>
    <m/>
    <s v="Suppressed"/>
    <s v=""/>
    <m/>
    <n v="855"/>
    <x v="1"/>
    <n v="150"/>
    <x v="2"/>
    <n v="-34.261620000000001"/>
    <n v="145.98492200000001"/>
  </r>
  <r>
    <s v="3200"/>
    <s v="Thirlmere Public School"/>
    <s v="Thirlmere"/>
    <s v="Wollondilly"/>
    <s v="Sydney - Outer South West"/>
    <x v="1"/>
    <x v="1"/>
    <s v="Regional South and Connected Communities"/>
    <x v="0"/>
    <x v="0"/>
    <s v="Coed"/>
    <n v="401"/>
    <n v="17"/>
    <s v="Published"/>
    <n v="68.17"/>
    <n v="9"/>
    <n v="959"/>
    <x v="2"/>
    <n v="114"/>
    <x v="0"/>
    <n v="-34.204832000000003"/>
    <n v="150.569311"/>
  </r>
  <r>
    <s v="3201"/>
    <s v="Thirroul Public School"/>
    <s v="Thirroul"/>
    <s v="Wollongong"/>
    <s v="Illawarra"/>
    <x v="0"/>
    <x v="0"/>
    <s v="Regional South and Connected Communities"/>
    <x v="0"/>
    <x v="0"/>
    <s v="Coed"/>
    <n v="367"/>
    <n v="2"/>
    <s v="Published"/>
    <n v="7.34"/>
    <n v="14"/>
    <n v="1119"/>
    <x v="0"/>
    <n v="19"/>
    <x v="0"/>
    <n v="-34.31521"/>
    <n v="150.918701"/>
  </r>
  <r>
    <s v="3204"/>
    <s v="Thornton Public School"/>
    <s v="Thornton"/>
    <s v="Maitland"/>
    <s v="Hunter Valley exc Newcastle"/>
    <x v="0"/>
    <x v="0"/>
    <s v="Regional North and West"/>
    <x v="0"/>
    <x v="0"/>
    <s v="Coed"/>
    <n v="826"/>
    <n v="17"/>
    <s v="Published"/>
    <n v="140.42000000000002"/>
    <n v="14"/>
    <n v="974"/>
    <x v="2"/>
    <n v="108"/>
    <x v="3"/>
    <n v="-32.779381000000001"/>
    <n v="151.639454"/>
  </r>
  <r>
    <s v="3208"/>
    <s v="Thurgoona Public School"/>
    <s v="Thurgoona"/>
    <s v="Albury"/>
    <s v="Murray"/>
    <x v="1"/>
    <x v="1"/>
    <s v="Rural South and West"/>
    <x v="0"/>
    <x v="0"/>
    <s v="Coed"/>
    <n v="573"/>
    <n v="11"/>
    <s v="Published"/>
    <n v="63.03"/>
    <n v="14"/>
    <n v="990"/>
    <x v="2"/>
    <n v="91"/>
    <x v="0"/>
    <n v="-36.047283"/>
    <n v="146.98328900000001"/>
  </r>
  <r>
    <s v="3211"/>
    <s v="Tibooburra Outback Public School"/>
    <s v="Tibooburra"/>
    <s v="Unincorporated NSW"/>
    <s v="Far West and Orana"/>
    <x v="4"/>
    <x v="4"/>
    <s v="Rural South and West"/>
    <x v="0"/>
    <x v="0"/>
    <s v="Coed"/>
    <n v="4"/>
    <m/>
    <s v="Suppressed"/>
    <s v=""/>
    <n v="0"/>
    <m/>
    <x v="4"/>
    <n v="84"/>
    <x v="2"/>
    <n v="-29.432133"/>
    <n v="142.010166"/>
  </r>
  <r>
    <s v="3213"/>
    <s v="Tighes Hill Public School"/>
    <s v="Tighes Hill"/>
    <s v="Newcastle"/>
    <s v="Newcastle and Lake Macquarie"/>
    <x v="0"/>
    <x v="0"/>
    <s v="Regional North"/>
    <x v="0"/>
    <x v="0"/>
    <s v="Coed"/>
    <n v="358"/>
    <n v="6"/>
    <s v="Published"/>
    <n v="21.48"/>
    <n v="17"/>
    <n v="1104"/>
    <x v="0"/>
    <n v="36"/>
    <x v="0"/>
    <n v="-32.908099"/>
    <n v="151.75125399999999"/>
  </r>
  <r>
    <s v="3214"/>
    <s v="Central Tilba Public School"/>
    <s v="Central Tilba"/>
    <s v="Eurobodalla"/>
    <s v="Capital Region"/>
    <x v="2"/>
    <x v="2"/>
    <s v="Regional South and Connected Communities"/>
    <x v="0"/>
    <x v="0"/>
    <s v="Coed"/>
    <n v="55"/>
    <m/>
    <s v="Suppressed"/>
    <s v=""/>
    <m/>
    <n v="1026"/>
    <x v="3"/>
    <n v="71"/>
    <x v="2"/>
    <n v="-36.315663999999998"/>
    <n v="150.07194000000001"/>
  </r>
  <r>
    <s v="3218"/>
    <s v="Tingha Public School"/>
    <s v="Tingha"/>
    <s v="Inverell"/>
    <s v="New England and North West"/>
    <x v="2"/>
    <x v="2"/>
    <s v="Rural North"/>
    <x v="0"/>
    <x v="0"/>
    <s v="Coed"/>
    <n v="28"/>
    <n v="89"/>
    <s v="Published"/>
    <n v="24.92"/>
    <m/>
    <n v="714"/>
    <x v="1"/>
    <n v="181"/>
    <x v="2"/>
    <n v="-29.959144999999999"/>
    <n v="151.213606"/>
  </r>
  <r>
    <s v="3219"/>
    <s v="Tinonee Public School"/>
    <s v="TINONEE"/>
    <s v="Mid-Coast"/>
    <s v="Mid North Coast"/>
    <x v="1"/>
    <x v="1"/>
    <s v="Regional North and West"/>
    <x v="0"/>
    <x v="0"/>
    <s v="Coed"/>
    <n v="158"/>
    <n v="23"/>
    <s v="Published"/>
    <n v="36.340000000000003"/>
    <n v="4"/>
    <n v="948"/>
    <x v="2"/>
    <n v="109"/>
    <x v="1"/>
    <n v="-31.932855"/>
    <n v="152.413577"/>
  </r>
  <r>
    <s v="3221"/>
    <s v="Tintinhull Public School"/>
    <s v="Kootingal"/>
    <s v="Tamworth"/>
    <s v="New England and North West"/>
    <x v="1"/>
    <x v="1"/>
    <s v="Rural North"/>
    <x v="0"/>
    <x v="0"/>
    <s v="Coed"/>
    <n v="113"/>
    <n v="19"/>
    <s v="Published"/>
    <n v="21.47"/>
    <m/>
    <n v="973"/>
    <x v="2"/>
    <n v="99"/>
    <x v="1"/>
    <n v="-31.085664999999999"/>
    <n v="151.00842700000001"/>
  </r>
  <r>
    <s v="3225"/>
    <s v="Tocumwal Public School"/>
    <s v="Tocumwal"/>
    <s v="Berrigan"/>
    <s v="Murray"/>
    <x v="1"/>
    <x v="1"/>
    <s v="Rural South and West"/>
    <x v="0"/>
    <x v="0"/>
    <s v="Coed"/>
    <n v="154"/>
    <n v="5"/>
    <s v="Published"/>
    <n v="7.7"/>
    <n v="5"/>
    <n v="1002"/>
    <x v="3"/>
    <n v="102"/>
    <x v="1"/>
    <n v="-35.813862"/>
    <n v="145.56885"/>
  </r>
  <r>
    <s v="3226"/>
    <s v="Tomerong Public School"/>
    <s v="Tomerong"/>
    <s v="Shoalhaven"/>
    <s v="Southern Highlands and Shoalhaven"/>
    <x v="1"/>
    <x v="1"/>
    <s v="Regional South and Connected Communities"/>
    <x v="0"/>
    <x v="0"/>
    <s v="Coed"/>
    <n v="116"/>
    <n v="15"/>
    <s v="Published"/>
    <n v="17.399999999999999"/>
    <n v="5"/>
    <n v="973"/>
    <x v="2"/>
    <n v="102"/>
    <x v="1"/>
    <n v="-35.054972999999997"/>
    <n v="150.58718200000001"/>
  </r>
  <r>
    <s v="3235"/>
    <s v="Tooleybuc Central School"/>
    <s v="Tooleybuc"/>
    <s v="Murray River"/>
    <s v="Murray"/>
    <x v="2"/>
    <x v="2"/>
    <s v="Rural South and West"/>
    <x v="1"/>
    <x v="0"/>
    <s v="Coed"/>
    <n v="117.9"/>
    <n v="19"/>
    <s v="Published"/>
    <n v="22.401"/>
    <n v="6"/>
    <n v="902"/>
    <x v="2"/>
    <n v="146"/>
    <x v="1"/>
    <n v="-35.026575000000001"/>
    <n v="143.33805799999999"/>
  </r>
  <r>
    <s v="3236"/>
    <s v="Main Arm Upper Public School"/>
    <s v="Upper Main Arm"/>
    <s v="Byron"/>
    <s v="Richmond - Tweed"/>
    <x v="1"/>
    <x v="1"/>
    <s v="Rural North"/>
    <x v="0"/>
    <x v="0"/>
    <s v="Coed"/>
    <n v="88"/>
    <n v="7"/>
    <s v="Published"/>
    <n v="6.16"/>
    <n v="38"/>
    <n v="1016"/>
    <x v="3"/>
    <n v="71"/>
    <x v="2"/>
    <n v="-28.498479"/>
    <n v="153.41240999999999"/>
  </r>
  <r>
    <s v="3239"/>
    <s v="Toomelah Public School"/>
    <s v="Boggabilla"/>
    <s v="Moree Plains"/>
    <s v="New England and North West"/>
    <x v="2"/>
    <x v="2"/>
    <s v="Regional South and Connected Communities"/>
    <x v="0"/>
    <x v="0"/>
    <s v="Coed"/>
    <n v="41"/>
    <n v="100"/>
    <s v="Published"/>
    <n v="41"/>
    <n v="100"/>
    <n v="625"/>
    <x v="1"/>
    <n v="268"/>
    <x v="2"/>
    <n v="-28.670902999999999"/>
    <n v="150.47895199999999"/>
  </r>
  <r>
    <s v="3240"/>
    <s v="Toongabbie Public School"/>
    <s v="Toongabbie"/>
    <s v="Parramatta"/>
    <s v="Sydney - Parramatta"/>
    <x v="0"/>
    <x v="0"/>
    <s v="Metropolitan South"/>
    <x v="0"/>
    <x v="0"/>
    <s v="Coed"/>
    <n v="381"/>
    <n v="3"/>
    <s v="Published"/>
    <n v="11.43"/>
    <n v="56"/>
    <n v="1063"/>
    <x v="3"/>
    <n v="59"/>
    <x v="0"/>
    <n v="-33.787180999999997"/>
    <n v="150.966667"/>
  </r>
  <r>
    <s v="3242"/>
    <s v="Tooraweenah Public School"/>
    <s v="TOORAWEENAH"/>
    <s v="Gilgandra"/>
    <s v="Far West and Orana"/>
    <x v="2"/>
    <x v="2"/>
    <s v="Rural North"/>
    <x v="0"/>
    <x v="0"/>
    <s v="Coed"/>
    <n v="23"/>
    <m/>
    <s v="Suppressed"/>
    <s v=""/>
    <m/>
    <n v="947"/>
    <x v="2"/>
    <n v="94"/>
    <x v="2"/>
    <n v="-31.434763"/>
    <n v="148.912216"/>
  </r>
  <r>
    <s v="3247"/>
    <s v="Toronto Public School"/>
    <s v="Toronto"/>
    <s v="Lake Macquarie"/>
    <s v="Newcastle and Lake Macquarie"/>
    <x v="0"/>
    <x v="0"/>
    <s v="Regional North"/>
    <x v="0"/>
    <x v="0"/>
    <s v="Coed"/>
    <n v="201"/>
    <n v="31"/>
    <s v="Published"/>
    <n v="62.31"/>
    <n v="10"/>
    <n v="910"/>
    <x v="2"/>
    <n v="126"/>
    <x v="1"/>
    <n v="-33.00826"/>
    <n v="151.59477799999999"/>
  </r>
  <r>
    <s v="3249"/>
    <s v="Tottenham Central School"/>
    <s v="Tottenham"/>
    <s v="Lachlan"/>
    <s v="Central West"/>
    <x v="3"/>
    <x v="3"/>
    <s v="Rural South and West"/>
    <x v="1"/>
    <x v="0"/>
    <s v="Coed"/>
    <n v="71"/>
    <n v="17"/>
    <s v="Published"/>
    <n v="12.07"/>
    <n v="9"/>
    <n v="930"/>
    <x v="2"/>
    <n v="101"/>
    <x v="2"/>
    <n v="-32.245635"/>
    <n v="147.35210000000001"/>
  </r>
  <r>
    <s v="3250"/>
    <s v="Toukley Public School"/>
    <s v="Toukley"/>
    <s v="Central Coast (NSW)"/>
    <s v="Central Coast"/>
    <x v="0"/>
    <x v="0"/>
    <s v="Regional North"/>
    <x v="0"/>
    <x v="0"/>
    <s v="Coed"/>
    <n v="494"/>
    <n v="28"/>
    <s v="Published"/>
    <n v="138.32000000000002"/>
    <n v="8"/>
    <n v="889"/>
    <x v="1"/>
    <n v="145"/>
    <x v="0"/>
    <n v="-33.267795"/>
    <n v="151.550307"/>
  </r>
  <r>
    <s v="3252"/>
    <s v="Towamba Public School"/>
    <s v="Towamba"/>
    <s v="Bega Valley"/>
    <s v="Capital Region"/>
    <x v="2"/>
    <x v="2"/>
    <s v="Rural South and West"/>
    <x v="0"/>
    <x v="0"/>
    <s v="Coed"/>
    <n v="23"/>
    <m/>
    <s v="Suppressed"/>
    <s v=""/>
    <m/>
    <n v="958"/>
    <x v="2"/>
    <n v="142"/>
    <x v="2"/>
    <n v="-37.084209000000001"/>
    <n v="149.69515799999999"/>
  </r>
  <r>
    <s v="3254"/>
    <s v="Trangie Central School"/>
    <s v="Trangie"/>
    <s v="Narromine"/>
    <s v="Far West and Orana"/>
    <x v="2"/>
    <x v="2"/>
    <s v="Regional North and West"/>
    <x v="1"/>
    <x v="0"/>
    <s v="Coed"/>
    <n v="166.4"/>
    <n v="49"/>
    <s v="Published"/>
    <n v="81.536000000000001"/>
    <n v="5"/>
    <n v="852"/>
    <x v="1"/>
    <n v="139"/>
    <x v="1"/>
    <n v="-32.032544000000001"/>
    <n v="147.97930500000001"/>
  </r>
  <r>
    <s v="3255"/>
    <s v="Tregeagle Public School"/>
    <s v="TREGEAGLE"/>
    <s v="Lismore"/>
    <s v="Richmond - Tweed"/>
    <x v="1"/>
    <x v="1"/>
    <s v="Rural North"/>
    <x v="0"/>
    <x v="0"/>
    <s v="Coed"/>
    <n v="103"/>
    <n v="16"/>
    <s v="Published"/>
    <n v="16.48"/>
    <n v="9"/>
    <n v="993"/>
    <x v="2"/>
    <n v="84"/>
    <x v="1"/>
    <n v="-28.854095000000001"/>
    <n v="153.354412"/>
  </r>
  <r>
    <s v="3259"/>
    <s v="Trundle Central School"/>
    <s v="Trundle"/>
    <s v="Parkes"/>
    <s v="Central West"/>
    <x v="2"/>
    <x v="2"/>
    <s v="Rural South and West"/>
    <x v="1"/>
    <x v="0"/>
    <s v="Coed"/>
    <n v="98"/>
    <n v="26"/>
    <s v="Published"/>
    <n v="25.48"/>
    <n v="7"/>
    <n v="919"/>
    <x v="2"/>
    <n v="127"/>
    <x v="2"/>
    <n v="-32.925364999999999"/>
    <n v="147.70919799999999"/>
  </r>
  <r>
    <s v="3260"/>
    <s v="Trunkey Public School"/>
    <s v="Trunkey Creek"/>
    <s v="Bathurst"/>
    <s v="Central West"/>
    <x v="2"/>
    <x v="2"/>
    <s v="Regional North and West"/>
    <x v="0"/>
    <x v="0"/>
    <s v="Coed"/>
    <n v="14"/>
    <n v="0"/>
    <s v="Published"/>
    <n v="0"/>
    <m/>
    <n v="980"/>
    <x v="2"/>
    <n v="122"/>
    <x v="2"/>
    <n v="-33.816498000000003"/>
    <n v="149.32625300000001"/>
  </r>
  <r>
    <s v="3263"/>
    <s v="Tucabia Public School"/>
    <s v="Tucabia"/>
    <s v="Clarence Valley"/>
    <s v="Coffs Harbour - Grafton"/>
    <x v="1"/>
    <x v="1"/>
    <s v="Rural North"/>
    <x v="0"/>
    <x v="0"/>
    <s v="Coed"/>
    <n v="32"/>
    <n v="44"/>
    <s v="Published"/>
    <n v="14.08"/>
    <m/>
    <n v="869"/>
    <x v="1"/>
    <n v="125"/>
    <x v="2"/>
    <n v="-29.666698"/>
    <n v="153.10657499999999"/>
  </r>
  <r>
    <s v="3269"/>
    <s v="Tuggerah Public School"/>
    <s v="Tuggerah"/>
    <s v="Central Coast (NSW)"/>
    <s v="Central Coast"/>
    <x v="0"/>
    <x v="0"/>
    <s v="Regional North"/>
    <x v="0"/>
    <x v="0"/>
    <s v="Coed"/>
    <n v="359"/>
    <n v="13"/>
    <s v="Published"/>
    <n v="46.67"/>
    <n v="21"/>
    <n v="993"/>
    <x v="2"/>
    <n v="96"/>
    <x v="0"/>
    <n v="-33.312998999999998"/>
    <n v="151.415571"/>
  </r>
  <r>
    <s v="3270"/>
    <s v="Tullamore Central School"/>
    <s v="TULLAMORE"/>
    <s v="Parkes"/>
    <s v="Central West"/>
    <x v="2"/>
    <x v="2"/>
    <s v="Rural South and West"/>
    <x v="1"/>
    <x v="0"/>
    <s v="Coed"/>
    <n v="54"/>
    <n v="33"/>
    <s v="Published"/>
    <n v="17.82"/>
    <m/>
    <n v="915"/>
    <x v="2"/>
    <n v="106"/>
    <x v="2"/>
    <n v="-32.636788000000003"/>
    <n v="147.56599299999999"/>
  </r>
  <r>
    <s v="3272"/>
    <s v="Tullibigeal Central School"/>
    <s v="Tullibigeal"/>
    <s v="Lachlan"/>
    <s v="Central West"/>
    <x v="3"/>
    <x v="3"/>
    <s v="Rural South and West"/>
    <x v="1"/>
    <x v="0"/>
    <s v="Coed"/>
    <n v="33"/>
    <m/>
    <s v="Suppressed"/>
    <s v=""/>
    <n v="0"/>
    <n v="958"/>
    <x v="2"/>
    <n v="120"/>
    <x v="2"/>
    <n v="-33.422885999999998"/>
    <n v="146.722678"/>
  </r>
  <r>
    <s v="3275"/>
    <s v="Tumbarumba Public School"/>
    <s v="Tumbarumba"/>
    <s v="Snowy Valleys"/>
    <s v="Riverina"/>
    <x v="2"/>
    <x v="2"/>
    <s v="Rural South and West"/>
    <x v="0"/>
    <x v="0"/>
    <s v="Coed"/>
    <n v="184"/>
    <n v="21"/>
    <s v="Published"/>
    <n v="38.64"/>
    <n v="3"/>
    <n v="931"/>
    <x v="2"/>
    <n v="104"/>
    <x v="1"/>
    <n v="-35.776350000000001"/>
    <n v="148.013814"/>
  </r>
  <r>
    <s v="3277"/>
    <s v="Tumbulgum Public School"/>
    <s v="Tumbulgum"/>
    <s v="Tweed"/>
    <s v="Richmond - Tweed"/>
    <x v="0"/>
    <x v="0"/>
    <s v="Rural North"/>
    <x v="0"/>
    <x v="0"/>
    <s v="Coed"/>
    <n v="19"/>
    <m/>
    <s v="Suppressed"/>
    <s v=""/>
    <m/>
    <n v="941"/>
    <x v="2"/>
    <n v="149"/>
    <x v="2"/>
    <n v="-28.273997000000001"/>
    <n v="153.463358"/>
  </r>
  <r>
    <s v="3278"/>
    <s v="Tumut Public School"/>
    <s v="Tumut"/>
    <s v="Snowy Valleys"/>
    <s v="Riverina"/>
    <x v="1"/>
    <x v="1"/>
    <s v="Rural South and West"/>
    <x v="0"/>
    <x v="0"/>
    <s v="Coed"/>
    <n v="288"/>
    <n v="11"/>
    <s v="Published"/>
    <n v="31.68"/>
    <n v="13"/>
    <n v="976"/>
    <x v="2"/>
    <n v="99"/>
    <x v="1"/>
    <n v="-35.302393000000002"/>
    <n v="148.21855600000001"/>
  </r>
  <r>
    <s v="3288"/>
    <s v="Turramurra North Public School"/>
    <s v="North Turramurra"/>
    <s v="Ku-ring-gai"/>
    <s v="Sydney - North Sydney and Hornsby"/>
    <x v="0"/>
    <x v="0"/>
    <s v="Metropolitan North"/>
    <x v="0"/>
    <x v="0"/>
    <s v="Coed"/>
    <n v="196"/>
    <n v="0"/>
    <s v="Published"/>
    <n v="0"/>
    <n v="24"/>
    <n v="1170"/>
    <x v="0"/>
    <n v="2"/>
    <x v="1"/>
    <n v="-33.714723999999997"/>
    <n v="151.14781600000001"/>
  </r>
  <r>
    <s v="3290"/>
    <s v="Tweed Heads Public School"/>
    <s v="Tweed Heads"/>
    <s v="Tweed"/>
    <s v="Richmond - Tweed"/>
    <x v="0"/>
    <x v="0"/>
    <s v="Rural North"/>
    <x v="0"/>
    <x v="0"/>
    <s v="Coed"/>
    <n v="394"/>
    <n v="14"/>
    <s v="Published"/>
    <n v="55.160000000000004"/>
    <n v="21"/>
    <n v="984"/>
    <x v="2"/>
    <n v="97"/>
    <x v="0"/>
    <n v="-28.169509999999999"/>
    <n v="153.541571"/>
  </r>
  <r>
    <s v="3293"/>
    <s v="Tyalgum Public School"/>
    <s v="Tyalgum"/>
    <s v="Tweed"/>
    <s v="Richmond - Tweed"/>
    <x v="1"/>
    <x v="1"/>
    <s v="Rural North"/>
    <x v="0"/>
    <x v="0"/>
    <s v="Coed"/>
    <n v="13"/>
    <n v="0"/>
    <s v="Published"/>
    <n v="0"/>
    <n v="0"/>
    <n v="978"/>
    <x v="2"/>
    <n v="140"/>
    <x v="2"/>
    <n v="-28.354475000000001"/>
    <n v="153.20497800000001"/>
  </r>
  <r>
    <s v="3298"/>
    <s v="Uki Public School"/>
    <s v="UKI"/>
    <s v="Tweed"/>
    <s v="Richmond - Tweed"/>
    <x v="1"/>
    <x v="1"/>
    <s v="Rural North"/>
    <x v="0"/>
    <x v="0"/>
    <s v="Coed"/>
    <n v="86"/>
    <n v="9"/>
    <s v="Published"/>
    <n v="7.7399999999999993"/>
    <n v="10"/>
    <n v="977"/>
    <x v="2"/>
    <n v="128"/>
    <x v="2"/>
    <n v="-28.415026999999998"/>
    <n v="153.33426299999999"/>
  </r>
  <r>
    <s v="3302"/>
    <s v="Ulladulla Public School"/>
    <s v="Ulladulla"/>
    <s v="Shoalhaven"/>
    <s v="Southern Highlands and Shoalhaven"/>
    <x v="1"/>
    <x v="1"/>
    <s v="Regional South and Connected Communities"/>
    <x v="0"/>
    <x v="0"/>
    <s v="Coed"/>
    <n v="689"/>
    <n v="12"/>
    <s v="Published"/>
    <n v="82.679999999999993"/>
    <n v="8"/>
    <n v="978"/>
    <x v="2"/>
    <n v="99"/>
    <x v="3"/>
    <n v="-35.355186000000003"/>
    <n v="150.46943400000001"/>
  </r>
  <r>
    <s v="3303"/>
    <s v="Ulmarra Public School"/>
    <s v="Ulmarra"/>
    <s v="Clarence Valley"/>
    <s v="Coffs Harbour - Grafton"/>
    <x v="1"/>
    <x v="1"/>
    <s v="Rural North"/>
    <x v="0"/>
    <x v="0"/>
    <s v="Coed"/>
    <n v="72"/>
    <n v="8"/>
    <s v="Published"/>
    <n v="5.76"/>
    <m/>
    <n v="971"/>
    <x v="2"/>
    <n v="106"/>
    <x v="2"/>
    <n v="-29.629006"/>
    <n v="153.03093200000001"/>
  </r>
  <r>
    <s v="3304"/>
    <s v="Ulong Public School"/>
    <s v="Ulong"/>
    <s v="Coffs Harbour"/>
    <s v="Coffs Harbour - Grafton"/>
    <x v="1"/>
    <x v="1"/>
    <s v="Regional North and West"/>
    <x v="0"/>
    <x v="0"/>
    <s v="Coed"/>
    <n v="32"/>
    <m/>
    <s v="Suppressed"/>
    <s v=""/>
    <m/>
    <n v="903"/>
    <x v="2"/>
    <n v="143"/>
    <x v="2"/>
    <n v="-30.243019"/>
    <n v="152.88485700000001"/>
  </r>
  <r>
    <s v="3305"/>
    <s v="Ultimo Public School"/>
    <s v="Ultimo"/>
    <s v="Sydney"/>
    <s v="Sydney - City and Inner South"/>
    <x v="0"/>
    <x v="0"/>
    <s v="Metropolitan South"/>
    <x v="0"/>
    <x v="0"/>
    <s v="Coed"/>
    <n v="483"/>
    <n v="3"/>
    <s v="Published"/>
    <n v="14.49"/>
    <n v="71"/>
    <n v="1088"/>
    <x v="3"/>
    <n v="27"/>
    <x v="0"/>
    <n v="-33.877673999999999"/>
    <n v="151.195607"/>
  </r>
  <r>
    <s v="3308"/>
    <s v="Unanderra Public School"/>
    <s v="Cordeaux Heights"/>
    <s v="Wollongong"/>
    <s v="Illawarra"/>
    <x v="0"/>
    <x v="0"/>
    <s v="Regional South and Connected Communities"/>
    <x v="0"/>
    <x v="0"/>
    <s v="Coed"/>
    <n v="348"/>
    <n v="11"/>
    <s v="Published"/>
    <n v="38.28"/>
    <n v="22"/>
    <n v="992"/>
    <x v="2"/>
    <n v="95"/>
    <x v="0"/>
    <n v="-34.445456"/>
    <n v="150.83470399999999"/>
  </r>
  <r>
    <s v="3310"/>
    <s v="Undercliffe Public School"/>
    <s v="Earlwood"/>
    <s v="Canterbury-Bankstown"/>
    <s v="Sydney - Inner South West"/>
    <x v="0"/>
    <x v="0"/>
    <s v="Metropolitan South"/>
    <x v="0"/>
    <x v="0"/>
    <s v="Coed"/>
    <n v="152"/>
    <n v="0"/>
    <s v="Published"/>
    <n v="0"/>
    <n v="56"/>
    <n v="1092"/>
    <x v="3"/>
    <n v="38"/>
    <x v="1"/>
    <n v="-33.924086000000003"/>
    <n v="151.13860099999999"/>
  </r>
  <r>
    <s v="3311"/>
    <s v="Ungarie Central School"/>
    <s v="UNGARIE"/>
    <s v="Bland"/>
    <s v="Central West"/>
    <x v="2"/>
    <x v="2"/>
    <s v="Rural South and West"/>
    <x v="1"/>
    <x v="0"/>
    <s v="Coed"/>
    <n v="88"/>
    <n v="16"/>
    <s v="Published"/>
    <n v="14.08"/>
    <m/>
    <n v="915"/>
    <x v="2"/>
    <n v="141"/>
    <x v="2"/>
    <n v="-33.637104000000001"/>
    <n v="146.97795300000001"/>
  </r>
  <r>
    <s v="3314"/>
    <s v="Urana Public School"/>
    <s v="Urana"/>
    <s v="Federation"/>
    <s v="Murray"/>
    <x v="2"/>
    <x v="2"/>
    <s v="Rural South and West"/>
    <x v="0"/>
    <x v="0"/>
    <s v="Coed"/>
    <n v="9"/>
    <m/>
    <s v="Suppressed"/>
    <s v=""/>
    <m/>
    <n v="816"/>
    <x v="1"/>
    <n v="136"/>
    <x v="2"/>
    <n v="-35.327460000000002"/>
    <n v="146.26712900000001"/>
  </r>
  <r>
    <s v="3316"/>
    <s v="Urbenville Public School"/>
    <s v="Urbenville"/>
    <s v="Tenterfield"/>
    <s v="New England and North West"/>
    <x v="2"/>
    <x v="2"/>
    <s v="Rural North"/>
    <x v="0"/>
    <x v="0"/>
    <s v="Coed"/>
    <n v="8"/>
    <m/>
    <s v="Suppressed"/>
    <s v=""/>
    <m/>
    <n v="959"/>
    <x v="2"/>
    <n v="171"/>
    <x v="2"/>
    <n v="-28.473479999999999"/>
    <n v="152.54556500000001"/>
  </r>
  <r>
    <s v="3318"/>
    <s v="Urunga Public School"/>
    <s v="Urunga"/>
    <s v="Bellingen"/>
    <s v="Coffs Harbour - Grafton"/>
    <x v="1"/>
    <x v="1"/>
    <s v="Regional North and West"/>
    <x v="0"/>
    <x v="0"/>
    <s v="Coed"/>
    <n v="179"/>
    <n v="20"/>
    <s v="Published"/>
    <n v="35.800000000000004"/>
    <n v="8"/>
    <n v="974"/>
    <x v="2"/>
    <n v="89"/>
    <x v="1"/>
    <n v="-30.495206"/>
    <n v="153.02042800000001"/>
  </r>
  <r>
    <s v="3321"/>
    <s v="Vacy Public School"/>
    <s v="Vacy"/>
    <s v="Dungog"/>
    <s v="Hunter Valley exc Newcastle"/>
    <x v="1"/>
    <x v="1"/>
    <s v="Regional North and West"/>
    <x v="0"/>
    <x v="0"/>
    <s v="Coed"/>
    <n v="106"/>
    <n v="25"/>
    <s v="Published"/>
    <n v="26.5"/>
    <n v="0"/>
    <n v="946"/>
    <x v="2"/>
    <n v="107"/>
    <x v="1"/>
    <n v="-32.542180000000002"/>
    <n v="151.57755499999999"/>
  </r>
  <r>
    <s v="3325"/>
    <s v="Vaucluse Public School"/>
    <s v="Vaucluse"/>
    <s v="Woollahra"/>
    <s v="Sydney - Eastern Suburbs"/>
    <x v="0"/>
    <x v="0"/>
    <s v="Metropolitan South"/>
    <x v="0"/>
    <x v="0"/>
    <s v="Coed"/>
    <n v="217"/>
    <m/>
    <s v="Suppressed"/>
    <s v=""/>
    <n v="39"/>
    <n v="1145"/>
    <x v="0"/>
    <n v="9"/>
    <x v="1"/>
    <n v="-33.850478000000003"/>
    <n v="151.28116600000001"/>
  </r>
  <r>
    <s v="3328"/>
    <s v="Carramar Public School"/>
    <s v="Carramar"/>
    <s v="Fairfield"/>
    <s v="Sydney - Parramatta"/>
    <x v="0"/>
    <x v="0"/>
    <s v="Metropolitan South"/>
    <x v="0"/>
    <x v="0"/>
    <s v="Coed"/>
    <n v="227"/>
    <n v="5"/>
    <s v="Published"/>
    <n v="11.350000000000001"/>
    <n v="86"/>
    <n v="931"/>
    <x v="2"/>
    <n v="145"/>
    <x v="1"/>
    <n v="-33.885511999999999"/>
    <n v="150.96920399999999"/>
  </r>
  <r>
    <s v="3329"/>
    <s v="Vineyard Public School"/>
    <s v="Vineyard"/>
    <s v="Blacktown"/>
    <s v="Sydney - Blacktown"/>
    <x v="0"/>
    <x v="0"/>
    <s v="Metropolitan North"/>
    <x v="0"/>
    <x v="0"/>
    <s v="Coed"/>
    <n v="97"/>
    <n v="13"/>
    <s v="Published"/>
    <n v="12.610000000000001"/>
    <n v="27"/>
    <n v="955"/>
    <x v="2"/>
    <n v="136"/>
    <x v="2"/>
    <n v="-33.647351999999998"/>
    <n v="150.857935"/>
  </r>
  <r>
    <s v="3330"/>
    <s v="Wagga Wagga Public School"/>
    <s v="Wagga Wagga"/>
    <s v="Wagga Wagga"/>
    <s v="Riverina"/>
    <x v="1"/>
    <x v="1"/>
    <s v="Rural South and West"/>
    <x v="0"/>
    <x v="0"/>
    <s v="Coed"/>
    <n v="440"/>
    <n v="15"/>
    <s v="Published"/>
    <n v="66"/>
    <n v="20"/>
    <n v="1008"/>
    <x v="3"/>
    <n v="82"/>
    <x v="0"/>
    <n v="-35.10783"/>
    <n v="147.36584099999999"/>
  </r>
  <r>
    <s v="3332"/>
    <s v="North Wagga Public School"/>
    <s v="Wagga Wagga"/>
    <s v="Wagga Wagga"/>
    <s v="Riverina"/>
    <x v="1"/>
    <x v="1"/>
    <s v="Rural South and West"/>
    <x v="0"/>
    <x v="0"/>
    <s v="Coed"/>
    <n v="181"/>
    <n v="7"/>
    <s v="Published"/>
    <n v="12.670000000000002"/>
    <m/>
    <n v="999"/>
    <x v="2"/>
    <n v="93"/>
    <x v="1"/>
    <n v="-35.096215000000001"/>
    <n v="147.379513"/>
  </r>
  <r>
    <s v="3333"/>
    <s v="South Wagga Public School"/>
    <s v="WAGGA WAGGA"/>
    <s v="Wagga Wagga"/>
    <s v="Riverina"/>
    <x v="1"/>
    <x v="1"/>
    <s v="Rural South and West"/>
    <x v="0"/>
    <x v="0"/>
    <s v="Coed"/>
    <n v="266"/>
    <n v="8"/>
    <s v="Published"/>
    <n v="21.28"/>
    <n v="28"/>
    <n v="1027"/>
    <x v="3"/>
    <n v="77"/>
    <x v="1"/>
    <n v="-35.119290999999997"/>
    <n v="147.36680999999999"/>
  </r>
  <r>
    <s v="3334"/>
    <s v="Waitara Public School"/>
    <s v="WAHROONGA"/>
    <s v="Hornsby"/>
    <s v="Sydney - North Sydney and Hornsby"/>
    <x v="0"/>
    <x v="0"/>
    <s v="Metropolitan North"/>
    <x v="0"/>
    <x v="0"/>
    <s v="Coed"/>
    <n v="972"/>
    <n v="0"/>
    <s v="Published"/>
    <n v="0"/>
    <n v="91"/>
    <n v="1148"/>
    <x v="0"/>
    <n v="4"/>
    <x v="3"/>
    <n v="-33.708119000000003"/>
    <n v="151.11158599999999"/>
  </r>
  <r>
    <s v="3336"/>
    <s v="Wakool Burraboi Public School"/>
    <s v="Wakool"/>
    <s v="Murray River"/>
    <s v="Murray"/>
    <x v="2"/>
    <x v="2"/>
    <s v="Rural South and West"/>
    <x v="0"/>
    <x v="0"/>
    <s v="Coed"/>
    <n v="15"/>
    <m/>
    <s v="Suppressed"/>
    <s v=""/>
    <n v="0"/>
    <n v="849"/>
    <x v="1"/>
    <n v="141"/>
    <x v="2"/>
    <n v="-35.466320000000003"/>
    <n v="144.39312699999999"/>
  </r>
  <r>
    <s v="3338"/>
    <s v="Walbundrie Public School"/>
    <s v="WALBUNDRIE"/>
    <s v="Greater Hume"/>
    <s v="Murray"/>
    <x v="2"/>
    <x v="2"/>
    <s v="Rural South and West"/>
    <x v="0"/>
    <x v="0"/>
    <s v="Coed"/>
    <n v="19"/>
    <n v="0"/>
    <s v="Published"/>
    <n v="0"/>
    <n v="0"/>
    <n v="973"/>
    <x v="2"/>
    <n v="115"/>
    <x v="2"/>
    <n v="-35.687427"/>
    <n v="146.72677899999999"/>
  </r>
  <r>
    <s v="3340"/>
    <s v="Walcha Central School"/>
    <s v="Walcha"/>
    <s v="Walcha"/>
    <s v="New England and North West"/>
    <x v="2"/>
    <x v="2"/>
    <s v="Rural North"/>
    <x v="1"/>
    <x v="0"/>
    <s v="Coed"/>
    <n v="229.8"/>
    <n v="27"/>
    <s v="Published"/>
    <n v="62.046000000000006"/>
    <n v="26"/>
    <n v="906"/>
    <x v="2"/>
    <n v="120"/>
    <x v="1"/>
    <n v="-30.981805000000001"/>
    <n v="151.60419400000001"/>
  </r>
  <r>
    <s v="3342"/>
    <s v="Walgett Community College - Primary School"/>
    <s v="Walgett"/>
    <s v="Walgett"/>
    <s v="Far West and Orana"/>
    <x v="3"/>
    <x v="3"/>
    <s v="Regional South and Connected Communities"/>
    <x v="0"/>
    <x v="0"/>
    <s v="Coed"/>
    <n v="97"/>
    <n v="98"/>
    <s v="Published"/>
    <n v="95.06"/>
    <n v="94"/>
    <n v="672"/>
    <x v="1"/>
    <n v="200"/>
    <x v="2"/>
    <n v="-30.020291"/>
    <n v="148.11565999999999"/>
  </r>
  <r>
    <s v="3343"/>
    <s v="Walhallow Public School"/>
    <s v="CAROONA"/>
    <s v="Liverpool Plains"/>
    <s v="New England and North West"/>
    <x v="2"/>
    <x v="2"/>
    <s v="Rural North"/>
    <x v="0"/>
    <x v="0"/>
    <s v="Coed"/>
    <n v="10"/>
    <n v="100"/>
    <s v="Published"/>
    <n v="10"/>
    <n v="0"/>
    <n v="692"/>
    <x v="1"/>
    <n v="170"/>
    <x v="2"/>
    <n v="-31.39507"/>
    <n v="150.42622600000001"/>
  </r>
  <r>
    <s v="3345"/>
    <s v="Wallabadah Public School"/>
    <s v="Wallabadah"/>
    <s v="Liverpool Plains"/>
    <s v="New England and North West"/>
    <x v="2"/>
    <x v="2"/>
    <s v="Rural North"/>
    <x v="0"/>
    <x v="0"/>
    <s v="Coed"/>
    <n v="37"/>
    <n v="24"/>
    <s v="Published"/>
    <n v="8.879999999999999"/>
    <m/>
    <n v="941"/>
    <x v="2"/>
    <n v="98"/>
    <x v="2"/>
    <n v="-31.541043999999999"/>
    <n v="150.82825600000001"/>
  </r>
  <r>
    <s v="3346"/>
    <s v="Wallacia Public School"/>
    <s v="Wallacia"/>
    <s v="Penrith"/>
    <s v="Sydney - Outer West and Blue Mountains"/>
    <x v="1"/>
    <x v="1"/>
    <s v="Regional South and Connected Communities"/>
    <x v="0"/>
    <x v="0"/>
    <s v="Coed"/>
    <n v="53"/>
    <n v="11"/>
    <s v="Published"/>
    <n v="5.83"/>
    <n v="21"/>
    <n v="959"/>
    <x v="2"/>
    <n v="114"/>
    <x v="2"/>
    <n v="-33.862695000000002"/>
    <n v="150.64161300000001"/>
  </r>
  <r>
    <s v="3352"/>
    <s v="Walla Walla Public School"/>
    <s v="Walla Walla"/>
    <s v="Greater Hume"/>
    <s v="Murray"/>
    <x v="1"/>
    <x v="1"/>
    <s v="Rural South and West"/>
    <x v="0"/>
    <x v="0"/>
    <s v="Coed"/>
    <n v="40"/>
    <n v="15"/>
    <s v="Published"/>
    <n v="6"/>
    <m/>
    <n v="963"/>
    <x v="2"/>
    <n v="124"/>
    <x v="2"/>
    <n v="-35.757961000000002"/>
    <n v="146.90062499999999"/>
  </r>
  <r>
    <s v="3354"/>
    <s v="Wallerawang Public School"/>
    <s v="Wallerawang"/>
    <s v="Lithgow"/>
    <s v="Central West"/>
    <x v="1"/>
    <x v="1"/>
    <s v="Regional North and West"/>
    <x v="0"/>
    <x v="0"/>
    <s v="Coed"/>
    <n v="186"/>
    <n v="27"/>
    <s v="Published"/>
    <n v="50.220000000000006"/>
    <n v="4"/>
    <n v="909"/>
    <x v="2"/>
    <n v="132"/>
    <x v="1"/>
    <n v="-33.417679999999997"/>
    <n v="150.069793"/>
  </r>
  <r>
    <s v="3357"/>
    <s v="Wallsend Public School"/>
    <s v="WALLSEND"/>
    <s v="Newcastle"/>
    <s v="Newcastle and Lake Macquarie"/>
    <x v="0"/>
    <x v="0"/>
    <s v="Regional North"/>
    <x v="0"/>
    <x v="0"/>
    <s v="Coed"/>
    <n v="252"/>
    <n v="18"/>
    <s v="Published"/>
    <n v="45.36"/>
    <n v="26"/>
    <n v="965"/>
    <x v="2"/>
    <n v="102"/>
    <x v="1"/>
    <n v="-32.908099"/>
    <n v="151.671582"/>
  </r>
  <r>
    <s v="3358"/>
    <s v="West Wallsend Public School"/>
    <s v="West Wallsend"/>
    <s v="Lake Macquarie"/>
    <s v="Newcastle and Lake Macquarie"/>
    <x v="0"/>
    <x v="0"/>
    <s v="Regional North"/>
    <x v="0"/>
    <x v="0"/>
    <s v="Coed"/>
    <n v="268"/>
    <n v="20"/>
    <s v="Published"/>
    <n v="53.6"/>
    <n v="4"/>
    <n v="950"/>
    <x v="2"/>
    <n v="108"/>
    <x v="1"/>
    <n v="-32.904606000000001"/>
    <n v="151.58070699999999"/>
  </r>
  <r>
    <s v="3364"/>
    <s v="Wamoon Public School"/>
    <s v="Wamoon"/>
    <s v="Leeton"/>
    <s v="Riverina"/>
    <x v="2"/>
    <x v="2"/>
    <s v="Rural South and West"/>
    <x v="0"/>
    <x v="0"/>
    <s v="Coed"/>
    <n v="16"/>
    <n v="44"/>
    <s v="Published"/>
    <n v="7.04"/>
    <n v="0"/>
    <n v="826"/>
    <x v="1"/>
    <n v="175"/>
    <x v="2"/>
    <n v="-34.526015000000001"/>
    <n v="146.33087599999999"/>
  </r>
  <r>
    <s v="3365"/>
    <s v="Wanaaring Public School"/>
    <s v="Wanaaring"/>
    <s v="Bourke"/>
    <s v="Far West and Orana"/>
    <x v="4"/>
    <x v="4"/>
    <s v="Rural South and West"/>
    <x v="0"/>
    <x v="0"/>
    <s v="Coed"/>
    <n v="7"/>
    <m/>
    <s v="Suppressed"/>
    <s v=""/>
    <n v="0"/>
    <n v="851"/>
    <x v="1"/>
    <n v="118"/>
    <x v="2"/>
    <n v="-29.705266999999999"/>
    <n v="144.145456"/>
  </r>
  <r>
    <s v="3373"/>
    <s v="Wangi Wangi Public School"/>
    <s v="Wangi Wangi"/>
    <s v="Lake Macquarie"/>
    <s v="Newcastle and Lake Macquarie"/>
    <x v="0"/>
    <x v="0"/>
    <s v="Regional North"/>
    <x v="0"/>
    <x v="0"/>
    <s v="Coed"/>
    <n v="181"/>
    <n v="17"/>
    <s v="Published"/>
    <n v="30.770000000000003"/>
    <n v="15"/>
    <n v="987"/>
    <x v="2"/>
    <n v="102"/>
    <x v="1"/>
    <n v="-33.072298000000004"/>
    <n v="151.58299400000001"/>
  </r>
  <r>
    <s v="3377"/>
    <s v="Waratah Public School"/>
    <s v="WARATAH"/>
    <s v="Newcastle"/>
    <s v="Newcastle and Lake Macquarie"/>
    <x v="0"/>
    <x v="0"/>
    <s v="Regional North"/>
    <x v="0"/>
    <x v="0"/>
    <s v="Coed"/>
    <n v="351"/>
    <n v="13"/>
    <s v="Published"/>
    <n v="45.63"/>
    <n v="20"/>
    <n v="1019"/>
    <x v="3"/>
    <n v="77"/>
    <x v="0"/>
    <n v="-32.905045999999999"/>
    <n v="151.722576"/>
  </r>
  <r>
    <s v="3378"/>
    <s v="Wardell Public School"/>
    <s v="Wardell"/>
    <s v="Ballina"/>
    <s v="Richmond - Tweed"/>
    <x v="1"/>
    <x v="1"/>
    <s v="Rural North"/>
    <x v="0"/>
    <x v="0"/>
    <s v="Coed"/>
    <n v="24"/>
    <n v="25"/>
    <s v="Published"/>
    <n v="6"/>
    <m/>
    <n v="952"/>
    <x v="2"/>
    <n v="116"/>
    <x v="2"/>
    <n v="-28.950251999999999"/>
    <n v="153.46877900000001"/>
  </r>
  <r>
    <s v="3382"/>
    <s v="Warialda Public School"/>
    <s v="Warialda"/>
    <s v="Gwydir"/>
    <s v="New England and North West"/>
    <x v="2"/>
    <x v="2"/>
    <s v="Rural North"/>
    <x v="0"/>
    <x v="0"/>
    <s v="Coed"/>
    <n v="192"/>
    <n v="17"/>
    <s v="Published"/>
    <n v="32.64"/>
    <m/>
    <n v="927"/>
    <x v="2"/>
    <n v="116"/>
    <x v="1"/>
    <n v="-29.541830999999998"/>
    <n v="150.57363799999999"/>
  </r>
  <r>
    <s v="3384"/>
    <s v="Warners Bay Public School"/>
    <s v="WARNERS BAY"/>
    <s v="Lake Macquarie"/>
    <s v="Newcastle and Lake Macquarie"/>
    <x v="0"/>
    <x v="0"/>
    <s v="Regional North"/>
    <x v="0"/>
    <x v="0"/>
    <s v="Coed"/>
    <n v="340"/>
    <n v="7"/>
    <s v="Published"/>
    <n v="23.8"/>
    <n v="9"/>
    <n v="1027"/>
    <x v="3"/>
    <n v="76"/>
    <x v="0"/>
    <n v="-32.979970999999999"/>
    <n v="151.64861400000001"/>
  </r>
  <r>
    <s v="3390"/>
    <s v="Warrawee Public School"/>
    <s v="Turramurra"/>
    <s v="Ku-ring-gai"/>
    <s v="Sydney - North Sydney and Hornsby"/>
    <x v="0"/>
    <x v="0"/>
    <s v="Metropolitan North"/>
    <x v="0"/>
    <x v="0"/>
    <s v="Coed"/>
    <n v="622"/>
    <m/>
    <s v="Suppressed"/>
    <s v=""/>
    <n v="55"/>
    <n v="1170"/>
    <x v="0"/>
    <n v="0"/>
    <x v="3"/>
    <n v="-33.729483999999999"/>
    <n v="151.12123600000001"/>
  </r>
  <r>
    <s v="3392"/>
    <s v="Warren Central School"/>
    <s v="WARREN"/>
    <s v="Warren"/>
    <s v="Far West and Orana"/>
    <x v="2"/>
    <x v="2"/>
    <s v="Rural South and West"/>
    <x v="1"/>
    <x v="0"/>
    <s v="Coed"/>
    <n v="228"/>
    <n v="61"/>
    <s v="Published"/>
    <n v="139.07999999999998"/>
    <n v="8"/>
    <n v="783"/>
    <x v="1"/>
    <n v="175"/>
    <x v="1"/>
    <n v="-31.705113999999998"/>
    <n v="147.83650299999999"/>
  </r>
  <r>
    <s v="3396"/>
    <s v="Waterfall Public School"/>
    <s v="Waterfall"/>
    <s v="Sutherland"/>
    <s v="Sydney - Sutherland"/>
    <x v="1"/>
    <x v="1"/>
    <s v="Metropolitan South and West"/>
    <x v="0"/>
    <x v="0"/>
    <s v="Coed"/>
    <n v="17"/>
    <m/>
    <s v="Suppressed"/>
    <s v=""/>
    <n v="33"/>
    <n v="1031"/>
    <x v="3"/>
    <n v="61"/>
    <x v="2"/>
    <n v="-34.137597999999997"/>
    <n v="150.99597700000001"/>
  </r>
  <r>
    <s v="3402"/>
    <s v="Wattle Flat Public School"/>
    <s v="Wattle Flat"/>
    <s v="Bathurst"/>
    <s v="Central West"/>
    <x v="1"/>
    <x v="1"/>
    <s v="Regional North and West"/>
    <x v="0"/>
    <x v="0"/>
    <s v="Coed"/>
    <n v="9"/>
    <n v="0"/>
    <s v="Published"/>
    <n v="0"/>
    <n v="0"/>
    <n v="932"/>
    <x v="2"/>
    <n v="158"/>
    <x v="2"/>
    <n v="-33.141545000000001"/>
    <n v="149.692677"/>
  </r>
  <r>
    <s v="3404"/>
    <s v="Wauchope Public School"/>
    <s v="Wauchope"/>
    <s v="Port Macquarie-Hastings"/>
    <s v="Mid North Coast"/>
    <x v="1"/>
    <x v="1"/>
    <s v="Regional North and West"/>
    <x v="0"/>
    <x v="0"/>
    <s v="Coed"/>
    <n v="624"/>
    <n v="31"/>
    <s v="Published"/>
    <n v="193.44"/>
    <n v="1"/>
    <n v="900"/>
    <x v="2"/>
    <n v="132"/>
    <x v="3"/>
    <n v="-31.455935"/>
    <n v="152.729534"/>
  </r>
  <r>
    <s v="3412"/>
    <s v="Wee Jasper Public School"/>
    <s v="Wee Jasper"/>
    <s v="Yass Valley"/>
    <s v="Capital Region"/>
    <x v="1"/>
    <x v="1"/>
    <s v="Regional South and Connected Communities"/>
    <x v="0"/>
    <x v="0"/>
    <s v="Coed"/>
    <n v="4"/>
    <n v="0"/>
    <s v="Published"/>
    <n v="0"/>
    <n v="0"/>
    <m/>
    <x v="4"/>
    <n v="61"/>
    <x v="2"/>
    <n v="-35.108784999999997"/>
    <n v="148.67379199999999"/>
  </r>
  <r>
    <s v="3415"/>
    <s v="Weethalle Public School"/>
    <s v="Weethalle"/>
    <s v="Bland"/>
    <s v="Central West"/>
    <x v="2"/>
    <x v="2"/>
    <s v="Rural South and West"/>
    <x v="0"/>
    <x v="0"/>
    <s v="Coed"/>
    <n v="9"/>
    <m/>
    <s v="Suppressed"/>
    <s v=""/>
    <n v="0"/>
    <n v="900"/>
    <x v="2"/>
    <n v="119"/>
    <x v="2"/>
    <n v="-33.880023999999999"/>
    <n v="146.61925600000001"/>
  </r>
  <r>
    <s v="3416"/>
    <s v="Wee Waa Public School"/>
    <s v="WEE WAA"/>
    <s v="Narrabri"/>
    <s v="New England and North West"/>
    <x v="2"/>
    <x v="2"/>
    <s v="Rural North"/>
    <x v="0"/>
    <x v="0"/>
    <s v="Coed"/>
    <n v="79"/>
    <n v="70"/>
    <s v="Published"/>
    <n v="55.3"/>
    <m/>
    <n v="720"/>
    <x v="1"/>
    <n v="208"/>
    <x v="2"/>
    <n v="-30.223621000000001"/>
    <n v="149.442587"/>
  </r>
  <r>
    <s v="3420"/>
    <s v="Wellington Public School"/>
    <s v="Wellington"/>
    <s v="Dubbo"/>
    <s v="Far West and Orana"/>
    <x v="2"/>
    <x v="2"/>
    <s v="Regional North and West"/>
    <x v="0"/>
    <x v="0"/>
    <s v="Coed"/>
    <n v="405"/>
    <n v="60"/>
    <s v="Published"/>
    <n v="243"/>
    <n v="5"/>
    <n v="816"/>
    <x v="1"/>
    <n v="156"/>
    <x v="0"/>
    <n v="-32.556882999999999"/>
    <n v="148.94337400000001"/>
  </r>
  <r>
    <s v="3421"/>
    <s v="Wentworth Public School"/>
    <s v="WENTWORTH"/>
    <s v="Wentworth"/>
    <s v="Murray"/>
    <x v="2"/>
    <x v="2"/>
    <s v="Rural South and West"/>
    <x v="0"/>
    <x v="0"/>
    <s v="Coed"/>
    <n v="110"/>
    <n v="37"/>
    <s v="Published"/>
    <n v="40.700000000000003"/>
    <n v="43"/>
    <n v="881"/>
    <x v="1"/>
    <n v="136"/>
    <x v="1"/>
    <n v="-34.103248999999998"/>
    <n v="141.91875099999999"/>
  </r>
  <r>
    <s v="3422"/>
    <s v="Wentworth Falls Public School"/>
    <s v="Wentworth Falls"/>
    <s v="Blue Mountains"/>
    <s v="Sydney - Outer West and Blue Mountains"/>
    <x v="0"/>
    <x v="0"/>
    <s v="Regional North"/>
    <x v="0"/>
    <x v="0"/>
    <s v="Coed"/>
    <n v="370"/>
    <n v="6"/>
    <s v="Published"/>
    <n v="22.2"/>
    <n v="19"/>
    <n v="1074"/>
    <x v="3"/>
    <n v="48"/>
    <x v="0"/>
    <n v="-33.714112"/>
    <n v="150.373525"/>
  </r>
  <r>
    <s v="3423"/>
    <s v="Wentworthville Public School"/>
    <s v="WENTWORTHVILLE"/>
    <s v="Cumberland"/>
    <s v="Sydney - Parramatta"/>
    <x v="0"/>
    <x v="0"/>
    <s v="Metropolitan South"/>
    <x v="0"/>
    <x v="0"/>
    <s v="Coed"/>
    <n v="863"/>
    <m/>
    <s v="Suppressed"/>
    <s v=""/>
    <n v="96"/>
    <n v="1111"/>
    <x v="0"/>
    <n v="18"/>
    <x v="3"/>
    <n v="-33.814003999999997"/>
    <n v="150.968613"/>
  </r>
  <r>
    <s v="3425"/>
    <s v="Werris Creek Public School"/>
    <s v="WERRIS CREEK"/>
    <s v="Liverpool Plains"/>
    <s v="New England and North West"/>
    <x v="1"/>
    <x v="1"/>
    <s v="Rural North"/>
    <x v="0"/>
    <x v="0"/>
    <s v="Coed"/>
    <n v="68"/>
    <n v="44"/>
    <s v="Published"/>
    <n v="29.92"/>
    <m/>
    <n v="836"/>
    <x v="1"/>
    <n v="149"/>
    <x v="2"/>
    <n v="-31.348938"/>
    <n v="150.651466"/>
  </r>
  <r>
    <s v="3428"/>
    <s v="Westdale Public School"/>
    <s v="Westdale"/>
    <s v="Tamworth"/>
    <s v="New England and North West"/>
    <x v="1"/>
    <x v="1"/>
    <s v="Rural North"/>
    <x v="0"/>
    <x v="0"/>
    <s v="Coed"/>
    <n v="370"/>
    <n v="48"/>
    <s v="Published"/>
    <n v="177.6"/>
    <n v="12"/>
    <n v="870"/>
    <x v="1"/>
    <n v="140"/>
    <x v="0"/>
    <n v="-31.093713999999999"/>
    <n v="150.87392700000001"/>
  </r>
  <r>
    <s v="3431"/>
    <s v="Weston Public School"/>
    <s v="WESTON"/>
    <s v="Cessnock"/>
    <s v="Hunter Valley exc Newcastle"/>
    <x v="0"/>
    <x v="0"/>
    <s v="Regional North"/>
    <x v="0"/>
    <x v="0"/>
    <s v="Coed"/>
    <n v="270"/>
    <n v="33"/>
    <s v="Published"/>
    <n v="89.100000000000009"/>
    <n v="2"/>
    <n v="882"/>
    <x v="1"/>
    <n v="155"/>
    <x v="1"/>
    <n v="-32.809043000000003"/>
    <n v="151.46102300000001"/>
  </r>
  <r>
    <s v="3435"/>
    <s v="White Cliffs Public School"/>
    <s v="White Cliffs"/>
    <s v="Central Darling"/>
    <s v="Far West and Orana"/>
    <x v="4"/>
    <x v="4"/>
    <s v="Rural South and West"/>
    <x v="0"/>
    <x v="0"/>
    <s v="Coed"/>
    <n v="17"/>
    <m/>
    <s v="Suppressed"/>
    <s v=""/>
    <m/>
    <n v="873"/>
    <x v="1"/>
    <n v="131"/>
    <x v="2"/>
    <n v="-30.850852"/>
    <n v="143.09027800000001"/>
  </r>
  <r>
    <s v="3438"/>
    <s v="Whitton-Murrami Public School"/>
    <s v="Whitton"/>
    <s v="Leeton"/>
    <s v="Riverina"/>
    <x v="2"/>
    <x v="2"/>
    <s v="Rural South and West"/>
    <x v="0"/>
    <x v="0"/>
    <s v="Coed"/>
    <n v="33"/>
    <n v="52"/>
    <s v="Published"/>
    <n v="17.16"/>
    <n v="0"/>
    <n v="795"/>
    <x v="1"/>
    <n v="190"/>
    <x v="2"/>
    <n v="-34.518934000000002"/>
    <n v="146.18124800000001"/>
  </r>
  <r>
    <s v="3439"/>
    <s v="Wiangaree Public School"/>
    <s v="WIANGAREE"/>
    <s v="Kyogle"/>
    <s v="Richmond - Tweed"/>
    <x v="1"/>
    <x v="1"/>
    <s v="Rural North"/>
    <x v="0"/>
    <x v="0"/>
    <s v="Coed"/>
    <n v="17"/>
    <m/>
    <s v="Suppressed"/>
    <s v=""/>
    <n v="0"/>
    <n v="932"/>
    <x v="2"/>
    <n v="146"/>
    <x v="2"/>
    <n v="-28.511355999999999"/>
    <n v="152.96553499999999"/>
  </r>
  <r>
    <s v="3441"/>
    <s v="Wilberforce Public School"/>
    <s v="Wilberforce"/>
    <s v="Hawkesbury"/>
    <s v="Sydney - Baulkham Hills and Hawkesbury"/>
    <x v="0"/>
    <x v="0"/>
    <s v="Regional North"/>
    <x v="0"/>
    <x v="0"/>
    <s v="Coed"/>
    <n v="326"/>
    <n v="10"/>
    <s v="Published"/>
    <n v="32.6"/>
    <n v="6"/>
    <n v="992"/>
    <x v="2"/>
    <n v="92"/>
    <x v="0"/>
    <n v="-33.558703999999999"/>
    <n v="150.839763"/>
  </r>
  <r>
    <s v="3442"/>
    <s v="Wilcannia Central School"/>
    <s v="Wilcannia"/>
    <s v="Central Darling"/>
    <s v="Far West and Orana"/>
    <x v="4"/>
    <x v="4"/>
    <s v="Regional South and Connected Communities"/>
    <x v="1"/>
    <x v="0"/>
    <s v="Coed"/>
    <n v="65"/>
    <n v="89"/>
    <s v="Published"/>
    <n v="57.85"/>
    <n v="59"/>
    <n v="673"/>
    <x v="1"/>
    <n v="211"/>
    <x v="2"/>
    <n v="-31.558478000000001"/>
    <n v="143.37591"/>
  </r>
  <r>
    <s v="3445"/>
    <s v="Willawarrin Public School"/>
    <s v="Willawarrin"/>
    <s v="Kempsey"/>
    <s v="Mid North Coast"/>
    <x v="2"/>
    <x v="2"/>
    <s v="Regional North and West"/>
    <x v="0"/>
    <x v="0"/>
    <s v="Coed"/>
    <n v="34"/>
    <n v="35"/>
    <s v="Published"/>
    <n v="11.899999999999999"/>
    <m/>
    <n v="838"/>
    <x v="1"/>
    <n v="136"/>
    <x v="2"/>
    <n v="-30.925713999999999"/>
    <n v="152.625518"/>
  </r>
  <r>
    <s v="3449"/>
    <s v="Willoughby Public School"/>
    <s v="WILLOUGHBY"/>
    <s v="Willoughby"/>
    <s v="Sydney - North Sydney and Hornsby"/>
    <x v="0"/>
    <x v="0"/>
    <s v="Metropolitan North"/>
    <x v="0"/>
    <x v="0"/>
    <s v="Coed"/>
    <n v="905"/>
    <n v="1"/>
    <s v="Published"/>
    <n v="9.0500000000000007"/>
    <n v="49"/>
    <n v="1143"/>
    <x v="0"/>
    <n v="8"/>
    <x v="3"/>
    <n v="-33.802197"/>
    <n v="151.20012299999999"/>
  </r>
  <r>
    <s v="3451"/>
    <s v="Willow Tree Public School"/>
    <s v="Willow Tree"/>
    <s v="Liverpool Plains"/>
    <s v="New England and North West"/>
    <x v="2"/>
    <x v="2"/>
    <s v="Rural North"/>
    <x v="0"/>
    <x v="0"/>
    <s v="Coed"/>
    <n v="51"/>
    <m/>
    <s v="Suppressed"/>
    <s v=""/>
    <m/>
    <n v="982"/>
    <x v="2"/>
    <n v="98"/>
    <x v="2"/>
    <n v="-31.656801999999999"/>
    <n v="150.72903400000001"/>
  </r>
  <r>
    <s v="3453"/>
    <s v="Athelstane Public School"/>
    <s v="Arncliffe"/>
    <s v="Bayside (NSW)"/>
    <s v="Sydney - Inner South West"/>
    <x v="0"/>
    <x v="0"/>
    <s v="Metropolitan South"/>
    <x v="0"/>
    <x v="0"/>
    <s v="Coed"/>
    <n v="277"/>
    <m/>
    <s v="Suppressed"/>
    <s v=""/>
    <n v="94"/>
    <n v="1003"/>
    <x v="3"/>
    <n v="98"/>
    <x v="1"/>
    <n v="-33.937444999999997"/>
    <n v="151.138362"/>
  </r>
  <r>
    <s v="3454"/>
    <s v="Wilsons Creek Public School"/>
    <s v="Mullumbimby"/>
    <s v="Byron"/>
    <s v="Richmond - Tweed"/>
    <x v="1"/>
    <x v="1"/>
    <s v="Rural North"/>
    <x v="0"/>
    <x v="0"/>
    <s v="Coed"/>
    <n v="23"/>
    <m/>
    <s v="Suppressed"/>
    <s v=""/>
    <n v="40"/>
    <n v="1041"/>
    <x v="3"/>
    <n v="82"/>
    <x v="2"/>
    <n v="-28.570833"/>
    <n v="153.42617799999999"/>
  </r>
  <r>
    <s v="3457"/>
    <s v="Windellama Public School"/>
    <s v="Windellama"/>
    <s v="Goulburn Mulwaree"/>
    <s v="Capital Region"/>
    <x v="2"/>
    <x v="2"/>
    <s v="Regional South and Connected Communities"/>
    <x v="0"/>
    <x v="0"/>
    <s v="Coed"/>
    <n v="13"/>
    <m/>
    <s v="Suppressed"/>
    <s v=""/>
    <m/>
    <n v="905"/>
    <x v="2"/>
    <n v="107"/>
    <x v="2"/>
    <n v="-35.009988"/>
    <n v="149.83352099999999"/>
  </r>
  <r>
    <s v="3459"/>
    <s v="Windsor Public School"/>
    <s v="Windsor"/>
    <s v="Hawkesbury"/>
    <s v="Sydney - Outer West and Blue Mountains"/>
    <x v="0"/>
    <x v="0"/>
    <s v="Regional North"/>
    <x v="0"/>
    <x v="0"/>
    <s v="Coed"/>
    <n v="125"/>
    <n v="22"/>
    <s v="Published"/>
    <n v="27.5"/>
    <n v="18"/>
    <n v="944"/>
    <x v="2"/>
    <n v="127"/>
    <x v="1"/>
    <n v="-33.610365999999999"/>
    <n v="150.81641300000001"/>
  </r>
  <r>
    <s v="3461"/>
    <s v="Wingello Public School"/>
    <s v="Wingello"/>
    <s v="Wingecarribee"/>
    <s v="Southern Highlands and Shoalhaven"/>
    <x v="1"/>
    <x v="1"/>
    <s v="Regional South and Connected Communities"/>
    <x v="0"/>
    <x v="0"/>
    <s v="Coed"/>
    <n v="40"/>
    <m/>
    <s v="Suppressed"/>
    <s v=""/>
    <m/>
    <n v="1001"/>
    <x v="3"/>
    <n v="77"/>
    <x v="2"/>
    <n v="-34.688161999999998"/>
    <n v="150.15348700000001"/>
  </r>
  <r>
    <s v="3470"/>
    <s v="Wisemans Ferry Public School"/>
    <s v="Wisemans Ferry"/>
    <s v="The Hills"/>
    <s v="Sydney - Baulkham Hills and Hawkesbury"/>
    <x v="1"/>
    <x v="1"/>
    <s v="Regional North"/>
    <x v="0"/>
    <x v="0"/>
    <s v="Coed"/>
    <n v="44"/>
    <n v="16"/>
    <s v="Published"/>
    <n v="7.04"/>
    <m/>
    <n v="946"/>
    <x v="2"/>
    <n v="115"/>
    <x v="2"/>
    <n v="-33.385958000000002"/>
    <n v="150.98413300000001"/>
  </r>
  <r>
    <s v="3475"/>
    <s v="Wollongbar Public School"/>
    <s v="Wollongbar"/>
    <s v="Ballina"/>
    <s v="Richmond - Tweed"/>
    <x v="1"/>
    <x v="1"/>
    <s v="Rural North"/>
    <x v="0"/>
    <x v="0"/>
    <s v="Coed"/>
    <n v="243"/>
    <n v="6"/>
    <s v="Published"/>
    <n v="14.58"/>
    <n v="8"/>
    <n v="1028"/>
    <x v="3"/>
    <n v="72"/>
    <x v="1"/>
    <n v="-28.826989999999999"/>
    <n v="153.42011299999999"/>
  </r>
  <r>
    <s v="3477"/>
    <s v="Wollongong West Public School"/>
    <s v="Wollongong"/>
    <s v="Wollongong"/>
    <s v="Illawarra"/>
    <x v="0"/>
    <x v="0"/>
    <s v="Regional South and Connected Communities"/>
    <x v="0"/>
    <x v="0"/>
    <s v="Coed"/>
    <n v="243"/>
    <n v="12"/>
    <s v="Published"/>
    <n v="29.16"/>
    <n v="49"/>
    <n v="991"/>
    <x v="2"/>
    <n v="102"/>
    <x v="1"/>
    <n v="-34.424596999999999"/>
    <n v="150.871509"/>
  </r>
  <r>
    <s v="3479"/>
    <s v="Wolumla Public School"/>
    <s v="WOLUMLA"/>
    <s v="Bega Valley"/>
    <s v="Capital Region"/>
    <x v="2"/>
    <x v="2"/>
    <s v="Regional South and Connected Communities"/>
    <x v="0"/>
    <x v="0"/>
    <s v="Coed"/>
    <n v="109"/>
    <n v="20"/>
    <s v="Published"/>
    <n v="21.8"/>
    <m/>
    <n v="931"/>
    <x v="2"/>
    <n v="114"/>
    <x v="1"/>
    <n v="-36.832664000000001"/>
    <n v="149.811656"/>
  </r>
  <r>
    <s v="3482"/>
    <s v="Wombat Public School"/>
    <s v="Wombat"/>
    <s v="Hilltops"/>
    <s v="Capital Region"/>
    <x v="1"/>
    <x v="1"/>
    <s v="Rural South and West"/>
    <x v="0"/>
    <x v="0"/>
    <s v="Coed"/>
    <n v="20"/>
    <m/>
    <s v="Suppressed"/>
    <s v=""/>
    <n v="0"/>
    <n v="898"/>
    <x v="1"/>
    <n v="153"/>
    <x v="2"/>
    <n v="-34.426627000000003"/>
    <n v="148.24520200000001"/>
  </r>
  <r>
    <s v="3487"/>
    <s v="Wongarbon Public School"/>
    <s v="WONGARBON"/>
    <s v="Dubbo"/>
    <s v="Far West and Orana"/>
    <x v="2"/>
    <x v="2"/>
    <s v="Regional North and West"/>
    <x v="0"/>
    <x v="0"/>
    <s v="Coed"/>
    <n v="42"/>
    <n v="14"/>
    <s v="Published"/>
    <n v="5.8800000000000008"/>
    <n v="0"/>
    <n v="973"/>
    <x v="2"/>
    <n v="106"/>
    <x v="2"/>
    <n v="-32.333557999999996"/>
    <n v="148.759119"/>
  </r>
  <r>
    <s v="3490"/>
    <s v="Woodburn Public School"/>
    <s v="Woodburn"/>
    <s v="Richmond Valley"/>
    <s v="Richmond - Tweed"/>
    <x v="1"/>
    <x v="1"/>
    <s v="Rural North"/>
    <x v="0"/>
    <x v="0"/>
    <s v="Coed"/>
    <n v="97"/>
    <n v="16"/>
    <s v="Published"/>
    <n v="15.52"/>
    <n v="8"/>
    <n v="922"/>
    <x v="2"/>
    <n v="128"/>
    <x v="2"/>
    <n v="-29.075389999999999"/>
    <n v="153.339292"/>
  </r>
  <r>
    <s v="3491"/>
    <s v="Woodenbong Central School"/>
    <s v="Woodenbong"/>
    <s v="Kyogle"/>
    <s v="Richmond - Tweed"/>
    <x v="2"/>
    <x v="2"/>
    <s v="Rural North"/>
    <x v="1"/>
    <x v="0"/>
    <s v="Coed"/>
    <n v="159"/>
    <n v="45"/>
    <s v="Published"/>
    <n v="71.55"/>
    <n v="45"/>
    <n v="848"/>
    <x v="1"/>
    <n v="150"/>
    <x v="1"/>
    <n v="-28.389728000000002"/>
    <n v="152.61014800000001"/>
  </r>
  <r>
    <s v="3499"/>
    <s v="Woodstock Public School"/>
    <s v="Woodstock"/>
    <s v="Cowra"/>
    <s v="Central West"/>
    <x v="2"/>
    <x v="2"/>
    <s v="Rural South and West"/>
    <x v="0"/>
    <x v="0"/>
    <s v="Coed"/>
    <n v="20"/>
    <n v="0"/>
    <s v="Published"/>
    <n v="0"/>
    <m/>
    <n v="937"/>
    <x v="2"/>
    <n v="110"/>
    <x v="2"/>
    <n v="-33.745939999999997"/>
    <n v="148.84904599999999"/>
  </r>
  <r>
    <s v="3501"/>
    <s v="Woolbrook Public School"/>
    <s v="Woolbrook"/>
    <s v="Walcha"/>
    <s v="New England and North West"/>
    <x v="2"/>
    <x v="2"/>
    <s v="Rural North"/>
    <x v="0"/>
    <x v="0"/>
    <s v="Coed"/>
    <n v="11"/>
    <n v="0"/>
    <s v="Published"/>
    <n v="0"/>
    <n v="0"/>
    <n v="900"/>
    <x v="2"/>
    <n v="144"/>
    <x v="2"/>
    <n v="-30.970234000000001"/>
    <n v="151.344607"/>
  </r>
  <r>
    <s v="3503"/>
    <s v="Woolgoolga Public School"/>
    <s v="Woolgoolga"/>
    <s v="Coffs Harbour"/>
    <s v="Coffs Harbour - Grafton"/>
    <x v="1"/>
    <x v="1"/>
    <s v="Rural North"/>
    <x v="0"/>
    <x v="0"/>
    <s v="Coed"/>
    <n v="349"/>
    <n v="14"/>
    <s v="Published"/>
    <n v="48.860000000000007"/>
    <n v="47"/>
    <n v="965"/>
    <x v="2"/>
    <n v="99"/>
    <x v="0"/>
    <n v="-30.112673000000001"/>
    <n v="153.19650100000001"/>
  </r>
  <r>
    <s v="3504"/>
    <s v="Borenore Public School"/>
    <s v="BORENORE"/>
    <s v="Cabonne"/>
    <s v="Central West"/>
    <x v="1"/>
    <x v="1"/>
    <s v="Rural South and West"/>
    <x v="0"/>
    <x v="0"/>
    <s v="Coed"/>
    <n v="22"/>
    <m/>
    <s v="Suppressed"/>
    <s v=""/>
    <m/>
    <n v="992"/>
    <x v="2"/>
    <n v="70"/>
    <x v="2"/>
    <n v="-33.251004999999999"/>
    <n v="148.98420899999999"/>
  </r>
  <r>
    <s v="3506"/>
    <s v="Woolomin Public School"/>
    <s v="Woolomin"/>
    <s v="Tamworth"/>
    <s v="New England and North West"/>
    <x v="2"/>
    <x v="2"/>
    <s v="Rural North"/>
    <x v="0"/>
    <x v="0"/>
    <s v="Coed"/>
    <n v="11"/>
    <m/>
    <s v="Suppressed"/>
    <s v=""/>
    <m/>
    <n v="840"/>
    <x v="1"/>
    <n v="174"/>
    <x v="2"/>
    <n v="-31.301770000000001"/>
    <n v="151.14806999999999"/>
  </r>
  <r>
    <s v="3510"/>
    <s v="Woonona Public School"/>
    <s v="Woonona"/>
    <s v="Wollongong"/>
    <s v="Illawarra"/>
    <x v="0"/>
    <x v="0"/>
    <s v="Regional South and Connected Communities"/>
    <x v="0"/>
    <x v="0"/>
    <s v="Coed"/>
    <n v="519"/>
    <n v="5"/>
    <s v="Published"/>
    <n v="25.950000000000003"/>
    <n v="12"/>
    <n v="1070"/>
    <x v="3"/>
    <n v="52"/>
    <x v="0"/>
    <n v="-34.345568999999998"/>
    <n v="150.90680599999999"/>
  </r>
  <r>
    <s v="3518"/>
    <s v="Wyalong Public School"/>
    <s v="Wyalong"/>
    <s v="Bland"/>
    <s v="Central West"/>
    <x v="2"/>
    <x v="2"/>
    <s v="Rural South and West"/>
    <x v="0"/>
    <x v="0"/>
    <s v="Coed"/>
    <n v="87"/>
    <n v="24"/>
    <s v="Published"/>
    <n v="20.88"/>
    <m/>
    <n v="921"/>
    <x v="2"/>
    <n v="129"/>
    <x v="2"/>
    <n v="-33.923924999999997"/>
    <n v="147.24207000000001"/>
  </r>
  <r>
    <s v="3519"/>
    <s v="West Wyalong Public School"/>
    <s v="West Wyalong"/>
    <s v="Bland"/>
    <s v="Central West"/>
    <x v="2"/>
    <x v="2"/>
    <s v="Rural South and West"/>
    <x v="0"/>
    <x v="0"/>
    <s v="Coed"/>
    <n v="202"/>
    <n v="19"/>
    <s v="Published"/>
    <n v="38.380000000000003"/>
    <n v="7"/>
    <n v="952"/>
    <x v="2"/>
    <n v="102"/>
    <x v="1"/>
    <n v="-33.918501999999997"/>
    <n v="147.20405600000001"/>
  </r>
  <r>
    <s v="3522"/>
    <s v="Wyee Public School"/>
    <s v="Wyee"/>
    <s v="Lake Macquarie"/>
    <s v="Newcastle and Lake Macquarie"/>
    <x v="0"/>
    <x v="0"/>
    <s v="Regional North"/>
    <x v="0"/>
    <x v="0"/>
    <s v="Coed"/>
    <n v="193"/>
    <n v="15"/>
    <s v="Published"/>
    <n v="28.95"/>
    <n v="3"/>
    <n v="955"/>
    <x v="2"/>
    <n v="106"/>
    <x v="1"/>
    <n v="-33.174833"/>
    <n v="151.48296099999999"/>
  </r>
  <r>
    <s v="3525"/>
    <s v="Wyndham Public School"/>
    <s v="Wyndham"/>
    <s v="Bega Valley"/>
    <s v="Capital Region"/>
    <x v="2"/>
    <x v="2"/>
    <s v="Rural South and West"/>
    <x v="0"/>
    <x v="0"/>
    <s v="Coed"/>
    <n v="27"/>
    <m/>
    <s v="Suppressed"/>
    <s v=""/>
    <n v="0"/>
    <n v="935"/>
    <x v="2"/>
    <n v="121"/>
    <x v="2"/>
    <n v="-36.92962"/>
    <n v="149.64655999999999"/>
  </r>
  <r>
    <s v="3527"/>
    <s v="Wyong Public School"/>
    <s v="Wyong"/>
    <s v="Central Coast (NSW)"/>
    <s v="Central Coast"/>
    <x v="0"/>
    <x v="0"/>
    <s v="Regional North"/>
    <x v="0"/>
    <x v="0"/>
    <s v="Coed"/>
    <n v="433"/>
    <n v="25"/>
    <s v="Published"/>
    <n v="108.25"/>
    <n v="20"/>
    <n v="931"/>
    <x v="2"/>
    <n v="131"/>
    <x v="0"/>
    <n v="-33.271886000000002"/>
    <n v="151.426188"/>
  </r>
  <r>
    <s v="3528"/>
    <s v="Wyong Creek Public School"/>
    <s v="WYONG CREEK"/>
    <s v="Central Coast (NSW)"/>
    <s v="Central Coast"/>
    <x v="0"/>
    <x v="0"/>
    <s v="Regional North"/>
    <x v="0"/>
    <x v="0"/>
    <s v="Coed"/>
    <n v="94"/>
    <n v="13"/>
    <s v="Published"/>
    <n v="12.22"/>
    <n v="15"/>
    <n v="978"/>
    <x v="2"/>
    <n v="131"/>
    <x v="2"/>
    <n v="-33.267128999999997"/>
    <n v="151.34807000000001"/>
  </r>
  <r>
    <s v="3529"/>
    <s v="Wyrallah Public School"/>
    <s v="Wyrallah"/>
    <s v="Lismore"/>
    <s v="Richmond - Tweed"/>
    <x v="1"/>
    <x v="1"/>
    <s v="Rural North"/>
    <x v="0"/>
    <x v="0"/>
    <s v="Coed"/>
    <n v="17"/>
    <m/>
    <s v="Suppressed"/>
    <s v=""/>
    <n v="0"/>
    <n v="985"/>
    <x v="2"/>
    <n v="109"/>
    <x v="2"/>
    <n v="-28.890407"/>
    <n v="153.30571800000001"/>
  </r>
  <r>
    <s v="3533"/>
    <s v="Yamba Public School"/>
    <s v="YAMBA"/>
    <s v="Clarence Valley"/>
    <s v="Coffs Harbour - Grafton"/>
    <x v="1"/>
    <x v="1"/>
    <s v="Rural North"/>
    <x v="0"/>
    <x v="0"/>
    <s v="Coed"/>
    <n v="295"/>
    <n v="22"/>
    <s v="Published"/>
    <n v="64.900000000000006"/>
    <n v="13"/>
    <n v="978"/>
    <x v="2"/>
    <n v="85"/>
    <x v="1"/>
    <n v="-29.439523999999999"/>
    <n v="153.35315700000001"/>
  </r>
  <r>
    <s v="3534"/>
    <s v="Table Top Public School"/>
    <s v="Table Top"/>
    <s v="Albury"/>
    <s v="Murray"/>
    <x v="1"/>
    <x v="1"/>
    <s v="Rural South and West"/>
    <x v="0"/>
    <x v="0"/>
    <s v="Coed"/>
    <n v="140"/>
    <n v="7"/>
    <s v="Published"/>
    <n v="9.8000000000000007"/>
    <m/>
    <n v="1030"/>
    <x v="3"/>
    <n v="74"/>
    <x v="1"/>
    <n v="-35.967573000000002"/>
    <n v="147.00730200000001"/>
  </r>
  <r>
    <s v="3536"/>
    <s v="Yanco Public School"/>
    <s v="Yanco"/>
    <s v="Leeton"/>
    <s v="Riverina"/>
    <x v="2"/>
    <x v="2"/>
    <s v="Rural South and West"/>
    <x v="0"/>
    <x v="0"/>
    <s v="Coed"/>
    <n v="70"/>
    <n v="29"/>
    <s v="Published"/>
    <n v="20.299999999999997"/>
    <n v="0"/>
    <n v="860"/>
    <x v="1"/>
    <n v="176"/>
    <x v="2"/>
    <n v="-34.597911000000003"/>
    <n v="146.41121100000001"/>
  </r>
  <r>
    <s v="3537"/>
    <s v="Yanderra Public School"/>
    <s v="Yanderra"/>
    <s v="Wollondilly"/>
    <s v="Sydney - Outer South West"/>
    <x v="1"/>
    <x v="1"/>
    <s v="Regional South and Connected Communities"/>
    <x v="0"/>
    <x v="0"/>
    <s v="Coed"/>
    <n v="35"/>
    <n v="17"/>
    <s v="Published"/>
    <n v="5.95"/>
    <m/>
    <n v="934"/>
    <x v="2"/>
    <n v="142"/>
    <x v="2"/>
    <n v="-34.320475000000002"/>
    <n v="150.57124400000001"/>
  </r>
  <r>
    <s v="3547"/>
    <s v="Yarrowitch Public School"/>
    <s v="Yarrowitch"/>
    <s v="Walcha"/>
    <s v="New England and North West"/>
    <x v="2"/>
    <x v="2"/>
    <s v="Rural North"/>
    <x v="0"/>
    <x v="0"/>
    <s v="Coed"/>
    <n v="3"/>
    <n v="0"/>
    <s v="Published"/>
    <n v="0"/>
    <n v="0"/>
    <m/>
    <x v="4"/>
    <n v="128"/>
    <x v="2"/>
    <n v="-31.250589999999999"/>
    <n v="151.94820999999999"/>
  </r>
  <r>
    <s v="3549"/>
    <s v="Yass Public School"/>
    <s v="Yass"/>
    <s v="Yass Valley"/>
    <s v="Capital Region"/>
    <x v="1"/>
    <x v="1"/>
    <s v="Regional South and Connected Communities"/>
    <x v="0"/>
    <x v="0"/>
    <s v="Coed"/>
    <n v="305"/>
    <n v="7"/>
    <s v="Published"/>
    <n v="21.35"/>
    <n v="12"/>
    <n v="1012"/>
    <x v="3"/>
    <n v="84"/>
    <x v="0"/>
    <n v="-34.837587999999997"/>
    <n v="148.90686500000001"/>
  </r>
  <r>
    <s v="3554"/>
    <s v="Yenda Public School"/>
    <s v="Yenda"/>
    <s v="Griffith"/>
    <s v="Riverina"/>
    <x v="2"/>
    <x v="2"/>
    <s v="Rural South and West"/>
    <x v="0"/>
    <x v="0"/>
    <s v="Coed"/>
    <n v="106"/>
    <n v="12"/>
    <s v="Published"/>
    <n v="12.719999999999999"/>
    <m/>
    <n v="933"/>
    <x v="2"/>
    <n v="118"/>
    <x v="1"/>
    <n v="-34.252389000000001"/>
    <n v="146.19830899999999"/>
  </r>
  <r>
    <s v="3555"/>
    <s v="Yeoval Central School"/>
    <s v="Yeoval"/>
    <s v="Cabonne"/>
    <s v="Far West and Orana"/>
    <x v="2"/>
    <x v="2"/>
    <s v="Rural South and West"/>
    <x v="1"/>
    <x v="0"/>
    <s v="Coed"/>
    <n v="75"/>
    <n v="29"/>
    <s v="Published"/>
    <n v="21.75"/>
    <m/>
    <n v="858"/>
    <x v="1"/>
    <n v="162"/>
    <x v="2"/>
    <n v="-32.754375000000003"/>
    <n v="148.64967300000001"/>
  </r>
  <r>
    <s v="3556"/>
    <s v="Yerong Creek Public School"/>
    <s v="Yerong Creek"/>
    <s v="Lockhart"/>
    <s v="Riverina"/>
    <x v="2"/>
    <x v="2"/>
    <s v="Rural South and West"/>
    <x v="0"/>
    <x v="0"/>
    <s v="Coed"/>
    <n v="12"/>
    <m/>
    <s v="Suppressed"/>
    <s v=""/>
    <m/>
    <n v="947"/>
    <x v="2"/>
    <n v="114"/>
    <x v="2"/>
    <n v="-35.386786999999998"/>
    <n v="147.06098700000001"/>
  </r>
  <r>
    <s v="3559"/>
    <s v="Yetman Public School"/>
    <s v="Yetman"/>
    <s v="Inverell"/>
    <s v="New England and North West"/>
    <x v="2"/>
    <x v="2"/>
    <s v="Rural North"/>
    <x v="0"/>
    <x v="0"/>
    <s v="Coed"/>
    <n v="7"/>
    <n v="0"/>
    <s v="Published"/>
    <n v="0"/>
    <n v="0"/>
    <n v="1022"/>
    <x v="3"/>
    <n v="55"/>
    <x v="2"/>
    <n v="-28.902218999999999"/>
    <n v="150.77626100000001"/>
  </r>
  <r>
    <s v="3561"/>
    <s v="Yoogali Public School"/>
    <s v="Yoogali"/>
    <s v="Griffith"/>
    <s v="Riverina"/>
    <x v="2"/>
    <x v="2"/>
    <s v="Rural South and West"/>
    <x v="0"/>
    <x v="0"/>
    <s v="Coed"/>
    <n v="49"/>
    <n v="14"/>
    <s v="Published"/>
    <n v="6.86"/>
    <n v="12"/>
    <n v="931"/>
    <x v="2"/>
    <n v="121"/>
    <x v="2"/>
    <n v="-34.299691000000003"/>
    <n v="146.08617599999999"/>
  </r>
  <r>
    <s v="3563"/>
    <s v="Young Public School"/>
    <s v="Young"/>
    <s v="Hilltops"/>
    <s v="Capital Region"/>
    <x v="1"/>
    <x v="1"/>
    <s v="Rural South and West"/>
    <x v="0"/>
    <x v="0"/>
    <s v="Coed"/>
    <n v="524"/>
    <n v="12"/>
    <s v="Published"/>
    <n v="62.879999999999995"/>
    <n v="12"/>
    <n v="969"/>
    <x v="2"/>
    <n v="107"/>
    <x v="0"/>
    <n v="-34.321407000000001"/>
    <n v="148.29023100000001"/>
  </r>
  <r>
    <s v="3564"/>
    <s v="Edgeworth Public School"/>
    <s v="Edgeworth"/>
    <s v="Lake Macquarie"/>
    <s v="Newcastle and Lake Macquarie"/>
    <x v="0"/>
    <x v="0"/>
    <s v="Regional North"/>
    <x v="0"/>
    <x v="0"/>
    <s v="Coed"/>
    <n v="647"/>
    <n v="19"/>
    <s v="Published"/>
    <n v="122.93"/>
    <n v="10"/>
    <n v="967"/>
    <x v="2"/>
    <n v="105"/>
    <x v="3"/>
    <n v="-32.922891999999997"/>
    <n v="151.62038699999999"/>
  </r>
  <r>
    <s v="3566"/>
    <s v="Zig Zag Public School"/>
    <s v="Lithgow"/>
    <s v="Lithgow"/>
    <s v="Central West"/>
    <x v="1"/>
    <x v="1"/>
    <s v="Regional North and West"/>
    <x v="0"/>
    <x v="0"/>
    <s v="Coed"/>
    <n v="120"/>
    <n v="15"/>
    <s v="Published"/>
    <n v="18"/>
    <m/>
    <n v="934"/>
    <x v="2"/>
    <n v="130"/>
    <x v="1"/>
    <n v="-33.466135999999999"/>
    <n v="150.18282600000001"/>
  </r>
  <r>
    <s v="3578"/>
    <s v="Pottsville Beach Public School"/>
    <s v="Pottsville"/>
    <s v="Tweed"/>
    <s v="Richmond - Tweed"/>
    <x v="0"/>
    <x v="0"/>
    <s v="Rural North"/>
    <x v="0"/>
    <x v="0"/>
    <s v="Coed"/>
    <n v="556"/>
    <n v="9"/>
    <s v="Published"/>
    <n v="50.04"/>
    <n v="10"/>
    <n v="1036"/>
    <x v="3"/>
    <n v="69"/>
    <x v="0"/>
    <n v="-28.377624999999998"/>
    <n v="153.56779800000001"/>
  </r>
  <r>
    <s v="3580"/>
    <s v="Rowena Public School"/>
    <s v="Rowena"/>
    <s v="Walgett"/>
    <s v="Far West and Orana"/>
    <x v="3"/>
    <x v="3"/>
    <s v="Rural North"/>
    <x v="0"/>
    <x v="0"/>
    <s v="Coed"/>
    <n v="20"/>
    <m/>
    <s v="Suppressed"/>
    <s v=""/>
    <n v="0"/>
    <n v="944"/>
    <x v="2"/>
    <n v="78"/>
    <x v="2"/>
    <n v="-29.813929999999999"/>
    <n v="148.91248999999999"/>
  </r>
  <r>
    <s v="3591"/>
    <s v="Dubbo West Public School"/>
    <s v="Dubbo"/>
    <s v="Dubbo"/>
    <s v="Far West and Orana"/>
    <x v="1"/>
    <x v="1"/>
    <s v="Regional North and West"/>
    <x v="0"/>
    <x v="0"/>
    <s v="Coed"/>
    <n v="293"/>
    <n v="69"/>
    <s v="Published"/>
    <n v="202.17"/>
    <n v="6"/>
    <n v="772"/>
    <x v="1"/>
    <n v="186"/>
    <x v="1"/>
    <n v="-32.251914999999997"/>
    <n v="148.588301"/>
  </r>
  <r>
    <s v="3593"/>
    <s v="Oyster Bay Public School"/>
    <s v="Oyster Bay"/>
    <s v="Sutherland"/>
    <s v="Sydney - Sutherland"/>
    <x v="0"/>
    <x v="0"/>
    <s v="Metropolitan South and West"/>
    <x v="0"/>
    <x v="0"/>
    <s v="Coed"/>
    <n v="416"/>
    <n v="2"/>
    <s v="Published"/>
    <n v="8.32"/>
    <n v="14"/>
    <n v="1098"/>
    <x v="3"/>
    <n v="40"/>
    <x v="0"/>
    <n v="-34.00779"/>
    <n v="151.080693"/>
  </r>
  <r>
    <s v="3594"/>
    <s v="Louth Public School"/>
    <s v="Louth"/>
    <s v="Bourke"/>
    <s v="Far West and Orana"/>
    <x v="4"/>
    <x v="4"/>
    <s v="Rural South and West"/>
    <x v="0"/>
    <x v="0"/>
    <s v="Coed"/>
    <n v="8"/>
    <n v="0"/>
    <s v="Published"/>
    <n v="0"/>
    <n v="0"/>
    <n v="923"/>
    <x v="2"/>
    <n v="135"/>
    <x v="2"/>
    <n v="-30.535792000000001"/>
    <n v="145.117942"/>
  </r>
  <r>
    <s v="3615"/>
    <s v="Kemps Creek Public School"/>
    <s v="KEMPS CREEK"/>
    <s v="Liverpool"/>
    <s v="Sydney - South West"/>
    <x v="0"/>
    <x v="0"/>
    <s v="Regional South and Connected Communities"/>
    <x v="0"/>
    <x v="0"/>
    <s v="Coed"/>
    <n v="114"/>
    <n v="10"/>
    <s v="Published"/>
    <n v="11.4"/>
    <n v="57"/>
    <n v="947"/>
    <x v="2"/>
    <n v="145"/>
    <x v="1"/>
    <n v="-33.882804999999998"/>
    <n v="150.790299"/>
  </r>
  <r>
    <s v="3626"/>
    <s v="Enngonia Public School"/>
    <s v="Enngonia"/>
    <s v="Bourke"/>
    <s v="Far West and Orana"/>
    <x v="4"/>
    <x v="4"/>
    <s v="Rural North"/>
    <x v="0"/>
    <x v="0"/>
    <s v="Coed"/>
    <n v="11"/>
    <n v="100"/>
    <s v="Published"/>
    <n v="11"/>
    <n v="0"/>
    <n v="600"/>
    <x v="1"/>
    <n v="238"/>
    <x v="2"/>
    <n v="-29.318854999999999"/>
    <n v="145.844482"/>
  </r>
  <r>
    <s v="3632"/>
    <s v="Fairfield Heights Public School"/>
    <s v="FAIRFIELD"/>
    <s v="Fairfield"/>
    <s v="Sydney - South West"/>
    <x v="0"/>
    <x v="0"/>
    <s v="Metropolitan South and West"/>
    <x v="0"/>
    <x v="0"/>
    <s v="Coed"/>
    <n v="642"/>
    <n v="2"/>
    <s v="Published"/>
    <n v="12.84"/>
    <n v="94"/>
    <n v="893"/>
    <x v="1"/>
    <n v="190"/>
    <x v="3"/>
    <n v="-33.866093999999997"/>
    <n v="150.94027199999999"/>
  </r>
  <r>
    <s v="3635"/>
    <s v="Scotts Head Public School"/>
    <s v="Scotts Head"/>
    <s v="Nambucca Valley"/>
    <s v="Mid North Coast"/>
    <x v="1"/>
    <x v="1"/>
    <s v="Regional North and West"/>
    <x v="0"/>
    <x v="0"/>
    <s v="Coed"/>
    <n v="73"/>
    <m/>
    <s v="Suppressed"/>
    <s v=""/>
    <n v="12"/>
    <n v="1014"/>
    <x v="3"/>
    <n v="86"/>
    <x v="2"/>
    <n v="-30.749941"/>
    <n v="152.995226"/>
  </r>
  <r>
    <s v="3643"/>
    <s v="Stuarts Point Public School"/>
    <s v="Stuarts Point"/>
    <s v="Kempsey"/>
    <s v="Mid North Coast"/>
    <x v="1"/>
    <x v="1"/>
    <s v="Regional North and West"/>
    <x v="0"/>
    <x v="0"/>
    <s v="Coed"/>
    <n v="53"/>
    <n v="36"/>
    <s v="Published"/>
    <n v="19.079999999999998"/>
    <n v="0"/>
    <n v="848"/>
    <x v="1"/>
    <n v="159"/>
    <x v="2"/>
    <n v="-30.818842"/>
    <n v="152.993686"/>
  </r>
  <r>
    <s v="3659"/>
    <s v="Sussex Inlet Public School"/>
    <s v="Sussex Inlet"/>
    <s v="Shoalhaven"/>
    <s v="Southern Highlands and Shoalhaven"/>
    <x v="1"/>
    <x v="1"/>
    <s v="Regional South and Connected Communities"/>
    <x v="0"/>
    <x v="0"/>
    <s v="Coed"/>
    <n v="255"/>
    <n v="12"/>
    <s v="Published"/>
    <n v="30.599999999999998"/>
    <n v="6"/>
    <n v="956"/>
    <x v="2"/>
    <n v="115"/>
    <x v="1"/>
    <n v="-35.167301999999999"/>
    <n v="150.584194"/>
  </r>
  <r>
    <s v="3668"/>
    <s v="Cronulla South Public School"/>
    <s v="Cronulla"/>
    <s v="Sutherland"/>
    <s v="Sydney - Sutherland"/>
    <x v="0"/>
    <x v="0"/>
    <s v="Metropolitan South and West"/>
    <x v="0"/>
    <x v="0"/>
    <s v="Coed"/>
    <n v="261"/>
    <n v="2"/>
    <s v="Published"/>
    <n v="5.22"/>
    <n v="21"/>
    <n v="1093"/>
    <x v="3"/>
    <n v="38"/>
    <x v="1"/>
    <n v="-34.066110000000002"/>
    <n v="151.154201"/>
  </r>
  <r>
    <s v="3673"/>
    <s v="St Georges Basin Public School"/>
    <s v="Basin View"/>
    <s v="Shoalhaven"/>
    <s v="Southern Highlands and Shoalhaven"/>
    <x v="1"/>
    <x v="1"/>
    <s v="Regional South and Connected Communities"/>
    <x v="0"/>
    <x v="0"/>
    <s v="Coed"/>
    <n v="365"/>
    <n v="21"/>
    <s v="Published"/>
    <n v="76.649999999999991"/>
    <n v="8"/>
    <n v="959"/>
    <x v="2"/>
    <n v="116"/>
    <x v="0"/>
    <n v="-35.090698000000003"/>
    <n v="150.563917"/>
  </r>
  <r>
    <s v="3678"/>
    <s v="Warwick Farm Public School"/>
    <s v="Warwick Farm"/>
    <s v="Liverpool"/>
    <s v="Sydney - South West"/>
    <x v="0"/>
    <x v="0"/>
    <s v="Metropolitan South and West"/>
    <x v="0"/>
    <x v="0"/>
    <s v="Coed"/>
    <n v="219"/>
    <n v="6"/>
    <s v="Published"/>
    <n v="13.139999999999999"/>
    <n v="71"/>
    <n v="951"/>
    <x v="2"/>
    <n v="133"/>
    <x v="1"/>
    <n v="-33.909641999999998"/>
    <n v="150.92940899999999"/>
  </r>
  <r>
    <s v="3690"/>
    <s v="Oxley Vale Public School"/>
    <s v="Tamworth"/>
    <s v="Tamworth"/>
    <s v="New England and North West"/>
    <x v="1"/>
    <x v="1"/>
    <s v="Rural North"/>
    <x v="0"/>
    <x v="0"/>
    <s v="Coed"/>
    <n v="377"/>
    <n v="41"/>
    <s v="Published"/>
    <n v="154.57"/>
    <n v="15"/>
    <n v="870"/>
    <x v="1"/>
    <n v="132"/>
    <x v="0"/>
    <n v="-31.058786000000001"/>
    <n v="150.89498"/>
  </r>
  <r>
    <s v="3696"/>
    <s v="Soldiers Point Public School"/>
    <s v="Soldiers Point"/>
    <s v="Port Stephens"/>
    <s v="Hunter Valley exc Newcastle"/>
    <x v="1"/>
    <x v="1"/>
    <s v="Regional North"/>
    <x v="0"/>
    <x v="0"/>
    <s v="Coed"/>
    <n v="267"/>
    <n v="12"/>
    <s v="Published"/>
    <n v="32.04"/>
    <n v="10"/>
    <n v="992"/>
    <x v="2"/>
    <n v="99"/>
    <x v="1"/>
    <n v="-32.709978"/>
    <n v="152.06535099999999"/>
  </r>
  <r>
    <s v="3698"/>
    <s v="Chester Hill Public School"/>
    <s v="CHESTER HILL"/>
    <s v="Canterbury-Bankstown"/>
    <s v="Sydney - Parramatta"/>
    <x v="0"/>
    <x v="0"/>
    <s v="Metropolitan South"/>
    <x v="0"/>
    <x v="0"/>
    <s v="Coed"/>
    <n v="578"/>
    <n v="1"/>
    <s v="Published"/>
    <n v="5.78"/>
    <n v="89"/>
    <n v="958"/>
    <x v="2"/>
    <n v="145"/>
    <x v="0"/>
    <n v="-33.885596999999997"/>
    <n v="151.00161"/>
  </r>
  <r>
    <s v="3702"/>
    <s v="Georges Hall Public School"/>
    <s v="Georges Hall"/>
    <s v="Canterbury-Bankstown"/>
    <s v="Sydney - Inner South West"/>
    <x v="0"/>
    <x v="0"/>
    <s v="Metropolitan South and West"/>
    <x v="0"/>
    <x v="0"/>
    <s v="Coed"/>
    <n v="685"/>
    <m/>
    <s v="Suppressed"/>
    <s v=""/>
    <n v="80"/>
    <n v="1017"/>
    <x v="3"/>
    <n v="106"/>
    <x v="3"/>
    <n v="-33.912435000000002"/>
    <n v="150.9922"/>
  </r>
  <r>
    <s v="3703"/>
    <s v="South Coogee Public School"/>
    <s v="South Coogee"/>
    <s v="Randwick"/>
    <s v="Sydney - Eastern Suburbs"/>
    <x v="0"/>
    <x v="0"/>
    <s v="Metropolitan South"/>
    <x v="0"/>
    <x v="0"/>
    <s v="Coed"/>
    <n v="376"/>
    <n v="8"/>
    <s v="Published"/>
    <n v="30.080000000000002"/>
    <n v="24"/>
    <n v="1095"/>
    <x v="3"/>
    <n v="41"/>
    <x v="0"/>
    <n v="-33.933332999999998"/>
    <n v="151.25408999999999"/>
  </r>
  <r>
    <s v="3717"/>
    <s v="Croppa Creek Public School"/>
    <s v="Croppa Creek"/>
    <s v="Gwydir"/>
    <s v="New England and North West"/>
    <x v="2"/>
    <x v="2"/>
    <s v="Rural North"/>
    <x v="0"/>
    <x v="0"/>
    <s v="Coed"/>
    <n v="12"/>
    <m/>
    <s v="Suppressed"/>
    <s v=""/>
    <n v="0"/>
    <n v="979"/>
    <x v="2"/>
    <n v="77"/>
    <x v="2"/>
    <n v="-29.125233999999999"/>
    <n v="150.30939699999999"/>
  </r>
  <r>
    <s v="3719"/>
    <s v="Annangrove Public School"/>
    <s v="Annangrove"/>
    <s v="The Hills"/>
    <s v="Sydney - Baulkham Hills and Hawkesbury"/>
    <x v="0"/>
    <x v="0"/>
    <s v="Metropolitan North"/>
    <x v="0"/>
    <x v="0"/>
    <s v="Coed"/>
    <n v="142"/>
    <m/>
    <s v="Suppressed"/>
    <s v=""/>
    <n v="51"/>
    <n v="1096"/>
    <x v="3"/>
    <n v="38"/>
    <x v="1"/>
    <n v="-33.667417"/>
    <n v="150.95255"/>
  </r>
  <r>
    <s v="3735"/>
    <s v="Woronora River Public School"/>
    <s v="WORONORA"/>
    <s v="Sutherland"/>
    <s v="Sydney - Sutherland"/>
    <x v="0"/>
    <x v="0"/>
    <s v="Metropolitan South and West"/>
    <x v="0"/>
    <x v="0"/>
    <s v="Coed"/>
    <n v="70"/>
    <m/>
    <s v="Suppressed"/>
    <s v=""/>
    <m/>
    <n v="1054"/>
    <x v="3"/>
    <n v="75"/>
    <x v="2"/>
    <n v="-34.026575000000001"/>
    <n v="151.04111399999999"/>
  </r>
  <r>
    <s v="3736"/>
    <s v="Balgowlah Heights Public School"/>
    <s v="Balgowlah"/>
    <s v="Northern Beaches"/>
    <s v="Sydney - Northern Beaches"/>
    <x v="0"/>
    <x v="0"/>
    <s v="Metropolitan North"/>
    <x v="0"/>
    <x v="0"/>
    <s v="Coed"/>
    <n v="651"/>
    <m/>
    <s v="Suppressed"/>
    <s v=""/>
    <n v="22"/>
    <n v="1177"/>
    <x v="0"/>
    <n v="3"/>
    <x v="3"/>
    <n v="-33.805985"/>
    <n v="151.25875400000001"/>
  </r>
  <r>
    <s v="3741"/>
    <s v="Goulburn West Public School"/>
    <s v="Goulburn"/>
    <s v="Goulburn Mulwaree"/>
    <s v="Capital Region"/>
    <x v="1"/>
    <x v="1"/>
    <s v="Regional South and Connected Communities"/>
    <x v="0"/>
    <x v="0"/>
    <s v="Coed"/>
    <n v="373"/>
    <n v="9"/>
    <s v="Published"/>
    <n v="33.57"/>
    <n v="10"/>
    <n v="978"/>
    <x v="2"/>
    <n v="106"/>
    <x v="0"/>
    <n v="-34.759172"/>
    <n v="149.70070699999999"/>
  </r>
  <r>
    <s v="3743"/>
    <s v="Riverwood Public School"/>
    <s v="Riverwood"/>
    <s v="Canterbury-Bankstown"/>
    <s v="Sydney - Inner South West"/>
    <x v="0"/>
    <x v="0"/>
    <s v="Metropolitan South"/>
    <x v="0"/>
    <x v="0"/>
    <s v="Coed"/>
    <n v="126"/>
    <n v="6"/>
    <s v="Published"/>
    <n v="7.56"/>
    <n v="83"/>
    <n v="958"/>
    <x v="2"/>
    <n v="142"/>
    <x v="1"/>
    <n v="-33.947208000000003"/>
    <n v="151.04658599999999"/>
  </r>
  <r>
    <s v="3744"/>
    <s v="Warragamba Public School"/>
    <s v="WARRAGAMBA"/>
    <s v="Wollondilly"/>
    <s v="Sydney - Outer West and Blue Mountains"/>
    <x v="1"/>
    <x v="1"/>
    <s v="Regional South and Connected Communities"/>
    <x v="0"/>
    <x v="0"/>
    <s v="Coed"/>
    <n v="434"/>
    <n v="11"/>
    <s v="Published"/>
    <n v="47.74"/>
    <n v="8"/>
    <n v="958"/>
    <x v="2"/>
    <n v="116"/>
    <x v="0"/>
    <n v="-33.890923999999998"/>
    <n v="150.60539"/>
  </r>
  <r>
    <s v="3748"/>
    <s v="Belrose Public School"/>
    <s v="Belrose"/>
    <s v="Northern Beaches"/>
    <s v="Sydney - Northern Beaches"/>
    <x v="0"/>
    <x v="0"/>
    <s v="Metropolitan North"/>
    <x v="0"/>
    <x v="0"/>
    <s v="Coed"/>
    <n v="186"/>
    <m/>
    <s v="Suppressed"/>
    <s v=""/>
    <n v="20"/>
    <n v="1111"/>
    <x v="0"/>
    <n v="27"/>
    <x v="1"/>
    <n v="-33.727235"/>
    <n v="151.216645"/>
  </r>
  <r>
    <s v="3760"/>
    <s v="Upper Coopers Creek Public School"/>
    <s v="Upper Coopers Creek"/>
    <s v="Byron"/>
    <s v="Richmond - Tweed"/>
    <x v="1"/>
    <x v="1"/>
    <s v="Rural North"/>
    <x v="0"/>
    <x v="0"/>
    <s v="Coed"/>
    <n v="10"/>
    <m/>
    <s v="Suppressed"/>
    <s v=""/>
    <n v="0"/>
    <n v="1003"/>
    <x v="3"/>
    <n v="84"/>
    <x v="2"/>
    <n v="-28.607149"/>
    <n v="153.401937"/>
  </r>
  <r>
    <s v="3762"/>
    <s v="Wiripaang Public School"/>
    <s v="Gateshead"/>
    <s v="Lake Macquarie"/>
    <s v="Newcastle and Lake Macquarie"/>
    <x v="0"/>
    <x v="0"/>
    <s v="Regional North"/>
    <x v="0"/>
    <x v="0"/>
    <s v="Coed"/>
    <n v="182"/>
    <n v="37"/>
    <s v="Published"/>
    <n v="67.34"/>
    <n v="13"/>
    <n v="853"/>
    <x v="1"/>
    <n v="177"/>
    <x v="1"/>
    <n v="-32.984172000000001"/>
    <n v="151.69135499999999"/>
  </r>
  <r>
    <s v="3765"/>
    <s v="Bundeena Public School"/>
    <s v="Bundeena"/>
    <s v="Sutherland"/>
    <s v="Sydney - Sutherland"/>
    <x v="1"/>
    <x v="1"/>
    <s v="Metropolitan South and West"/>
    <x v="0"/>
    <x v="0"/>
    <s v="Coed"/>
    <n v="174"/>
    <n v="3"/>
    <s v="Published"/>
    <n v="5.22"/>
    <n v="15"/>
    <n v="1067"/>
    <x v="3"/>
    <n v="60"/>
    <x v="1"/>
    <n v="-34.086792000000003"/>
    <n v="151.152422"/>
  </r>
  <r>
    <s v="3777"/>
    <s v="Pymble Public School"/>
    <s v="Pymble"/>
    <s v="Ku-ring-gai"/>
    <s v="Sydney - North Sydney and Hornsby"/>
    <x v="0"/>
    <x v="0"/>
    <s v="Metropolitan North"/>
    <x v="0"/>
    <x v="0"/>
    <s v="Coed"/>
    <n v="519"/>
    <n v="0"/>
    <s v="Published"/>
    <n v="0"/>
    <n v="61"/>
    <n v="1176"/>
    <x v="0"/>
    <n v="0"/>
    <x v="0"/>
    <n v="-33.732269000000002"/>
    <n v="151.14108899999999"/>
  </r>
  <r>
    <s v="3789"/>
    <s v="Condell Park Public School"/>
    <s v="CONDELL PARK"/>
    <s v="Canterbury-Bankstown"/>
    <s v="Sydney - Inner South West"/>
    <x v="0"/>
    <x v="0"/>
    <s v="Metropolitan South and West"/>
    <x v="0"/>
    <x v="0"/>
    <s v="Coed"/>
    <n v="586"/>
    <m/>
    <s v="Suppressed"/>
    <s v=""/>
    <n v="87"/>
    <n v="968"/>
    <x v="2"/>
    <n v="137"/>
    <x v="0"/>
    <n v="-33.925485999999999"/>
    <n v="151.01367400000001"/>
  </r>
  <r>
    <s v="3792"/>
    <s v="Avalon Public School"/>
    <s v="Avalon Beach"/>
    <s v="Northern Beaches"/>
    <s v="Sydney - Northern Beaches"/>
    <x v="0"/>
    <x v="0"/>
    <s v="Metropolitan North"/>
    <x v="0"/>
    <x v="0"/>
    <s v="Coed"/>
    <n v="666"/>
    <n v="1"/>
    <s v="Published"/>
    <n v="6.66"/>
    <n v="11"/>
    <n v="1094"/>
    <x v="3"/>
    <n v="35"/>
    <x v="3"/>
    <n v="-33.639377000000003"/>
    <n v="151.326739"/>
  </r>
  <r>
    <s v="3794"/>
    <s v="Bald Face Public School"/>
    <s v="Blakehurst"/>
    <s v="Georges River"/>
    <s v="Sydney - Inner South West"/>
    <x v="0"/>
    <x v="0"/>
    <s v="Metropolitan South"/>
    <x v="0"/>
    <x v="0"/>
    <s v="Coed"/>
    <n v="246"/>
    <n v="0"/>
    <s v="Published"/>
    <n v="0"/>
    <n v="78"/>
    <n v="1123"/>
    <x v="0"/>
    <n v="23"/>
    <x v="1"/>
    <n v="-33.996752000000001"/>
    <n v="151.10690500000001"/>
  </r>
  <r>
    <s v="3795"/>
    <s v="Hamilton South Public School"/>
    <s v="Merewether"/>
    <s v="Newcastle"/>
    <s v="Newcastle and Lake Macquarie"/>
    <x v="0"/>
    <x v="0"/>
    <s v="Regional North"/>
    <x v="0"/>
    <x v="0"/>
    <s v="Coed"/>
    <n v="362"/>
    <n v="5"/>
    <s v="Published"/>
    <n v="18.100000000000001"/>
    <n v="16"/>
    <n v="1139"/>
    <x v="0"/>
    <n v="20"/>
    <x v="0"/>
    <n v="-32.933439999999997"/>
    <n v="151.753489"/>
  </r>
  <r>
    <s v="3796"/>
    <s v="Lugarno Public School"/>
    <s v="Lugarno"/>
    <s v="Georges River"/>
    <s v="Sydney - Inner South West"/>
    <x v="0"/>
    <x v="0"/>
    <s v="Metropolitan South"/>
    <x v="0"/>
    <x v="0"/>
    <s v="Coed"/>
    <n v="272"/>
    <m/>
    <s v="Suppressed"/>
    <s v=""/>
    <n v="47"/>
    <n v="1099"/>
    <x v="3"/>
    <n v="35"/>
    <x v="1"/>
    <n v="-33.984955999999997"/>
    <n v="151.04467600000001"/>
  </r>
  <r>
    <s v="3797"/>
    <s v="Oatley West Public School"/>
    <s v="Oatley"/>
    <s v="Georges River"/>
    <s v="Sydney - Inner South West"/>
    <x v="0"/>
    <x v="0"/>
    <s v="Metropolitan South"/>
    <x v="0"/>
    <x v="0"/>
    <s v="Coed"/>
    <n v="519"/>
    <n v="2"/>
    <s v="Published"/>
    <n v="10.38"/>
    <n v="53"/>
    <n v="1132"/>
    <x v="0"/>
    <n v="15"/>
    <x v="0"/>
    <n v="-33.979005999999998"/>
    <n v="151.065459"/>
  </r>
  <r>
    <s v="3798"/>
    <s v="New Lambton South Public School"/>
    <s v="New Lambton"/>
    <s v="Newcastle"/>
    <s v="Newcastle and Lake Macquarie"/>
    <x v="0"/>
    <x v="0"/>
    <s v="Regional North"/>
    <x v="0"/>
    <x v="0"/>
    <s v="Coed"/>
    <n v="462"/>
    <n v="4"/>
    <s v="Published"/>
    <n v="18.48"/>
    <n v="18"/>
    <n v="1095"/>
    <x v="3"/>
    <n v="37"/>
    <x v="0"/>
    <n v="-32.931486999999997"/>
    <n v="151.717578"/>
  </r>
  <r>
    <s v="3808"/>
    <s v="Chullora Public School"/>
    <s v="Greenacre"/>
    <s v="Canterbury-Bankstown"/>
    <s v="Sydney - Inner South West"/>
    <x v="0"/>
    <x v="0"/>
    <s v="Metropolitan South"/>
    <x v="0"/>
    <x v="0"/>
    <s v="Coed"/>
    <n v="430"/>
    <m/>
    <s v="Suppressed"/>
    <s v=""/>
    <n v="100"/>
    <n v="965"/>
    <x v="2"/>
    <n v="138"/>
    <x v="0"/>
    <n v="-33.895370999999997"/>
    <n v="151.060249"/>
  </r>
  <r>
    <s v="3820"/>
    <s v="Tarrawanna Public School"/>
    <s v="Tarrawanna"/>
    <s v="Wollongong"/>
    <s v="Illawarra"/>
    <x v="0"/>
    <x v="0"/>
    <s v="Regional South and Connected Communities"/>
    <x v="0"/>
    <x v="0"/>
    <s v="Coed"/>
    <n v="164"/>
    <n v="16"/>
    <s v="Published"/>
    <n v="26.240000000000002"/>
    <n v="20"/>
    <n v="982"/>
    <x v="2"/>
    <n v="97"/>
    <x v="1"/>
    <n v="-34.380763999999999"/>
    <n v="150.89024599999999"/>
  </r>
  <r>
    <s v="3822"/>
    <s v="Sutherland North Public School"/>
    <s v="Sutherland"/>
    <s v="Sutherland"/>
    <s v="Sydney - Sutherland"/>
    <x v="0"/>
    <x v="0"/>
    <s v="Metropolitan South and West"/>
    <x v="0"/>
    <x v="0"/>
    <s v="Coed"/>
    <n v="225"/>
    <m/>
    <s v="Suppressed"/>
    <s v=""/>
    <n v="23"/>
    <n v="1073"/>
    <x v="3"/>
    <n v="51"/>
    <x v="1"/>
    <n v="-34.026784999999997"/>
    <n v="151.06708399999999"/>
  </r>
  <r>
    <s v="3824"/>
    <s v="Bathurst West Public School"/>
    <s v="Bathurst"/>
    <s v="Bathurst"/>
    <s v="Central West"/>
    <x v="1"/>
    <x v="1"/>
    <s v="Regional North and West"/>
    <x v="0"/>
    <x v="0"/>
    <s v="Coed"/>
    <n v="515"/>
    <n v="25"/>
    <s v="Published"/>
    <n v="128.75"/>
    <n v="9"/>
    <n v="927"/>
    <x v="2"/>
    <n v="127"/>
    <x v="0"/>
    <n v="-33.411002000000003"/>
    <n v="149.55974599999999"/>
  </r>
  <r>
    <s v="3826"/>
    <s v="Gwynneville Public School"/>
    <s v="Gwynneville"/>
    <s v="Wollongong"/>
    <s v="Illawarra"/>
    <x v="0"/>
    <x v="0"/>
    <s v="Regional South and Connected Communities"/>
    <x v="0"/>
    <x v="0"/>
    <s v="Coed"/>
    <n v="271"/>
    <n v="5"/>
    <s v="Published"/>
    <n v="13.55"/>
    <n v="59"/>
    <n v="1065"/>
    <x v="3"/>
    <n v="65"/>
    <x v="1"/>
    <n v="-34.417233000000003"/>
    <n v="150.87936400000001"/>
  </r>
  <r>
    <s v="3827"/>
    <s v="Narraweena Public School"/>
    <s v="NARRAWEENA"/>
    <s v="Northern Beaches"/>
    <s v="Sydney - Northern Beaches"/>
    <x v="0"/>
    <x v="0"/>
    <s v="Metropolitan North"/>
    <x v="0"/>
    <x v="0"/>
    <s v="Coed"/>
    <n v="511"/>
    <n v="3"/>
    <s v="Published"/>
    <n v="15.33"/>
    <n v="25"/>
    <n v="1059"/>
    <x v="3"/>
    <n v="60"/>
    <x v="0"/>
    <n v="-33.749200000000002"/>
    <n v="151.273639"/>
  </r>
  <r>
    <s v="3829"/>
    <s v="Jannali Public School"/>
    <s v="JANNALI"/>
    <s v="Sutherland"/>
    <s v="Sydney - Sutherland"/>
    <x v="0"/>
    <x v="0"/>
    <s v="Metropolitan South and West"/>
    <x v="0"/>
    <x v="0"/>
    <s v="Coed"/>
    <n v="139"/>
    <m/>
    <s v="Suppressed"/>
    <s v=""/>
    <n v="23"/>
    <n v="1062"/>
    <x v="3"/>
    <n v="66"/>
    <x v="1"/>
    <n v="-34.017944999999997"/>
    <n v="151.06090900000001"/>
  </r>
  <r>
    <s v="3830"/>
    <s v="Ramsgate Public School"/>
    <s v="Ramsgate"/>
    <s v="Bayside (NSW)"/>
    <s v="Sydney - Inner South West"/>
    <x v="0"/>
    <x v="0"/>
    <s v="Metropolitan South"/>
    <x v="0"/>
    <x v="0"/>
    <s v="Coed"/>
    <n v="447"/>
    <n v="3"/>
    <s v="Published"/>
    <n v="13.41"/>
    <n v="63"/>
    <n v="1039"/>
    <x v="3"/>
    <n v="71"/>
    <x v="0"/>
    <n v="-33.981431000000001"/>
    <n v="151.14354900000001"/>
  </r>
  <r>
    <s v="3831"/>
    <s v="Chalmers Road School"/>
    <s v="Strathfield"/>
    <s v="Strathfield"/>
    <s v="Sydney - Inner West"/>
    <x v="0"/>
    <x v="0"/>
    <s v="Metropolitan South"/>
    <x v="2"/>
    <x v="0"/>
    <s v="Coed"/>
    <n v="79"/>
    <m/>
    <s v="Suppressed"/>
    <s v=""/>
    <n v="89"/>
    <n v="1006"/>
    <x v="3"/>
    <n v="114"/>
    <x v="2"/>
    <n v="-33.879568999999996"/>
    <n v="151.081613"/>
  </r>
  <r>
    <s v="3833"/>
    <s v="Wahroonga Public School"/>
    <s v="Wahroonga"/>
    <s v="Ku-ring-gai"/>
    <s v="Sydney - North Sydney and Hornsby"/>
    <x v="0"/>
    <x v="0"/>
    <s v="Metropolitan North"/>
    <x v="0"/>
    <x v="0"/>
    <s v="Coed"/>
    <n v="508"/>
    <n v="1"/>
    <s v="Published"/>
    <n v="5.08"/>
    <n v="46"/>
    <n v="1156"/>
    <x v="0"/>
    <n v="4"/>
    <x v="0"/>
    <n v="-33.715583000000002"/>
    <n v="151.12847600000001"/>
  </r>
  <r>
    <s v="3840"/>
    <s v="Parramatta East Public School"/>
    <s v="Parramatta"/>
    <s v="Parramatta"/>
    <s v="Sydney - Parramatta"/>
    <x v="0"/>
    <x v="0"/>
    <s v="Metropolitan South"/>
    <x v="0"/>
    <x v="0"/>
    <s v="Coed"/>
    <n v="465"/>
    <m/>
    <s v="Suppressed"/>
    <s v=""/>
    <n v="79"/>
    <n v="1091"/>
    <x v="3"/>
    <n v="34"/>
    <x v="0"/>
    <n v="-33.806080999999999"/>
    <n v="151.01776599999999"/>
  </r>
  <r>
    <s v="3846"/>
    <s v="Melrose Park Public School"/>
    <s v="West Ryde"/>
    <s v="Parramatta"/>
    <s v="Sydney - Parramatta"/>
    <x v="0"/>
    <x v="0"/>
    <s v="Metropolitan North"/>
    <x v="0"/>
    <x v="0"/>
    <s v="Coed"/>
    <n v="163"/>
    <m/>
    <s v="Suppressed"/>
    <s v=""/>
    <n v="59"/>
    <n v="1087"/>
    <x v="3"/>
    <n v="40"/>
    <x v="1"/>
    <n v="-33.814849000000002"/>
    <n v="151.07193899999999"/>
  </r>
  <r>
    <s v="3847"/>
    <s v="Bathurst South Public School"/>
    <s v="Bathurst"/>
    <s v="Bathurst"/>
    <s v="Central West"/>
    <x v="1"/>
    <x v="1"/>
    <s v="Regional North and West"/>
    <x v="0"/>
    <x v="0"/>
    <s v="Coed"/>
    <n v="184"/>
    <n v="16"/>
    <s v="Published"/>
    <n v="29.44"/>
    <n v="8"/>
    <n v="936"/>
    <x v="2"/>
    <n v="125"/>
    <x v="1"/>
    <n v="-33.432988999999999"/>
    <n v="149.568873"/>
  </r>
  <r>
    <s v="3851"/>
    <s v="Wallsend South Public School"/>
    <s v="Wallsend"/>
    <s v="Newcastle"/>
    <s v="Newcastle and Lake Macquarie"/>
    <x v="0"/>
    <x v="0"/>
    <s v="Regional North"/>
    <x v="0"/>
    <x v="0"/>
    <s v="Coed"/>
    <n v="583"/>
    <n v="9"/>
    <s v="Published"/>
    <n v="52.47"/>
    <n v="22"/>
    <n v="1083"/>
    <x v="3"/>
    <n v="41"/>
    <x v="0"/>
    <n v="-32.920074999999997"/>
    <n v="151.675241"/>
  </r>
  <r>
    <s v="3854"/>
    <s v="Hazelbrook Public School"/>
    <s v="Hazelbrook"/>
    <s v="Blue Mountains"/>
    <s v="Sydney - Outer West and Blue Mountains"/>
    <x v="0"/>
    <x v="0"/>
    <s v="Regional North"/>
    <x v="0"/>
    <x v="0"/>
    <s v="Coed"/>
    <n v="356"/>
    <n v="6"/>
    <s v="Published"/>
    <n v="21.36"/>
    <n v="12"/>
    <n v="1044"/>
    <x v="3"/>
    <n v="71"/>
    <x v="0"/>
    <n v="-33.726554"/>
    <n v="150.45939899999999"/>
  </r>
  <r>
    <s v="3855"/>
    <s v="Turramurra Public School"/>
    <s v="Turramurra"/>
    <s v="Ku-ring-gai"/>
    <s v="Sydney - North Sydney and Hornsby"/>
    <x v="0"/>
    <x v="0"/>
    <s v="Metropolitan North"/>
    <x v="0"/>
    <x v="0"/>
    <s v="Coed"/>
    <n v="531"/>
    <m/>
    <s v="Suppressed"/>
    <s v=""/>
    <n v="40"/>
    <n v="1181"/>
    <x v="0"/>
    <n v="0"/>
    <x v="0"/>
    <n v="-33.745258"/>
    <n v="151.114305"/>
  </r>
  <r>
    <s v="3856"/>
    <s v="Wyrallah Road Public School"/>
    <s v="Lismore"/>
    <s v="Lismore"/>
    <s v="Richmond - Tweed"/>
    <x v="1"/>
    <x v="1"/>
    <s v="Rural North"/>
    <x v="0"/>
    <x v="0"/>
    <s v="Coed"/>
    <n v="350"/>
    <n v="17"/>
    <s v="Published"/>
    <n v="59.500000000000007"/>
    <n v="15"/>
    <n v="947"/>
    <x v="2"/>
    <n v="113"/>
    <x v="0"/>
    <n v="-28.830300999999999"/>
    <n v="153.293261"/>
  </r>
  <r>
    <s v="3860"/>
    <s v="Oak Flats Public School"/>
    <s v="Oak Flats"/>
    <s v="Shellharbour"/>
    <s v="Illawarra"/>
    <x v="0"/>
    <x v="0"/>
    <s v="Regional South and Connected Communities"/>
    <x v="0"/>
    <x v="0"/>
    <s v="Coed"/>
    <n v="416"/>
    <n v="12"/>
    <s v="Published"/>
    <n v="49.92"/>
    <n v="9"/>
    <n v="959"/>
    <x v="2"/>
    <n v="113"/>
    <x v="0"/>
    <n v="-34.562570000000001"/>
    <n v="150.81754599999999"/>
  </r>
  <r>
    <s v="3862"/>
    <s v="Denistone East Public School"/>
    <s v="Eastwood"/>
    <s v="Ryde"/>
    <s v="Sydney - Ryde"/>
    <x v="0"/>
    <x v="0"/>
    <s v="Metropolitan North"/>
    <x v="0"/>
    <x v="0"/>
    <s v="Coed"/>
    <n v="790"/>
    <m/>
    <s v="Suppressed"/>
    <s v=""/>
    <n v="86"/>
    <n v="1127"/>
    <x v="0"/>
    <n v="19"/>
    <x v="3"/>
    <n v="-33.7943"/>
    <n v="151.09657100000001"/>
  </r>
  <r>
    <s v="3863"/>
    <s v="Meadowbank Public School"/>
    <s v="MEADOWBANK"/>
    <s v="Ryde"/>
    <s v="Sydney - Ryde"/>
    <x v="0"/>
    <x v="0"/>
    <s v="Metropolitan North"/>
    <x v="0"/>
    <x v="0"/>
    <s v="Coed"/>
    <n v="642"/>
    <m/>
    <s v="Suppressed"/>
    <s v=""/>
    <n v="89"/>
    <n v="1095"/>
    <x v="3"/>
    <n v="21"/>
    <x v="3"/>
    <n v="-33.812899999999999"/>
    <n v="151.09209999999999"/>
  </r>
  <r>
    <s v="3864"/>
    <s v="Uralla Central School"/>
    <s v="Uralla"/>
    <s v="Uralla"/>
    <s v="New England and North West"/>
    <x v="1"/>
    <x v="1"/>
    <s v="Rural North"/>
    <x v="1"/>
    <x v="0"/>
    <s v="Coed"/>
    <n v="264"/>
    <n v="31"/>
    <s v="Published"/>
    <n v="81.84"/>
    <n v="8"/>
    <n v="901"/>
    <x v="2"/>
    <n v="129"/>
    <x v="1"/>
    <n v="-30.641511000000001"/>
    <n v="151.494437"/>
  </r>
  <r>
    <s v="3866"/>
    <s v="Towradgi Public School"/>
    <s v="Fairy Meadow"/>
    <s v="Wollongong"/>
    <s v="Illawarra"/>
    <x v="0"/>
    <x v="0"/>
    <s v="Regional South and Connected Communities"/>
    <x v="0"/>
    <x v="0"/>
    <s v="Coed"/>
    <n v="134"/>
    <n v="7"/>
    <s v="Published"/>
    <n v="9.3800000000000008"/>
    <n v="34"/>
    <n v="1031"/>
    <x v="3"/>
    <n v="92"/>
    <x v="1"/>
    <n v="-34.388936999999999"/>
    <n v="150.89996600000001"/>
  </r>
  <r>
    <s v="3867"/>
    <s v="Lake Illawarra South Public School"/>
    <s v="LAKE ILLAWARRA"/>
    <s v="Shellharbour"/>
    <s v="Illawarra"/>
    <x v="0"/>
    <x v="0"/>
    <s v="Regional South and Connected Communities"/>
    <x v="0"/>
    <x v="0"/>
    <s v="Coed"/>
    <n v="177"/>
    <n v="14"/>
    <s v="Published"/>
    <n v="24.78"/>
    <n v="18"/>
    <n v="954"/>
    <x v="2"/>
    <n v="116"/>
    <x v="1"/>
    <n v="-34.539523000000003"/>
    <n v="150.85930200000001"/>
  </r>
  <r>
    <s v="3869"/>
    <s v="Yagoona Public School"/>
    <s v="Yagoona"/>
    <s v="Canterbury-Bankstown"/>
    <s v="Sydney - Inner South West"/>
    <x v="0"/>
    <x v="0"/>
    <s v="Metropolitan South"/>
    <x v="0"/>
    <x v="0"/>
    <s v="Coed"/>
    <n v="556"/>
    <n v="2"/>
    <s v="Published"/>
    <n v="11.120000000000001"/>
    <n v="94"/>
    <n v="986"/>
    <x v="2"/>
    <n v="117"/>
    <x v="0"/>
    <n v="-33.909174"/>
    <n v="151.02671599999999"/>
  </r>
  <r>
    <s v="3871"/>
    <s v="Wattle Grove Public School"/>
    <s v="Wattle Grove"/>
    <s v="Liverpool"/>
    <s v="Sydney - South West"/>
    <x v="0"/>
    <x v="0"/>
    <s v="Metropolitan South and West"/>
    <x v="0"/>
    <x v="0"/>
    <s v="Coed"/>
    <n v="427"/>
    <n v="6"/>
    <s v="Published"/>
    <n v="25.619999999999997"/>
    <n v="31"/>
    <n v="1035"/>
    <x v="3"/>
    <n v="78"/>
    <x v="0"/>
    <n v="-33.958654000000003"/>
    <n v="150.93748199999999"/>
  </r>
  <r>
    <s v="3872"/>
    <s v="Greenwell Point Public School"/>
    <s v="Greenwell Point"/>
    <s v="Shoalhaven"/>
    <s v="Southern Highlands and Shoalhaven"/>
    <x v="1"/>
    <x v="1"/>
    <s v="Regional South and Connected Communities"/>
    <x v="0"/>
    <x v="0"/>
    <s v="Coed"/>
    <n v="106"/>
    <n v="23"/>
    <s v="Published"/>
    <n v="24.380000000000003"/>
    <n v="9"/>
    <n v="943"/>
    <x v="2"/>
    <n v="119"/>
    <x v="1"/>
    <n v="-34.907445000000003"/>
    <n v="150.73039600000001"/>
  </r>
  <r>
    <s v="3873"/>
    <s v="Dobroyd Point Public School"/>
    <s v="Haberfield"/>
    <s v="Inner West"/>
    <s v="Sydney - Inner West"/>
    <x v="0"/>
    <x v="0"/>
    <s v="Metropolitan South"/>
    <x v="0"/>
    <x v="0"/>
    <s v="Coed"/>
    <n v="116"/>
    <m/>
    <s v="Suppressed"/>
    <s v=""/>
    <n v="28"/>
    <n v="1149"/>
    <x v="0"/>
    <n v="13"/>
    <x v="1"/>
    <n v="-33.874415999999997"/>
    <n v="151.140692"/>
  </r>
  <r>
    <s v="3874"/>
    <s v="Kahibah Public School"/>
    <s v="Kahibah"/>
    <s v="Lake Macquarie"/>
    <s v="Newcastle and Lake Macquarie"/>
    <x v="0"/>
    <x v="0"/>
    <s v="Regional North"/>
    <x v="0"/>
    <x v="0"/>
    <s v="Coed"/>
    <n v="291"/>
    <n v="5"/>
    <s v="Published"/>
    <n v="14.55"/>
    <n v="9"/>
    <n v="1076"/>
    <x v="3"/>
    <n v="43"/>
    <x v="1"/>
    <n v="-32.964902000000002"/>
    <n v="151.71360799999999"/>
  </r>
  <r>
    <s v="3875"/>
    <s v="Narwee Public School"/>
    <s v="Narwee"/>
    <s v="Canterbury-Bankstown"/>
    <s v="Sydney - Inner South West"/>
    <x v="0"/>
    <x v="0"/>
    <s v="Metropolitan South"/>
    <x v="0"/>
    <x v="0"/>
    <s v="Coed"/>
    <n v="246"/>
    <n v="7"/>
    <s v="Published"/>
    <n v="17.220000000000002"/>
    <n v="67"/>
    <n v="1001"/>
    <x v="3"/>
    <n v="102"/>
    <x v="1"/>
    <n v="-33.948186"/>
    <n v="151.06864999999999"/>
  </r>
  <r>
    <s v="3876"/>
    <s v="Muswellbrook South Public School"/>
    <s v="Muswellbrook"/>
    <s v="Muswellbrook"/>
    <s v="Hunter Valley exc Newcastle"/>
    <x v="1"/>
    <x v="1"/>
    <s v="Regional North and West"/>
    <x v="0"/>
    <x v="0"/>
    <s v="Coed"/>
    <n v="439"/>
    <n v="46"/>
    <s v="Published"/>
    <n v="201.94"/>
    <n v="6"/>
    <n v="819"/>
    <x v="1"/>
    <n v="168"/>
    <x v="0"/>
    <n v="-32.274182000000003"/>
    <n v="150.891943"/>
  </r>
  <r>
    <s v="3877"/>
    <s v="Corrimal East Public School"/>
    <s v="East Corrimal"/>
    <s v="Wollongong"/>
    <s v="Illawarra"/>
    <x v="0"/>
    <x v="0"/>
    <s v="Regional South and Connected Communities"/>
    <x v="0"/>
    <x v="0"/>
    <s v="Coed"/>
    <n v="297"/>
    <n v="6"/>
    <s v="Published"/>
    <n v="17.82"/>
    <n v="14"/>
    <n v="1046"/>
    <x v="3"/>
    <n v="70"/>
    <x v="1"/>
    <n v="-34.377988000000002"/>
    <n v="150.906532"/>
  </r>
  <r>
    <s v="3881"/>
    <s v="Mount St Thomas Public School"/>
    <s v="Wollongong"/>
    <s v="Wollongong"/>
    <s v="Illawarra"/>
    <x v="0"/>
    <x v="0"/>
    <s v="Regional South and Connected Communities"/>
    <x v="0"/>
    <x v="0"/>
    <s v="Coed"/>
    <n v="354"/>
    <n v="5"/>
    <s v="Published"/>
    <n v="17.7"/>
    <n v="18"/>
    <n v="1070"/>
    <x v="3"/>
    <n v="57"/>
    <x v="0"/>
    <n v="-34.436911000000002"/>
    <n v="150.870048"/>
  </r>
  <r>
    <s v="3882"/>
    <s v="Tamworth South Public School"/>
    <s v="Tamworth"/>
    <s v="Tamworth"/>
    <s v="New England and North West"/>
    <x v="1"/>
    <x v="1"/>
    <s v="Rural North"/>
    <x v="0"/>
    <x v="0"/>
    <s v="Coed"/>
    <n v="477"/>
    <n v="46"/>
    <s v="Published"/>
    <n v="219.42000000000002"/>
    <n v="9"/>
    <n v="828"/>
    <x v="1"/>
    <n v="169"/>
    <x v="0"/>
    <n v="-31.105062"/>
    <n v="150.91170099999999"/>
  </r>
  <r>
    <s v="3883"/>
    <s v="Westmead Public School"/>
    <s v="Westmead"/>
    <s v="Cumberland"/>
    <s v="Sydney - Parramatta"/>
    <x v="0"/>
    <x v="0"/>
    <s v="Metropolitan South"/>
    <x v="0"/>
    <x v="0"/>
    <s v="Coed"/>
    <n v="717"/>
    <n v="1"/>
    <s v="Published"/>
    <n v="7.17"/>
    <n v="96"/>
    <n v="1117"/>
    <x v="0"/>
    <n v="16"/>
    <x v="3"/>
    <n v="-33.810170999999997"/>
    <n v="150.98529099999999"/>
  </r>
  <r>
    <s v="3885"/>
    <s v="Mount Colah Public School"/>
    <s v="Mount Colah"/>
    <s v="Hornsby"/>
    <s v="Sydney - North Sydney and Hornsby"/>
    <x v="0"/>
    <x v="0"/>
    <s v="Regional North"/>
    <x v="0"/>
    <x v="0"/>
    <s v="Coed"/>
    <n v="442"/>
    <n v="2"/>
    <s v="Published"/>
    <n v="8.84"/>
    <n v="32"/>
    <n v="1098"/>
    <x v="3"/>
    <n v="39"/>
    <x v="0"/>
    <n v="-33.672947000000001"/>
    <n v="151.11569499999999"/>
  </r>
  <r>
    <s v="3886"/>
    <s v="McCallums Hill Public School"/>
    <s v="Roselands"/>
    <s v="Canterbury-Bankstown"/>
    <s v="Sydney - Inner South West"/>
    <x v="0"/>
    <x v="0"/>
    <s v="Metropolitan South"/>
    <x v="0"/>
    <x v="0"/>
    <s v="Coed"/>
    <n v="330"/>
    <n v="4"/>
    <s v="Published"/>
    <n v="13.200000000000001"/>
    <n v="85"/>
    <n v="1001"/>
    <x v="3"/>
    <n v="97"/>
    <x v="0"/>
    <n v="-33.934891"/>
    <n v="151.08475799999999"/>
  </r>
  <r>
    <s v="3890"/>
    <s v="Cooma North Public School"/>
    <s v="Cooma North"/>
    <s v="Snowy Monaro"/>
    <s v="Capital Region"/>
    <x v="1"/>
    <x v="1"/>
    <s v="Rural South and West"/>
    <x v="0"/>
    <x v="0"/>
    <s v="Coed"/>
    <n v="227"/>
    <n v="14"/>
    <s v="Published"/>
    <n v="31.780000000000005"/>
    <n v="7"/>
    <n v="955"/>
    <x v="2"/>
    <n v="111"/>
    <x v="1"/>
    <n v="-36.217908000000001"/>
    <n v="149.13057599999999"/>
  </r>
  <r>
    <s v="3893"/>
    <s v="Windale Public School"/>
    <s v="Windale"/>
    <s v="Lake Macquarie"/>
    <s v="Newcastle and Lake Macquarie"/>
    <x v="0"/>
    <x v="0"/>
    <s v="Regional North"/>
    <x v="0"/>
    <x v="0"/>
    <s v="Coed"/>
    <n v="252"/>
    <n v="46"/>
    <s v="Published"/>
    <n v="115.92"/>
    <n v="9"/>
    <n v="793"/>
    <x v="1"/>
    <n v="203"/>
    <x v="1"/>
    <n v="-32.992372000000003"/>
    <n v="151.678338"/>
  </r>
  <r>
    <s v="3895"/>
    <s v="Cardiff South Public School"/>
    <s v="Cardiff South"/>
    <s v="Lake Macquarie"/>
    <s v="Newcastle and Lake Macquarie"/>
    <x v="0"/>
    <x v="0"/>
    <s v="Regional North"/>
    <x v="0"/>
    <x v="0"/>
    <s v="Coed"/>
    <n v="298"/>
    <n v="13"/>
    <s v="Published"/>
    <n v="38.74"/>
    <n v="14"/>
    <n v="1017"/>
    <x v="3"/>
    <n v="82"/>
    <x v="1"/>
    <n v="-32.953105999999998"/>
    <n v="151.66521"/>
  </r>
  <r>
    <s v="3896"/>
    <s v="Como West Public School"/>
    <s v="Como"/>
    <s v="Sutherland"/>
    <s v="Sydney - Sutherland"/>
    <x v="0"/>
    <x v="0"/>
    <s v="Metropolitan South and West"/>
    <x v="0"/>
    <x v="0"/>
    <s v="Coed"/>
    <n v="275"/>
    <m/>
    <s v="Suppressed"/>
    <s v=""/>
    <n v="18"/>
    <n v="1109"/>
    <x v="0"/>
    <n v="31"/>
    <x v="1"/>
    <n v="-34.004744000000002"/>
    <n v="151.06050500000001"/>
  </r>
  <r>
    <s v="3897"/>
    <s v="Hamilton North Public School"/>
    <s v="Hamilton North"/>
    <s v="Newcastle"/>
    <s v="Newcastle and Lake Macquarie"/>
    <x v="0"/>
    <x v="0"/>
    <s v="Regional North"/>
    <x v="0"/>
    <x v="0"/>
    <s v="Coed"/>
    <n v="123"/>
    <n v="12"/>
    <s v="Published"/>
    <n v="14.76"/>
    <n v="7"/>
    <n v="1030"/>
    <x v="3"/>
    <n v="73"/>
    <x v="1"/>
    <n v="-32.917442000000001"/>
    <n v="151.734207"/>
  </r>
  <r>
    <s v="3898"/>
    <s v="Marks Point Public School"/>
    <s v="Marks Point"/>
    <s v="Lake Macquarie"/>
    <s v="Newcastle and Lake Macquarie"/>
    <x v="0"/>
    <x v="0"/>
    <s v="Regional North"/>
    <x v="0"/>
    <x v="0"/>
    <s v="Coed"/>
    <n v="141"/>
    <n v="25"/>
    <s v="Published"/>
    <n v="35.25"/>
    <n v="8"/>
    <n v="935"/>
    <x v="2"/>
    <n v="121"/>
    <x v="1"/>
    <n v="-33.057485999999997"/>
    <n v="151.65013099999999"/>
  </r>
  <r>
    <s v="3903"/>
    <s v="Glen Alice Public School"/>
    <s v="Glen Alice"/>
    <s v="Lithgow"/>
    <s v="Central West"/>
    <x v="2"/>
    <x v="2"/>
    <s v="Regional North and West"/>
    <x v="0"/>
    <x v="0"/>
    <s v="Coed"/>
    <n v="6"/>
    <m/>
    <s v="Suppressed"/>
    <s v=""/>
    <n v="0"/>
    <n v="908"/>
    <x v="2"/>
    <n v="151"/>
    <x v="2"/>
    <n v="-33.040622999999997"/>
    <n v="150.21472700000001"/>
  </r>
  <r>
    <s v="3904"/>
    <s v="Argenton Public School"/>
    <s v="ARGENTON"/>
    <s v="Lake Macquarie"/>
    <s v="Newcastle and Lake Macquarie"/>
    <x v="0"/>
    <x v="0"/>
    <s v="Regional North"/>
    <x v="0"/>
    <x v="0"/>
    <s v="Coed"/>
    <n v="46"/>
    <n v="22"/>
    <s v="Published"/>
    <n v="10.119999999999999"/>
    <m/>
    <n v="934"/>
    <x v="2"/>
    <n v="130"/>
    <x v="2"/>
    <n v="-32.938493000000001"/>
    <n v="151.62953300000001"/>
  </r>
  <r>
    <s v="3905"/>
    <s v="Pagewood Public School"/>
    <s v="Botany"/>
    <s v="Bayside (NSW)"/>
    <s v="Sydney - City and Inner South"/>
    <x v="0"/>
    <x v="0"/>
    <s v="Metropolitan South"/>
    <x v="0"/>
    <x v="0"/>
    <s v="Coed"/>
    <n v="207"/>
    <n v="3"/>
    <s v="Published"/>
    <n v="6.21"/>
    <n v="47"/>
    <n v="1085"/>
    <x v="3"/>
    <n v="34"/>
    <x v="1"/>
    <n v="-33.942104"/>
    <n v="151.21417199999999"/>
  </r>
  <r>
    <s v="3906"/>
    <s v="Narrabeen North Public School"/>
    <s v="NORTH NARRABEEN"/>
    <s v="Northern Beaches"/>
    <s v="Sydney - Northern Beaches"/>
    <x v="0"/>
    <x v="0"/>
    <s v="Metropolitan North"/>
    <x v="0"/>
    <x v="0"/>
    <s v="Coed"/>
    <n v="580"/>
    <n v="2"/>
    <s v="Published"/>
    <n v="11.6"/>
    <n v="17"/>
    <n v="1076"/>
    <x v="3"/>
    <n v="49"/>
    <x v="0"/>
    <n v="-33.699095"/>
    <n v="151.298134"/>
  </r>
  <r>
    <s v="3908"/>
    <s v="Lane Cove West Public School"/>
    <s v="Lane Cove"/>
    <s v="Lane Cove"/>
    <s v="Sydney - North Sydney and Hornsby"/>
    <x v="0"/>
    <x v="0"/>
    <s v="Metropolitan North"/>
    <x v="0"/>
    <x v="0"/>
    <s v="Coed"/>
    <n v="474"/>
    <m/>
    <s v="Suppressed"/>
    <s v=""/>
    <n v="41"/>
    <n v="1163"/>
    <x v="0"/>
    <n v="2"/>
    <x v="0"/>
    <n v="-33.809885999999999"/>
    <n v="151.15200300000001"/>
  </r>
  <r>
    <s v="3909"/>
    <s v="Taree West Public School"/>
    <s v="Taree"/>
    <s v="Mid-Coast"/>
    <s v="Mid North Coast"/>
    <x v="1"/>
    <x v="1"/>
    <s v="Regional North and West"/>
    <x v="0"/>
    <x v="0"/>
    <s v="Coed"/>
    <n v="409"/>
    <n v="32"/>
    <s v="Published"/>
    <n v="130.88"/>
    <n v="13"/>
    <n v="910"/>
    <x v="2"/>
    <n v="124"/>
    <x v="0"/>
    <n v="-31.907599000000001"/>
    <n v="152.444547"/>
  </r>
  <r>
    <s v="3912"/>
    <s v="Palinyewah Public School"/>
    <s v="ELLERSLIE"/>
    <s v="Wentworth"/>
    <s v="Murray"/>
    <x v="3"/>
    <x v="3"/>
    <s v="Rural South and West"/>
    <x v="0"/>
    <x v="0"/>
    <s v="Coed"/>
    <n v="20"/>
    <n v="0"/>
    <s v="Published"/>
    <n v="0"/>
    <n v="0"/>
    <n v="967"/>
    <x v="2"/>
    <n v="132"/>
    <x v="2"/>
    <n v="-33.845011"/>
    <n v="142.01274100000001"/>
  </r>
  <r>
    <s v="3914"/>
    <s v="Grays Point Public School"/>
    <s v="Grays Point"/>
    <s v="Sutherland"/>
    <s v="Sydney - Sutherland"/>
    <x v="0"/>
    <x v="0"/>
    <s v="Metropolitan South and West"/>
    <x v="0"/>
    <x v="0"/>
    <s v="Coed"/>
    <n v="353"/>
    <n v="2"/>
    <s v="Published"/>
    <n v="7.0600000000000005"/>
    <n v="16"/>
    <n v="1113"/>
    <x v="0"/>
    <n v="31"/>
    <x v="0"/>
    <n v="-34.058655999999999"/>
    <n v="151.07230000000001"/>
  </r>
  <r>
    <s v="3918"/>
    <s v="Killara Public School"/>
    <s v="Killara"/>
    <s v="Ku-ring-gai"/>
    <s v="Sydney - North Sydney and Hornsby"/>
    <x v="0"/>
    <x v="0"/>
    <s v="Metropolitan North"/>
    <x v="0"/>
    <x v="0"/>
    <s v="Coed"/>
    <n v="273"/>
    <n v="0"/>
    <s v="Published"/>
    <n v="0"/>
    <n v="73"/>
    <n v="1148"/>
    <x v="0"/>
    <n v="0"/>
    <x v="1"/>
    <n v="-33.765473"/>
    <n v="151.148436"/>
  </r>
  <r>
    <s v="3919"/>
    <s v="Castle Cove Public School"/>
    <s v="Castle Cove"/>
    <s v="Willoughby"/>
    <s v="Sydney - North Sydney and Hornsby"/>
    <x v="0"/>
    <x v="0"/>
    <s v="Metropolitan North"/>
    <x v="0"/>
    <x v="0"/>
    <s v="Coed"/>
    <n v="273"/>
    <m/>
    <s v="Suppressed"/>
    <s v=""/>
    <n v="37"/>
    <n v="1167"/>
    <x v="0"/>
    <n v="0"/>
    <x v="1"/>
    <n v="-33.783374999999999"/>
    <n v="151.20197300000001"/>
  </r>
  <r>
    <s v="3922"/>
    <s v="Albury North Public School"/>
    <s v="Albury"/>
    <s v="Albury"/>
    <s v="Murray"/>
    <x v="1"/>
    <x v="1"/>
    <s v="Rural South and West"/>
    <x v="0"/>
    <x v="0"/>
    <s v="Coed"/>
    <n v="285"/>
    <n v="25"/>
    <s v="Published"/>
    <n v="71.25"/>
    <n v="19"/>
    <n v="893"/>
    <x v="1"/>
    <n v="156"/>
    <x v="1"/>
    <n v="-36.064177000000001"/>
    <n v="146.932402"/>
  </r>
  <r>
    <s v="3923"/>
    <s v="Kapooka Public School"/>
    <s v="Kapooka"/>
    <s v="Wagga Wagga"/>
    <s v="Riverina"/>
    <x v="1"/>
    <x v="1"/>
    <s v="Rural South and West"/>
    <x v="0"/>
    <x v="0"/>
    <s v="Coed"/>
    <n v="52"/>
    <m/>
    <s v="Suppressed"/>
    <s v=""/>
    <n v="0"/>
    <n v="1002"/>
    <x v="3"/>
    <n v="111"/>
    <x v="2"/>
    <n v="-35.150702150000001"/>
    <n v="147.30330559999999"/>
  </r>
  <r>
    <s v="3924"/>
    <s v="East Hills Public School"/>
    <s v="Panania"/>
    <s v="Canterbury-Bankstown"/>
    <s v="Sydney - Inner South West"/>
    <x v="0"/>
    <x v="0"/>
    <s v="Metropolitan South and West"/>
    <x v="0"/>
    <x v="0"/>
    <s v="Coed"/>
    <n v="130"/>
    <n v="5"/>
    <s v="Published"/>
    <n v="6.5"/>
    <n v="68"/>
    <n v="986"/>
    <x v="2"/>
    <n v="115"/>
    <x v="1"/>
    <n v="-33.957953000000003"/>
    <n v="150.991975"/>
  </r>
  <r>
    <s v="3925"/>
    <s v="Curl Curl North Public School"/>
    <s v="North Curl Curl"/>
    <s v="Northern Beaches"/>
    <s v="Sydney - Northern Beaches"/>
    <x v="0"/>
    <x v="0"/>
    <s v="Metropolitan North"/>
    <x v="0"/>
    <x v="0"/>
    <s v="Coed"/>
    <n v="699"/>
    <n v="1"/>
    <s v="Published"/>
    <n v="6.99"/>
    <n v="24"/>
    <n v="1116"/>
    <x v="0"/>
    <n v="24"/>
    <x v="3"/>
    <n v="-33.764639000000003"/>
    <n v="151.28931399999999"/>
  </r>
  <r>
    <s v="3927"/>
    <s v="Belmont North Public School"/>
    <s v="BELMONT NORTH"/>
    <s v="Lake Macquarie"/>
    <s v="Newcastle and Lake Macquarie"/>
    <x v="0"/>
    <x v="0"/>
    <s v="Regional North"/>
    <x v="0"/>
    <x v="0"/>
    <s v="Coed"/>
    <n v="160"/>
    <n v="17"/>
    <s v="Published"/>
    <n v="27.200000000000003"/>
    <n v="7"/>
    <n v="946"/>
    <x v="2"/>
    <n v="127"/>
    <x v="1"/>
    <n v="-33.019973999999998"/>
    <n v="151.671344"/>
  </r>
  <r>
    <s v="3931"/>
    <s v="Seven Hills Public School"/>
    <s v="SEVEN HILLS"/>
    <s v="Blacktown"/>
    <s v="Sydney - Blacktown"/>
    <x v="0"/>
    <x v="0"/>
    <s v="Metropolitan South and West"/>
    <x v="0"/>
    <x v="0"/>
    <s v="Coed"/>
    <n v="131"/>
    <m/>
    <s v="Suppressed"/>
    <s v=""/>
    <n v="65"/>
    <n v="1033"/>
    <x v="3"/>
    <n v="86"/>
    <x v="1"/>
    <n v="-33.770031000000003"/>
    <n v="150.937488"/>
  </r>
  <r>
    <s v="3932"/>
    <s v="Waratah West Public School"/>
    <s v="Waratah West"/>
    <s v="Newcastle"/>
    <s v="Newcastle and Lake Macquarie"/>
    <x v="0"/>
    <x v="0"/>
    <s v="Regional North"/>
    <x v="0"/>
    <x v="0"/>
    <s v="Coed"/>
    <n v="113"/>
    <n v="21"/>
    <s v="Published"/>
    <n v="23.73"/>
    <n v="31"/>
    <n v="963"/>
    <x v="2"/>
    <n v="101"/>
    <x v="1"/>
    <n v="-32.897978999999999"/>
    <n v="151.71625800000001"/>
  </r>
  <r>
    <s v="3935"/>
    <s v="Crown Street Public School"/>
    <s v="Surry Hills"/>
    <s v="Sydney"/>
    <s v="Sydney - City and Inner South"/>
    <x v="0"/>
    <x v="0"/>
    <s v="Metropolitan South"/>
    <x v="0"/>
    <x v="0"/>
    <s v="Coed"/>
    <n v="288"/>
    <m/>
    <s v="Suppressed"/>
    <s v=""/>
    <n v="49"/>
    <n v="1114"/>
    <x v="0"/>
    <n v="24"/>
    <x v="1"/>
    <n v="-33.882252999999999"/>
    <n v="151.21521999999999"/>
  </r>
  <r>
    <s v="3939"/>
    <s v="Mount Hutton Public School"/>
    <s v="Mount Hutton"/>
    <s v="Lake Macquarie"/>
    <s v="Newcastle and Lake Macquarie"/>
    <x v="0"/>
    <x v="0"/>
    <s v="Regional North"/>
    <x v="0"/>
    <x v="0"/>
    <s v="Coed"/>
    <n v="166"/>
    <n v="23"/>
    <s v="Published"/>
    <n v="38.18"/>
    <n v="15"/>
    <n v="940"/>
    <x v="2"/>
    <n v="124"/>
    <x v="1"/>
    <n v="-32.977049000000001"/>
    <n v="151.66862"/>
  </r>
  <r>
    <s v="3943"/>
    <s v="Gordon West Public School"/>
    <s v="Pymble"/>
    <s v="Ku-ring-gai"/>
    <s v="Sydney - North Sydney and Hornsby"/>
    <x v="0"/>
    <x v="0"/>
    <s v="Metropolitan North"/>
    <x v="0"/>
    <x v="0"/>
    <s v="Coed"/>
    <n v="424"/>
    <m/>
    <s v="Suppressed"/>
    <s v=""/>
    <n v="75"/>
    <n v="1150"/>
    <x v="0"/>
    <n v="1"/>
    <x v="0"/>
    <n v="-33.760317999999998"/>
    <n v="151.13922299999999"/>
  </r>
  <r>
    <s v="3944"/>
    <s v="Beverly Hills North Public School"/>
    <s v="Beverly Hills"/>
    <s v="Canterbury-Bankstown"/>
    <s v="Sydney - Inner South West"/>
    <x v="0"/>
    <x v="0"/>
    <s v="Metropolitan South"/>
    <x v="0"/>
    <x v="0"/>
    <s v="Coed"/>
    <n v="352"/>
    <n v="2"/>
    <s v="Published"/>
    <n v="7.04"/>
    <n v="79"/>
    <n v="1030"/>
    <x v="3"/>
    <n v="87"/>
    <x v="0"/>
    <n v="-33.940606000000002"/>
    <n v="151.074837"/>
  </r>
  <r>
    <s v="3945"/>
    <s v="Finley Public School"/>
    <s v="Finley"/>
    <s v="Berrigan"/>
    <s v="Murray"/>
    <x v="1"/>
    <x v="1"/>
    <s v="Rural South and West"/>
    <x v="0"/>
    <x v="0"/>
    <s v="Coed"/>
    <n v="139"/>
    <n v="11"/>
    <s v="Published"/>
    <n v="15.290000000000001"/>
    <n v="5"/>
    <n v="959"/>
    <x v="2"/>
    <n v="108"/>
    <x v="1"/>
    <n v="-35.639398999999997"/>
    <n v="145.57495900000001"/>
  </r>
  <r>
    <s v="3946"/>
    <s v="Maclean Public School"/>
    <s v="Maclean"/>
    <s v="Clarence Valley"/>
    <s v="Coffs Harbour - Grafton"/>
    <x v="1"/>
    <x v="1"/>
    <s v="Rural North"/>
    <x v="0"/>
    <x v="0"/>
    <s v="Coed"/>
    <n v="198"/>
    <n v="30"/>
    <s v="Published"/>
    <n v="59.4"/>
    <n v="11"/>
    <n v="908"/>
    <x v="2"/>
    <n v="119"/>
    <x v="1"/>
    <n v="-29.457217"/>
    <n v="153.20130900000001"/>
  </r>
  <r>
    <s v="3947"/>
    <s v="Quirindi Public School"/>
    <s v="Quirindi"/>
    <s v="Liverpool Plains"/>
    <s v="New England and North West"/>
    <x v="2"/>
    <x v="2"/>
    <s v="Rural North"/>
    <x v="0"/>
    <x v="0"/>
    <s v="Coed"/>
    <n v="277"/>
    <n v="37"/>
    <s v="Published"/>
    <n v="102.49"/>
    <n v="3"/>
    <n v="904"/>
    <x v="2"/>
    <n v="129"/>
    <x v="1"/>
    <n v="-31.497558000000001"/>
    <n v="150.67803499999999"/>
  </r>
  <r>
    <s v="3948"/>
    <s v="Tempe Public School"/>
    <s v="Tempe"/>
    <s v="Inner West"/>
    <s v="Sydney - City and Inner South"/>
    <x v="0"/>
    <x v="0"/>
    <s v="Metropolitan South"/>
    <x v="0"/>
    <x v="0"/>
    <s v="Coed"/>
    <n v="346"/>
    <n v="4"/>
    <s v="Published"/>
    <n v="13.84"/>
    <n v="42"/>
    <n v="1096"/>
    <x v="3"/>
    <n v="34"/>
    <x v="0"/>
    <n v="-33.920935"/>
    <n v="151.16099399999999"/>
  </r>
  <r>
    <s v="3949"/>
    <s v="Maitland Public School"/>
    <s v="MAITLAND"/>
    <s v="Maitland"/>
    <s v="Hunter Valley exc Newcastle"/>
    <x v="0"/>
    <x v="0"/>
    <s v="Regional North and West"/>
    <x v="0"/>
    <x v="0"/>
    <s v="Coed"/>
    <n v="405"/>
    <n v="19"/>
    <s v="Published"/>
    <n v="76.95"/>
    <n v="6"/>
    <n v="936"/>
    <x v="2"/>
    <n v="123"/>
    <x v="0"/>
    <n v="-32.735460000000003"/>
    <n v="151.55330599999999"/>
  </r>
  <r>
    <s v="3950"/>
    <s v="Manly Village Public School"/>
    <s v="Manly"/>
    <s v="Northern Beaches"/>
    <s v="Sydney - Northern Beaches"/>
    <x v="0"/>
    <x v="0"/>
    <s v="Metropolitan North"/>
    <x v="0"/>
    <x v="0"/>
    <s v="Coed"/>
    <n v="532"/>
    <m/>
    <s v="Suppressed"/>
    <s v=""/>
    <n v="39"/>
    <n v="1151"/>
    <x v="0"/>
    <n v="9"/>
    <x v="0"/>
    <n v="-33.799399999999999"/>
    <n v="151.28762699999999"/>
  </r>
  <r>
    <s v="3951"/>
    <s v="Marrickville West Public School"/>
    <s v="Marrickville"/>
    <s v="Inner West"/>
    <s v="Sydney - City and Inner South"/>
    <x v="0"/>
    <x v="0"/>
    <s v="Metropolitan South"/>
    <x v="0"/>
    <x v="0"/>
    <s v="Coed"/>
    <n v="411"/>
    <n v="9"/>
    <s v="Published"/>
    <n v="36.99"/>
    <n v="46"/>
    <n v="1070"/>
    <x v="3"/>
    <n v="46"/>
    <x v="0"/>
    <n v="-33.914467999999999"/>
    <n v="151.145073"/>
  </r>
  <r>
    <s v="3952"/>
    <s v="Marrickville Public School"/>
    <s v="Marrickville"/>
    <s v="Inner West"/>
    <s v="Sydney - City and Inner South"/>
    <x v="0"/>
    <x v="0"/>
    <s v="Metropolitan South"/>
    <x v="0"/>
    <x v="0"/>
    <s v="Coed"/>
    <n v="213"/>
    <n v="6"/>
    <s v="Published"/>
    <n v="12.78"/>
    <n v="34"/>
    <n v="1090"/>
    <x v="3"/>
    <n v="42"/>
    <x v="1"/>
    <n v="-33.906705000000002"/>
    <n v="151.16265799999999"/>
  </r>
  <r>
    <s v="3953"/>
    <s v="Waverley Public School"/>
    <s v="Waverley"/>
    <s v="Waverley"/>
    <s v="Sydney - Eastern Suburbs"/>
    <x v="0"/>
    <x v="0"/>
    <s v="Metropolitan South"/>
    <x v="0"/>
    <x v="0"/>
    <s v="Coed"/>
    <n v="263"/>
    <m/>
    <s v="Suppressed"/>
    <s v=""/>
    <n v="37"/>
    <n v="1150"/>
    <x v="0"/>
    <n v="10"/>
    <x v="1"/>
    <n v="-33.898173999999997"/>
    <n v="151.25153900000001"/>
  </r>
  <r>
    <s v="3954"/>
    <s v="Wollongong Public School"/>
    <s v="WOLLONGONG"/>
    <s v="Wollongong"/>
    <s v="Illawarra"/>
    <x v="0"/>
    <x v="0"/>
    <s v="Regional South and Connected Communities"/>
    <x v="0"/>
    <x v="0"/>
    <s v="Coed"/>
    <n v="579"/>
    <n v="4"/>
    <s v="Published"/>
    <n v="23.16"/>
    <n v="70"/>
    <n v="1084"/>
    <x v="3"/>
    <n v="38"/>
    <x v="0"/>
    <n v="-34.422860999999997"/>
    <n v="150.896726"/>
  </r>
  <r>
    <s v="3956"/>
    <s v="Beaumont Road Public School"/>
    <s v="Killara"/>
    <s v="Ku-ring-gai"/>
    <s v="Sydney - North Sydney and Hornsby"/>
    <x v="0"/>
    <x v="0"/>
    <s v="Metropolitan North"/>
    <x v="0"/>
    <x v="0"/>
    <s v="Coed"/>
    <n v="310"/>
    <m/>
    <s v="Suppressed"/>
    <s v=""/>
    <n v="62"/>
    <n v="1164"/>
    <x v="0"/>
    <n v="1"/>
    <x v="0"/>
    <n v="-33.774289000000003"/>
    <n v="151.14627100000001"/>
  </r>
  <r>
    <s v="3957"/>
    <s v="Woolooware Public School"/>
    <s v="Cronulla"/>
    <s v="Sutherland"/>
    <s v="Sydney - Sutherland"/>
    <x v="0"/>
    <x v="0"/>
    <s v="Metropolitan South and West"/>
    <x v="0"/>
    <x v="0"/>
    <s v="Coed"/>
    <n v="462"/>
    <n v="3"/>
    <s v="Published"/>
    <n v="13.86"/>
    <n v="14"/>
    <n v="1086"/>
    <x v="3"/>
    <n v="45"/>
    <x v="0"/>
    <n v="-34.045453999999999"/>
    <n v="151.146233"/>
  </r>
  <r>
    <s v="3958"/>
    <s v="Padstow Heights Public School"/>
    <s v="Padstow"/>
    <s v="Canterbury-Bankstown"/>
    <s v="Sydney - Inner South West"/>
    <x v="0"/>
    <x v="0"/>
    <s v="Metropolitan South and West"/>
    <x v="0"/>
    <x v="0"/>
    <s v="Coed"/>
    <n v="297"/>
    <n v="2"/>
    <s v="Published"/>
    <n v="5.94"/>
    <n v="53"/>
    <n v="1053"/>
    <x v="3"/>
    <n v="68"/>
    <x v="1"/>
    <n v="-33.966518999999998"/>
    <n v="151.030001"/>
  </r>
  <r>
    <s v="3960"/>
    <s v="Waniora Public School"/>
    <s v="Bulli"/>
    <s v="Wollongong"/>
    <s v="Illawarra"/>
    <x v="0"/>
    <x v="0"/>
    <s v="Regional South and Connected Communities"/>
    <x v="0"/>
    <x v="0"/>
    <s v="Coed"/>
    <n v="264"/>
    <n v="5"/>
    <s v="Published"/>
    <n v="13.200000000000001"/>
    <n v="12"/>
    <n v="1077"/>
    <x v="3"/>
    <n v="51"/>
    <x v="1"/>
    <n v="-34.336784000000002"/>
    <n v="150.91914600000001"/>
  </r>
  <r>
    <s v="3964"/>
    <s v="Figtree Public School"/>
    <s v="FIGTREE"/>
    <s v="Wollongong"/>
    <s v="Illawarra"/>
    <x v="0"/>
    <x v="0"/>
    <s v="Regional South and Connected Communities"/>
    <x v="0"/>
    <x v="0"/>
    <s v="Coed"/>
    <n v="264"/>
    <n v="6"/>
    <s v="Published"/>
    <n v="15.84"/>
    <n v="26"/>
    <n v="1028"/>
    <x v="3"/>
    <n v="81"/>
    <x v="1"/>
    <n v="-34.440840999999999"/>
    <n v="150.854443"/>
  </r>
  <r>
    <s v="3966"/>
    <s v="Blackalls Park Public School"/>
    <s v="Blackalls Park"/>
    <s v="Lake Macquarie"/>
    <s v="Newcastle and Lake Macquarie"/>
    <x v="0"/>
    <x v="0"/>
    <s v="Regional North"/>
    <x v="0"/>
    <x v="0"/>
    <s v="Coed"/>
    <n v="217"/>
    <n v="17"/>
    <s v="Published"/>
    <n v="36.89"/>
    <n v="9"/>
    <n v="966"/>
    <x v="2"/>
    <n v="105"/>
    <x v="1"/>
    <n v="-32.998435000000001"/>
    <n v="151.577743"/>
  </r>
  <r>
    <s v="3968"/>
    <s v="Speers Point Public School"/>
    <s v="Speers Point"/>
    <s v="Lake Macquarie"/>
    <s v="Newcastle and Lake Macquarie"/>
    <x v="0"/>
    <x v="0"/>
    <s v="Regional North"/>
    <x v="0"/>
    <x v="0"/>
    <s v="Coed"/>
    <n v="256"/>
    <n v="11"/>
    <s v="Published"/>
    <n v="28.16"/>
    <n v="12"/>
    <n v="1000"/>
    <x v="3"/>
    <n v="100"/>
    <x v="1"/>
    <n v="-32.958942999999998"/>
    <n v="151.62164100000001"/>
  </r>
  <r>
    <s v="3970"/>
    <s v="Collaroy Plateau Public School"/>
    <s v="Collaroy Plateau"/>
    <s v="Northern Beaches"/>
    <s v="Sydney - Northern Beaches"/>
    <x v="0"/>
    <x v="0"/>
    <s v="Metropolitan North"/>
    <x v="0"/>
    <x v="0"/>
    <s v="Coed"/>
    <n v="452"/>
    <m/>
    <s v="Suppressed"/>
    <s v=""/>
    <n v="19"/>
    <n v="1109"/>
    <x v="0"/>
    <n v="31"/>
    <x v="0"/>
    <n v="-33.732970000000002"/>
    <n v="151.29344"/>
  </r>
  <r>
    <s v="3971"/>
    <s v="Beacon Hill Public School"/>
    <s v="Beacon Hill"/>
    <s v="Northern Beaches"/>
    <s v="Sydney - Northern Beaches"/>
    <x v="0"/>
    <x v="0"/>
    <s v="Metropolitan North"/>
    <x v="0"/>
    <x v="0"/>
    <s v="Coed"/>
    <n v="459"/>
    <n v="2"/>
    <s v="Published"/>
    <n v="9.18"/>
    <n v="23"/>
    <n v="1099"/>
    <x v="3"/>
    <n v="32"/>
    <x v="0"/>
    <n v="-33.751629999999999"/>
    <n v="151.26058399999999"/>
  </r>
  <r>
    <s v="3972"/>
    <s v="Caringbah North Public School"/>
    <s v="Caringbah"/>
    <s v="Sutherland"/>
    <s v="Sydney - Sutherland"/>
    <x v="0"/>
    <x v="0"/>
    <s v="Metropolitan South and West"/>
    <x v="0"/>
    <x v="0"/>
    <s v="Coed"/>
    <n v="538"/>
    <n v="2"/>
    <s v="Published"/>
    <n v="10.76"/>
    <n v="30"/>
    <n v="1086"/>
    <x v="3"/>
    <n v="45"/>
    <x v="0"/>
    <n v="-34.036574000000002"/>
    <n v="151.12307899999999"/>
  </r>
  <r>
    <s v="3973"/>
    <s v="Russell Vale Public School"/>
    <s v="Russell Vale"/>
    <s v="Wollongong"/>
    <s v="Illawarra"/>
    <x v="0"/>
    <x v="0"/>
    <s v="Regional South and Connected Communities"/>
    <x v="0"/>
    <x v="0"/>
    <s v="Coed"/>
    <n v="262"/>
    <n v="3"/>
    <s v="Published"/>
    <n v="7.8599999999999994"/>
    <n v="5"/>
    <n v="1040"/>
    <x v="3"/>
    <n v="74"/>
    <x v="1"/>
    <n v="-34.359482999999997"/>
    <n v="150.90682799999999"/>
  </r>
  <r>
    <s v="3976"/>
    <s v="Farmborough Road Public School"/>
    <s v="Unanderra"/>
    <s v="Wollongong"/>
    <s v="Illawarra"/>
    <x v="0"/>
    <x v="0"/>
    <s v="Regional South and Connected Communities"/>
    <x v="0"/>
    <x v="0"/>
    <s v="Coed"/>
    <n v="226"/>
    <n v="16"/>
    <s v="Published"/>
    <n v="36.160000000000004"/>
    <n v="13"/>
    <n v="961"/>
    <x v="2"/>
    <n v="118"/>
    <x v="1"/>
    <n v="-34.460321999999998"/>
    <n v="150.83481800000001"/>
  </r>
  <r>
    <s v="3977"/>
    <s v="Villawood East Public School"/>
    <s v="VILLAWOOD"/>
    <s v="Canterbury-Bankstown"/>
    <s v="Sydney - Inner South West"/>
    <x v="0"/>
    <x v="0"/>
    <s v="Metropolitan South and West"/>
    <x v="0"/>
    <x v="0"/>
    <s v="Coed"/>
    <n v="301"/>
    <n v="9"/>
    <s v="Published"/>
    <n v="27.09"/>
    <n v="83"/>
    <n v="898"/>
    <x v="1"/>
    <n v="175"/>
    <x v="0"/>
    <n v="-33.890154000000003"/>
    <n v="150.98601300000001"/>
  </r>
  <r>
    <s v="3979"/>
    <s v="Bellambi Public School"/>
    <s v="Bellambi"/>
    <s v="Wollongong"/>
    <s v="Illawarra"/>
    <x v="0"/>
    <x v="0"/>
    <s v="Regional South and Connected Communities"/>
    <x v="0"/>
    <x v="0"/>
    <s v="Coed"/>
    <n v="182"/>
    <n v="46"/>
    <s v="Published"/>
    <n v="83.72"/>
    <n v="22"/>
    <n v="807"/>
    <x v="1"/>
    <n v="185"/>
    <x v="1"/>
    <n v="-34.371200999999999"/>
    <n v="150.91440399999999"/>
  </r>
  <r>
    <s v="3980"/>
    <s v="Cabramatta West Public School"/>
    <s v="Cabramatta"/>
    <s v="Fairfield"/>
    <s v="Sydney - South West"/>
    <x v="0"/>
    <x v="0"/>
    <s v="Metropolitan South and West"/>
    <x v="0"/>
    <x v="0"/>
    <s v="Coed"/>
    <n v="477"/>
    <n v="2"/>
    <s v="Published"/>
    <n v="9.5400000000000009"/>
    <n v="93"/>
    <n v="950"/>
    <x v="2"/>
    <n v="146"/>
    <x v="0"/>
    <n v="-33.897514999999999"/>
    <n v="150.92298500000001"/>
  </r>
  <r>
    <s v="3981"/>
    <s v="Chester Hill North Public School"/>
    <s v="Chester Hill"/>
    <s v="Canterbury-Bankstown"/>
    <s v="Sydney - Parramatta"/>
    <x v="0"/>
    <x v="0"/>
    <s v="Metropolitan South"/>
    <x v="0"/>
    <x v="0"/>
    <s v="Coed"/>
    <n v="400"/>
    <n v="3"/>
    <s v="Published"/>
    <n v="12"/>
    <n v="84"/>
    <n v="950"/>
    <x v="2"/>
    <n v="147"/>
    <x v="0"/>
    <n v="-33.872351999999999"/>
    <n v="151.00103899999999"/>
  </r>
  <r>
    <s v="3983"/>
    <s v="Canley Heights Public School"/>
    <s v="Canley Heights"/>
    <s v="Fairfield"/>
    <s v="Sydney - South West"/>
    <x v="0"/>
    <x v="0"/>
    <s v="Metropolitan South and West"/>
    <x v="0"/>
    <x v="0"/>
    <s v="Coed"/>
    <n v="529"/>
    <n v="3"/>
    <s v="Published"/>
    <n v="15.87"/>
    <n v="91"/>
    <n v="935"/>
    <x v="2"/>
    <n v="159"/>
    <x v="0"/>
    <n v="-33.884811999999997"/>
    <n v="150.92261099999999"/>
  </r>
  <r>
    <s v="3984"/>
    <s v="Balgowlah North Public School"/>
    <s v="North Balgowlah"/>
    <s v="Northern Beaches"/>
    <s v="Sydney - Northern Beaches"/>
    <x v="0"/>
    <x v="0"/>
    <s v="Metropolitan North"/>
    <x v="0"/>
    <x v="0"/>
    <s v="Coed"/>
    <n v="381"/>
    <m/>
    <s v="Suppressed"/>
    <s v=""/>
    <n v="13"/>
    <n v="1169"/>
    <x v="0"/>
    <n v="5"/>
    <x v="0"/>
    <n v="-33.783267000000002"/>
    <n v="151.24645699999999"/>
  </r>
  <r>
    <s v="3985"/>
    <s v="Gordon East Public School"/>
    <s v="Gordon"/>
    <s v="Ku-ring-gai"/>
    <s v="Sydney - North Sydney and Hornsby"/>
    <x v="0"/>
    <x v="0"/>
    <s v="Metropolitan North"/>
    <x v="0"/>
    <x v="0"/>
    <s v="Coed"/>
    <n v="195"/>
    <m/>
    <s v="Suppressed"/>
    <s v=""/>
    <n v="53"/>
    <n v="1163"/>
    <x v="0"/>
    <n v="5"/>
    <x v="1"/>
    <n v="-33.745820000000002"/>
    <n v="151.156203"/>
  </r>
  <r>
    <s v="3986"/>
    <s v="Yennora Public School"/>
    <s v="Yennora"/>
    <s v="Fairfield"/>
    <s v="Sydney - Parramatta"/>
    <x v="0"/>
    <x v="0"/>
    <s v="Metropolitan South"/>
    <x v="0"/>
    <x v="0"/>
    <s v="Coed"/>
    <n v="244"/>
    <m/>
    <s v="Suppressed"/>
    <s v=""/>
    <n v="88"/>
    <n v="933"/>
    <x v="2"/>
    <n v="154"/>
    <x v="1"/>
    <n v="-33.866826000000003"/>
    <n v="150.97099299999999"/>
  </r>
  <r>
    <s v="3987"/>
    <s v="Katoomba North Public School"/>
    <s v="Katoomba"/>
    <s v="Blue Mountains"/>
    <s v="Sydney - Outer West and Blue Mountains"/>
    <x v="0"/>
    <x v="0"/>
    <s v="Regional North"/>
    <x v="0"/>
    <x v="0"/>
    <s v="Coed"/>
    <n v="128"/>
    <n v="16"/>
    <s v="Published"/>
    <n v="20.48"/>
    <n v="11"/>
    <n v="986"/>
    <x v="2"/>
    <n v="99"/>
    <x v="1"/>
    <n v="-33.699128000000002"/>
    <n v="150.315134"/>
  </r>
  <r>
    <s v="3988"/>
    <s v="Biraban Public School"/>
    <s v="Toronto"/>
    <s v="Lake Macquarie"/>
    <s v="Newcastle and Lake Macquarie"/>
    <x v="0"/>
    <x v="0"/>
    <s v="Regional North"/>
    <x v="0"/>
    <x v="0"/>
    <s v="Coed"/>
    <n v="163"/>
    <n v="47"/>
    <s v="Published"/>
    <n v="76.61"/>
    <n v="11"/>
    <n v="871"/>
    <x v="1"/>
    <n v="151"/>
    <x v="1"/>
    <n v="-33.008389000000001"/>
    <n v="151.57629600000001"/>
  </r>
  <r>
    <s v="3993"/>
    <s v="Pendle Hill Public School"/>
    <s v="Wentworthville"/>
    <s v="Cumberland"/>
    <s v="Sydney - Parramatta"/>
    <x v="0"/>
    <x v="0"/>
    <s v="Metropolitan South"/>
    <x v="0"/>
    <x v="0"/>
    <s v="Coed"/>
    <n v="309"/>
    <m/>
    <s v="Suppressed"/>
    <s v=""/>
    <n v="89"/>
    <n v="1032"/>
    <x v="3"/>
    <n v="77"/>
    <x v="0"/>
    <n v="-33.810296999999998"/>
    <n v="150.95396400000001"/>
  </r>
  <r>
    <s v="3995"/>
    <s v="Umina Beach Public School"/>
    <s v="Umina Beach"/>
    <s v="Central Coast (NSW)"/>
    <s v="Central Coast"/>
    <x v="0"/>
    <x v="0"/>
    <s v="Regional North"/>
    <x v="0"/>
    <x v="0"/>
    <s v="Coed"/>
    <n v="606"/>
    <n v="13"/>
    <s v="Published"/>
    <n v="78.78"/>
    <n v="15"/>
    <n v="1010"/>
    <x v="3"/>
    <n v="79"/>
    <x v="3"/>
    <n v="-33.525109999999998"/>
    <n v="151.314055"/>
  </r>
  <r>
    <s v="3996"/>
    <s v="Fern Bay Public School"/>
    <s v="Fern Bay"/>
    <s v="Port Stephens"/>
    <s v="Newcastle and Lake Macquarie"/>
    <x v="0"/>
    <x v="0"/>
    <s v="Regional North"/>
    <x v="0"/>
    <x v="0"/>
    <s v="Coed"/>
    <n v="182"/>
    <n v="15"/>
    <s v="Published"/>
    <n v="27.3"/>
    <n v="5"/>
    <n v="1002"/>
    <x v="3"/>
    <n v="80"/>
    <x v="1"/>
    <n v="-32.871656999999999"/>
    <n v="151.79473899999999"/>
  </r>
  <r>
    <s v="3997"/>
    <s v="Hilltop Road Public School"/>
    <s v="Merrylands"/>
    <s v="Cumberland"/>
    <s v="Sydney - Parramatta"/>
    <x v="0"/>
    <x v="0"/>
    <s v="Metropolitan South"/>
    <x v="0"/>
    <x v="0"/>
    <s v="Coed"/>
    <n v="762"/>
    <n v="3"/>
    <s v="Published"/>
    <n v="22.86"/>
    <n v="82"/>
    <n v="971"/>
    <x v="2"/>
    <n v="133"/>
    <x v="3"/>
    <n v="-33.826331000000003"/>
    <n v="150.973319"/>
  </r>
  <r>
    <s v="3999"/>
    <s v="Richmond Public School"/>
    <s v="RICHMOND"/>
    <s v="Hawkesbury"/>
    <s v="Sydney - Outer West and Blue Mountains"/>
    <x v="0"/>
    <x v="0"/>
    <s v="Regional North"/>
    <x v="0"/>
    <x v="0"/>
    <s v="Coed"/>
    <n v="298"/>
    <n v="5"/>
    <s v="Published"/>
    <n v="14.9"/>
    <n v="43"/>
    <n v="1047"/>
    <x v="3"/>
    <n v="75"/>
    <x v="1"/>
    <n v="-33.598936999999999"/>
    <n v="150.75751399999999"/>
  </r>
  <r>
    <s v="4000"/>
    <s v="Guildford West Public School"/>
    <s v="Guildford West"/>
    <s v="Cumberland"/>
    <s v="Sydney - Parramatta"/>
    <x v="0"/>
    <x v="0"/>
    <s v="Metropolitan South"/>
    <x v="0"/>
    <x v="0"/>
    <s v="Coed"/>
    <n v="366"/>
    <n v="2"/>
    <s v="Published"/>
    <n v="7.32"/>
    <n v="83"/>
    <n v="945"/>
    <x v="2"/>
    <n v="150"/>
    <x v="0"/>
    <n v="-33.847672000000003"/>
    <n v="150.96649600000001"/>
  </r>
  <r>
    <s v="4004"/>
    <s v="Jannali East Public School"/>
    <s v="Jannali"/>
    <s v="Sutherland"/>
    <s v="Sydney - Sutherland"/>
    <x v="0"/>
    <x v="0"/>
    <s v="Metropolitan South and West"/>
    <x v="0"/>
    <x v="0"/>
    <s v="Coed"/>
    <n v="313"/>
    <n v="3"/>
    <s v="Published"/>
    <n v="9.3899999999999988"/>
    <n v="18"/>
    <n v="1081"/>
    <x v="3"/>
    <n v="48"/>
    <x v="0"/>
    <n v="-34.019151999999998"/>
    <n v="151.07231999999999"/>
  </r>
  <r>
    <s v="4005"/>
    <s v="Warilla Public School"/>
    <s v="Warilla"/>
    <s v="Shellharbour"/>
    <s v="Illawarra"/>
    <x v="0"/>
    <x v="0"/>
    <s v="Regional South and Connected Communities"/>
    <x v="0"/>
    <x v="0"/>
    <s v="Coed"/>
    <n v="279"/>
    <n v="20"/>
    <s v="Published"/>
    <n v="55.800000000000004"/>
    <n v="12"/>
    <n v="937"/>
    <x v="2"/>
    <n v="139"/>
    <x v="1"/>
    <n v="-34.557172000000001"/>
    <n v="150.85419400000001"/>
  </r>
  <r>
    <s v="4009"/>
    <s v="Fairvale Public School"/>
    <s v="Fairfield"/>
    <s v="Fairfield"/>
    <s v="Sydney - South West"/>
    <x v="0"/>
    <x v="0"/>
    <s v="Metropolitan South and West"/>
    <x v="0"/>
    <x v="0"/>
    <s v="Coed"/>
    <n v="503"/>
    <n v="1"/>
    <s v="Published"/>
    <n v="5.03"/>
    <n v="92"/>
    <n v="919"/>
    <x v="2"/>
    <n v="172"/>
    <x v="0"/>
    <n v="-33.876939"/>
    <n v="150.940718"/>
  </r>
  <r>
    <s v="4011"/>
    <s v="Lake Heights Public School"/>
    <s v="LAKE HEIGHTS"/>
    <s v="Wollongong"/>
    <s v="Illawarra"/>
    <x v="0"/>
    <x v="0"/>
    <s v="Regional South and Connected Communities"/>
    <x v="0"/>
    <x v="0"/>
    <s v="Coed"/>
    <n v="147"/>
    <n v="18"/>
    <s v="Published"/>
    <n v="26.459999999999997"/>
    <n v="27"/>
    <n v="941"/>
    <x v="2"/>
    <n v="131"/>
    <x v="1"/>
    <n v="-34.489668000000002"/>
    <n v="150.86804699999999"/>
  </r>
  <r>
    <s v="4012"/>
    <s v="Panania North Public School"/>
    <s v="Panania"/>
    <s v="Canterbury-Bankstown"/>
    <s v="Sydney - Inner South West"/>
    <x v="0"/>
    <x v="0"/>
    <s v="Metropolitan South and West"/>
    <x v="0"/>
    <x v="0"/>
    <s v="Coed"/>
    <n v="441"/>
    <n v="2"/>
    <s v="Published"/>
    <n v="8.82"/>
    <n v="69"/>
    <n v="1026"/>
    <x v="3"/>
    <n v="85"/>
    <x v="0"/>
    <n v="-33.944499"/>
    <n v="150.99963099999999"/>
  </r>
  <r>
    <s v="4013"/>
    <s v="Peakhurst West Public School"/>
    <s v="Peakhurst"/>
    <s v="Georges River"/>
    <s v="Sydney - Inner South West"/>
    <x v="0"/>
    <x v="0"/>
    <s v="Metropolitan South"/>
    <x v="0"/>
    <x v="0"/>
    <s v="Coed"/>
    <n v="291"/>
    <n v="5"/>
    <s v="Published"/>
    <n v="14.55"/>
    <n v="60"/>
    <n v="1023"/>
    <x v="3"/>
    <n v="91"/>
    <x v="1"/>
    <n v="-33.962021"/>
    <n v="151.049429"/>
  </r>
  <r>
    <s v="4014"/>
    <s v="Chatham Public School"/>
    <s v="TAREE"/>
    <s v="Mid-Coast"/>
    <s v="Mid North Coast"/>
    <x v="1"/>
    <x v="1"/>
    <s v="Regional North and West"/>
    <x v="0"/>
    <x v="0"/>
    <s v="Coed"/>
    <n v="222"/>
    <n v="44"/>
    <s v="Published"/>
    <n v="97.68"/>
    <n v="5"/>
    <n v="837"/>
    <x v="1"/>
    <n v="176"/>
    <x v="1"/>
    <n v="-31.899750999999998"/>
    <n v="152.482235"/>
  </r>
  <r>
    <s v="4015"/>
    <s v="Mowbray Public School"/>
    <s v="Lane Cove"/>
    <s v="Willoughby"/>
    <s v="Sydney - North Sydney and Hornsby"/>
    <x v="0"/>
    <x v="0"/>
    <s v="Metropolitan North"/>
    <x v="0"/>
    <x v="0"/>
    <s v="Coed"/>
    <n v="714"/>
    <m/>
    <s v="Suppressed"/>
    <s v=""/>
    <n v="60"/>
    <n v="1143"/>
    <x v="0"/>
    <n v="9"/>
    <x v="3"/>
    <n v="-33.803942999999997"/>
    <n v="151.15589499999999"/>
  </r>
  <r>
    <s v="4016"/>
    <s v="Revesby South Public School"/>
    <s v="Revesby"/>
    <s v="Canterbury-Bankstown"/>
    <s v="Sydney - Inner South West"/>
    <x v="0"/>
    <x v="0"/>
    <s v="Metropolitan South and West"/>
    <x v="0"/>
    <x v="0"/>
    <s v="Coed"/>
    <n v="312"/>
    <n v="4"/>
    <s v="Published"/>
    <n v="12.48"/>
    <n v="50"/>
    <n v="1041"/>
    <x v="3"/>
    <n v="71"/>
    <x v="0"/>
    <n v="-33.960526000000002"/>
    <n v="151.017335"/>
  </r>
  <r>
    <s v="4017"/>
    <s v="Booragul Public School"/>
    <s v="BOORAGUL"/>
    <s v="Lake Macquarie"/>
    <s v="Newcastle and Lake Macquarie"/>
    <x v="0"/>
    <x v="0"/>
    <s v="Regional North"/>
    <x v="0"/>
    <x v="0"/>
    <s v="Coed"/>
    <n v="206"/>
    <n v="24"/>
    <s v="Published"/>
    <n v="49.44"/>
    <n v="10"/>
    <n v="931"/>
    <x v="2"/>
    <n v="116"/>
    <x v="1"/>
    <n v="-32.973933000000002"/>
    <n v="151.61151000000001"/>
  </r>
  <r>
    <s v="4018"/>
    <s v="Gunnedah South Public School"/>
    <s v="Gunnedah"/>
    <s v="Gunnedah"/>
    <s v="New England and North West"/>
    <x v="2"/>
    <x v="2"/>
    <s v="Rural North"/>
    <x v="0"/>
    <x v="0"/>
    <s v="Coed"/>
    <n v="533"/>
    <n v="41"/>
    <s v="Published"/>
    <n v="218.53"/>
    <n v="6"/>
    <n v="902"/>
    <x v="2"/>
    <n v="114"/>
    <x v="0"/>
    <n v="-30.991999"/>
    <n v="150.250486"/>
  </r>
  <r>
    <s v="4019"/>
    <s v="Forestville Public School"/>
    <s v="Forestville"/>
    <s v="Northern Beaches"/>
    <s v="Sydney - Northern Beaches"/>
    <x v="0"/>
    <x v="0"/>
    <s v="Metropolitan North"/>
    <x v="0"/>
    <x v="0"/>
    <s v="Coed"/>
    <n v="462"/>
    <n v="2"/>
    <s v="Published"/>
    <n v="9.24"/>
    <n v="30"/>
    <n v="1141"/>
    <x v="0"/>
    <n v="17"/>
    <x v="0"/>
    <n v="-33.761581999999997"/>
    <n v="151.21280300000001"/>
  </r>
  <r>
    <s v="4020"/>
    <s v="Glenroi Heights Public School"/>
    <s v="Orange"/>
    <s v="Orange"/>
    <s v="Central West"/>
    <x v="1"/>
    <x v="1"/>
    <s v="Rural South and West"/>
    <x v="0"/>
    <x v="0"/>
    <s v="Coed"/>
    <n v="208"/>
    <n v="66"/>
    <s v="Published"/>
    <n v="137.28"/>
    <n v="3"/>
    <n v="751"/>
    <x v="1"/>
    <n v="199"/>
    <x v="1"/>
    <n v="-33.297204999999998"/>
    <n v="149.11233999999999"/>
  </r>
  <r>
    <s v="4021"/>
    <s v="Manly Vale Public School"/>
    <s v="Manly Vale"/>
    <s v="Northern Beaches"/>
    <s v="Sydney - Northern Beaches"/>
    <x v="0"/>
    <x v="0"/>
    <s v="Metropolitan North"/>
    <x v="0"/>
    <x v="0"/>
    <s v="Coed"/>
    <n v="553"/>
    <m/>
    <s v="Suppressed"/>
    <s v=""/>
    <n v="24"/>
    <n v="1129"/>
    <x v="0"/>
    <n v="19"/>
    <x v="0"/>
    <n v="-33.783496999999997"/>
    <n v="151.25976"/>
  </r>
  <r>
    <s v="4022"/>
    <s v="Coal Point Public School"/>
    <s v="Coal Point"/>
    <s v="Lake Macquarie"/>
    <s v="Newcastle and Lake Macquarie"/>
    <x v="0"/>
    <x v="0"/>
    <s v="Regional North"/>
    <x v="0"/>
    <x v="0"/>
    <s v="Coed"/>
    <n v="245"/>
    <n v="6"/>
    <s v="Published"/>
    <n v="14.7"/>
    <n v="6"/>
    <n v="1065"/>
    <x v="3"/>
    <n v="55"/>
    <x v="1"/>
    <n v="-33.040827999999998"/>
    <n v="151.61079799999999"/>
  </r>
  <r>
    <s v="4024"/>
    <s v="Sylvania Heights Public School"/>
    <s v="SYLVANIA"/>
    <s v="Sutherland"/>
    <s v="Sydney - Sutherland"/>
    <x v="0"/>
    <x v="0"/>
    <s v="Metropolitan South and West"/>
    <x v="0"/>
    <x v="0"/>
    <s v="Coed"/>
    <n v="482"/>
    <n v="5"/>
    <s v="Published"/>
    <n v="24.1"/>
    <n v="36"/>
    <n v="1056"/>
    <x v="3"/>
    <n v="63"/>
    <x v="0"/>
    <n v="-34.012723999999999"/>
    <n v="151.09734399999999"/>
  </r>
  <r>
    <s v="4027"/>
    <s v="Griffith North Public School"/>
    <s v="Griffith"/>
    <s v="Griffith"/>
    <s v="Riverina"/>
    <x v="2"/>
    <x v="2"/>
    <s v="Rural South and West"/>
    <x v="0"/>
    <x v="0"/>
    <s v="Coed"/>
    <n v="418"/>
    <n v="19"/>
    <s v="Published"/>
    <n v="79.42"/>
    <n v="24"/>
    <n v="960"/>
    <x v="2"/>
    <n v="109"/>
    <x v="0"/>
    <n v="-34.279921999999999"/>
    <n v="146.04790299999999"/>
  </r>
  <r>
    <s v="4029"/>
    <s v="Dundas Public School"/>
    <s v="Dundas"/>
    <s v="Parramatta"/>
    <s v="Sydney - Parramatta"/>
    <x v="0"/>
    <x v="0"/>
    <s v="Metropolitan North"/>
    <x v="0"/>
    <x v="0"/>
    <s v="Coed"/>
    <n v="312"/>
    <n v="5"/>
    <s v="Published"/>
    <n v="15.600000000000001"/>
    <n v="66"/>
    <n v="1070"/>
    <x v="3"/>
    <n v="47"/>
    <x v="0"/>
    <n v="-33.804423999999997"/>
    <n v="151.03639899999999"/>
  </r>
  <r>
    <s v="4034"/>
    <s v="Eleebana Public School"/>
    <s v="Eleebana"/>
    <s v="Lake Macquarie"/>
    <s v="Newcastle and Lake Macquarie"/>
    <x v="0"/>
    <x v="0"/>
    <s v="Regional North"/>
    <x v="0"/>
    <x v="0"/>
    <s v="Coed"/>
    <n v="506"/>
    <n v="4"/>
    <s v="Published"/>
    <n v="20.240000000000002"/>
    <n v="12"/>
    <n v="1105"/>
    <x v="0"/>
    <n v="37"/>
    <x v="0"/>
    <n v="-32.990501999999999"/>
    <n v="151.64261999999999"/>
  </r>
  <r>
    <s v="4037"/>
    <s v="Cringila Public School"/>
    <s v="Cringila"/>
    <s v="Wollongong"/>
    <s v="Illawarra"/>
    <x v="0"/>
    <x v="0"/>
    <s v="Regional South and Connected Communities"/>
    <x v="0"/>
    <x v="0"/>
    <s v="Coed"/>
    <n v="163"/>
    <n v="9"/>
    <s v="Published"/>
    <n v="14.67"/>
    <n v="79"/>
    <n v="936"/>
    <x v="2"/>
    <n v="148"/>
    <x v="1"/>
    <n v="-34.471975"/>
    <n v="150.86986999999999"/>
  </r>
  <r>
    <s v="4038"/>
    <s v="Epping Heights Public School"/>
    <s v="Epping"/>
    <s v="Parramatta"/>
    <s v="Sydney - Ryde"/>
    <x v="0"/>
    <x v="0"/>
    <s v="Metropolitan North"/>
    <x v="0"/>
    <x v="0"/>
    <s v="Coed"/>
    <n v="396"/>
    <n v="0"/>
    <s v="Published"/>
    <n v="0"/>
    <n v="91"/>
    <n v="1152"/>
    <x v="0"/>
    <n v="10"/>
    <x v="0"/>
    <n v="-33.762695000000001"/>
    <n v="151.07408000000001"/>
  </r>
  <r>
    <s v="4041"/>
    <s v="Eastwood Heights Public School"/>
    <s v="Eastwood"/>
    <s v="Ryde"/>
    <s v="Sydney - Ryde"/>
    <x v="0"/>
    <x v="0"/>
    <s v="Metropolitan North"/>
    <x v="0"/>
    <x v="0"/>
    <s v="Coed"/>
    <n v="416"/>
    <m/>
    <s v="Suppressed"/>
    <s v=""/>
    <n v="74"/>
    <n v="1119"/>
    <x v="0"/>
    <n v="18"/>
    <x v="0"/>
    <n v="-33.781914"/>
    <n v="151.095463"/>
  </r>
  <r>
    <s v="4042"/>
    <s v="Lindsay Park Public School"/>
    <s v="Wollongong"/>
    <s v="Wollongong"/>
    <s v="Illawarra"/>
    <x v="0"/>
    <x v="0"/>
    <s v="Regional South and Connected Communities"/>
    <x v="0"/>
    <x v="0"/>
    <s v="Coed"/>
    <n v="334"/>
    <n v="4"/>
    <s v="Published"/>
    <n v="13.36"/>
    <n v="21"/>
    <n v="1068"/>
    <x v="3"/>
    <n v="54"/>
    <x v="0"/>
    <n v="-34.430003999999997"/>
    <n v="150.86094199999999"/>
  </r>
  <r>
    <s v="4049"/>
    <s v="Mount Kuring-gai Public School"/>
    <s v="Mount Kuring-gai"/>
    <s v="Hornsby"/>
    <s v="Sydney - North Sydney and Hornsby"/>
    <x v="0"/>
    <x v="0"/>
    <s v="Regional North"/>
    <x v="0"/>
    <x v="0"/>
    <s v="Coed"/>
    <n v="132"/>
    <m/>
    <s v="Suppressed"/>
    <s v=""/>
    <n v="22"/>
    <n v="1083"/>
    <x v="3"/>
    <n v="43"/>
    <x v="1"/>
    <n v="-33.657474000000001"/>
    <n v="151.135604"/>
  </r>
  <r>
    <s v="4050"/>
    <s v="Point Clare Public School"/>
    <s v="Point Clare"/>
    <s v="Central Coast (NSW)"/>
    <s v="Central Coast"/>
    <x v="0"/>
    <x v="0"/>
    <s v="Regional North"/>
    <x v="0"/>
    <x v="0"/>
    <s v="Coed"/>
    <n v="479"/>
    <n v="5"/>
    <s v="Published"/>
    <n v="23.950000000000003"/>
    <n v="22"/>
    <n v="1058"/>
    <x v="3"/>
    <n v="57"/>
    <x v="0"/>
    <n v="-33.443519000000002"/>
    <n v="151.32773399999999"/>
  </r>
  <r>
    <s v="4051"/>
    <s v="Penshurst West Public School"/>
    <s v="Mortdale"/>
    <s v="Georges River"/>
    <s v="Sydney - Inner South West"/>
    <x v="0"/>
    <x v="0"/>
    <s v="Metropolitan South"/>
    <x v="0"/>
    <x v="0"/>
    <s v="Coed"/>
    <n v="220"/>
    <n v="3"/>
    <s v="Published"/>
    <n v="6.6"/>
    <n v="58"/>
    <n v="1047"/>
    <x v="3"/>
    <n v="64"/>
    <x v="1"/>
    <n v="-33.962114999999997"/>
    <n v="151.07217600000001"/>
  </r>
  <r>
    <s v="4054"/>
    <s v="Kingscliff Public School"/>
    <s v="KINGSCLIFF"/>
    <s v="Tweed"/>
    <s v="Richmond - Tweed"/>
    <x v="0"/>
    <x v="0"/>
    <s v="Rural North"/>
    <x v="0"/>
    <x v="0"/>
    <s v="Coed"/>
    <n v="455"/>
    <n v="10"/>
    <s v="Published"/>
    <n v="45.5"/>
    <n v="11"/>
    <n v="1058"/>
    <x v="3"/>
    <n v="64"/>
    <x v="0"/>
    <n v="-28.259374999999999"/>
    <n v="153.579497"/>
  </r>
  <r>
    <s v="4055"/>
    <s v="Oxley Park Public School"/>
    <s v="St Marys"/>
    <s v="Penrith"/>
    <s v="Sydney - Outer West and Blue Mountains"/>
    <x v="0"/>
    <x v="0"/>
    <s v="Metropolitan South and West"/>
    <x v="0"/>
    <x v="0"/>
    <s v="Coed"/>
    <n v="601"/>
    <n v="13"/>
    <s v="Published"/>
    <n v="78.13000000000001"/>
    <n v="56"/>
    <n v="953"/>
    <x v="2"/>
    <n v="116"/>
    <x v="3"/>
    <n v="-33.771450999999999"/>
    <n v="150.788894"/>
  </r>
  <r>
    <s v="4056"/>
    <s v="Rooty Hill Public School"/>
    <s v="Rooty Hill"/>
    <s v="Blacktown"/>
    <s v="Sydney - Blacktown"/>
    <x v="0"/>
    <x v="0"/>
    <s v="Metropolitan South and West"/>
    <x v="0"/>
    <x v="0"/>
    <s v="Coed"/>
    <n v="645"/>
    <n v="9"/>
    <s v="Published"/>
    <n v="58.05"/>
    <n v="68"/>
    <n v="990"/>
    <x v="2"/>
    <n v="95"/>
    <x v="3"/>
    <n v="-33.769292"/>
    <n v="150.84043500000001"/>
  </r>
  <r>
    <s v="4057"/>
    <s v="Birrong Public School"/>
    <s v="Birrong"/>
    <s v="Canterbury-Bankstown"/>
    <s v="Sydney - Inner South West"/>
    <x v="0"/>
    <x v="0"/>
    <s v="Metropolitan South"/>
    <x v="0"/>
    <x v="0"/>
    <s v="Coed"/>
    <n v="451"/>
    <m/>
    <s v="Suppressed"/>
    <s v=""/>
    <n v="94"/>
    <n v="967"/>
    <x v="2"/>
    <n v="129"/>
    <x v="0"/>
    <n v="-33.895595999999998"/>
    <n v="151.02007"/>
  </r>
  <r>
    <s v="4058"/>
    <s v="Leumeah Public School"/>
    <s v="Leumeah"/>
    <s v="Campbelltown (NSW)"/>
    <s v="Sydney - Outer South West"/>
    <x v="0"/>
    <x v="0"/>
    <s v="Metropolitan South and West"/>
    <x v="0"/>
    <x v="0"/>
    <s v="Coed"/>
    <n v="516"/>
    <n v="5"/>
    <s v="Published"/>
    <n v="25.8"/>
    <n v="67"/>
    <n v="1034"/>
    <x v="3"/>
    <n v="71"/>
    <x v="0"/>
    <n v="-34.049424999999999"/>
    <n v="150.840373"/>
  </r>
  <r>
    <s v="4059"/>
    <s v="Wattawa Heights Public School"/>
    <s v="Bankstown"/>
    <s v="Canterbury-Bankstown"/>
    <s v="Sydney - Inner South West"/>
    <x v="0"/>
    <x v="0"/>
    <s v="Metropolitan South and West"/>
    <x v="0"/>
    <x v="0"/>
    <s v="Coed"/>
    <n v="196"/>
    <n v="3"/>
    <s v="Published"/>
    <n v="5.88"/>
    <n v="91"/>
    <n v="939"/>
    <x v="2"/>
    <n v="148"/>
    <x v="1"/>
    <n v="-33.914921"/>
    <n v="151.01209499999999"/>
  </r>
  <r>
    <s v="4060"/>
    <s v="Cambridge Park Public School"/>
    <s v="Cambridge Park"/>
    <s v="Penrith"/>
    <s v="Sydney - Outer West and Blue Mountains"/>
    <x v="0"/>
    <x v="0"/>
    <s v="Metropolitan North"/>
    <x v="0"/>
    <x v="0"/>
    <s v="Coed"/>
    <n v="523"/>
    <n v="16"/>
    <s v="Published"/>
    <n v="83.68"/>
    <n v="17"/>
    <n v="926"/>
    <x v="2"/>
    <n v="140"/>
    <x v="0"/>
    <n v="-33.747017"/>
    <n v="150.72593900000001"/>
  </r>
  <r>
    <s v="4061"/>
    <s v="Blacktown North Public School"/>
    <s v="Blacktown"/>
    <s v="Blacktown"/>
    <s v="Sydney - Blacktown"/>
    <x v="0"/>
    <x v="0"/>
    <s v="Metropolitan South and West"/>
    <x v="0"/>
    <x v="0"/>
    <s v="Coed"/>
    <n v="354"/>
    <n v="3"/>
    <s v="Published"/>
    <n v="10.62"/>
    <n v="89"/>
    <n v="1042"/>
    <x v="3"/>
    <n v="62"/>
    <x v="0"/>
    <n v="-33.758789999999998"/>
    <n v="150.91313400000001"/>
  </r>
  <r>
    <s v="4064"/>
    <s v="Macquarie Fields Public School"/>
    <s v="Macquarie Fields"/>
    <s v="Campbelltown (NSW)"/>
    <s v="Sydney - Outer South West"/>
    <x v="0"/>
    <x v="0"/>
    <s v="Metropolitan South and West"/>
    <x v="0"/>
    <x v="0"/>
    <s v="Coed"/>
    <n v="828"/>
    <n v="4"/>
    <s v="Published"/>
    <n v="33.119999999999997"/>
    <n v="79"/>
    <n v="1048"/>
    <x v="3"/>
    <n v="66"/>
    <x v="3"/>
    <n v="-33.995325000000001"/>
    <n v="150.882486"/>
  </r>
  <r>
    <s v="4065"/>
    <s v="Villawood North Public School"/>
    <s v="Fairfield East"/>
    <s v="Fairfield"/>
    <s v="Sydney - Parramatta"/>
    <x v="0"/>
    <x v="0"/>
    <s v="Metropolitan South"/>
    <x v="0"/>
    <x v="0"/>
    <s v="Coed"/>
    <n v="250"/>
    <m/>
    <s v="Suppressed"/>
    <s v=""/>
    <n v="90"/>
    <n v="937"/>
    <x v="2"/>
    <n v="159"/>
    <x v="1"/>
    <n v="-33.877110999999999"/>
    <n v="150.972454"/>
  </r>
  <r>
    <s v="4066"/>
    <s v="Windsor South Public School"/>
    <s v="SOUTH WINDSOR"/>
    <s v="Hawkesbury"/>
    <s v="Sydney - Outer West and Blue Mountains"/>
    <x v="0"/>
    <x v="0"/>
    <s v="Regional North"/>
    <x v="0"/>
    <x v="0"/>
    <s v="Coed"/>
    <n v="333"/>
    <n v="32"/>
    <s v="Published"/>
    <n v="106.56"/>
    <n v="14"/>
    <n v="858"/>
    <x v="1"/>
    <n v="159"/>
    <x v="0"/>
    <n v="-33.618220999999998"/>
    <n v="150.804036"/>
  </r>
  <r>
    <s v="4067"/>
    <s v="Matraville Soldiers Settlement Public School"/>
    <s v="Matraville"/>
    <s v="Randwick"/>
    <s v="Sydney - Eastern Suburbs"/>
    <x v="0"/>
    <x v="0"/>
    <s v="Metropolitan South"/>
    <x v="0"/>
    <x v="0"/>
    <s v="Coed"/>
    <n v="114"/>
    <n v="29"/>
    <s v="Published"/>
    <n v="33.059999999999995"/>
    <n v="28"/>
    <n v="934"/>
    <x v="2"/>
    <n v="113"/>
    <x v="1"/>
    <n v="-33.958038999999999"/>
    <n v="151.23999499999999"/>
  </r>
  <r>
    <s v="4071"/>
    <s v="Oatlands Public School"/>
    <s v="Oatlands"/>
    <s v="Parramatta"/>
    <s v="Sydney - Parramatta"/>
    <x v="0"/>
    <x v="0"/>
    <s v="Metropolitan North"/>
    <x v="0"/>
    <x v="0"/>
    <s v="Coed"/>
    <n v="159"/>
    <n v="5"/>
    <s v="Published"/>
    <n v="7.95"/>
    <n v="51"/>
    <n v="1072"/>
    <x v="3"/>
    <n v="56"/>
    <x v="1"/>
    <n v="-33.800088000000002"/>
    <n v="151.02352099999999"/>
  </r>
  <r>
    <s v="4075"/>
    <s v="Kirrawee Public School"/>
    <s v="KIRRAWEE"/>
    <s v="Sutherland"/>
    <s v="Sydney - Sutherland"/>
    <x v="0"/>
    <x v="0"/>
    <s v="Metropolitan South and West"/>
    <x v="0"/>
    <x v="0"/>
    <s v="Coed"/>
    <n v="326"/>
    <n v="6"/>
    <s v="Published"/>
    <n v="19.559999999999999"/>
    <n v="32"/>
    <n v="1050"/>
    <x v="3"/>
    <n v="58"/>
    <x v="0"/>
    <n v="-34.033467000000002"/>
    <n v="151.07749000000001"/>
  </r>
  <r>
    <s v="4077"/>
    <s v="Illawong Public School"/>
    <s v="Illawong"/>
    <s v="Sutherland"/>
    <s v="Sydney - Sutherland"/>
    <x v="0"/>
    <x v="0"/>
    <s v="Metropolitan South and West"/>
    <x v="0"/>
    <x v="0"/>
    <s v="Coed"/>
    <n v="191"/>
    <m/>
    <s v="Suppressed"/>
    <s v=""/>
    <n v="42"/>
    <n v="1069"/>
    <x v="3"/>
    <n v="61"/>
    <x v="1"/>
    <n v="-33.999133"/>
    <n v="151.042689"/>
  </r>
  <r>
    <s v="4083"/>
    <s v="Kemblawarra Public School"/>
    <s v="Port Kembla"/>
    <s v="Wollongong"/>
    <s v="Illawarra"/>
    <x v="0"/>
    <x v="0"/>
    <s v="Regional South and Connected Communities"/>
    <x v="0"/>
    <x v="0"/>
    <s v="Coed"/>
    <n v="153"/>
    <n v="33"/>
    <s v="Published"/>
    <n v="50.49"/>
    <n v="23"/>
    <n v="892"/>
    <x v="1"/>
    <n v="126"/>
    <x v="1"/>
    <n v="-34.489283999999998"/>
    <n v="150.89325400000001"/>
  </r>
  <r>
    <s v="4084"/>
    <s v="Lilli Pilli Public School"/>
    <s v="Lilli Pilli"/>
    <s v="Sutherland"/>
    <s v="Sydney - Sutherland"/>
    <x v="0"/>
    <x v="0"/>
    <s v="Metropolitan South and West"/>
    <x v="0"/>
    <x v="0"/>
    <s v="Coed"/>
    <n v="323"/>
    <n v="2"/>
    <s v="Published"/>
    <n v="6.46"/>
    <n v="11"/>
    <n v="1113"/>
    <x v="0"/>
    <n v="35"/>
    <x v="0"/>
    <n v="-34.066592"/>
    <n v="151.11838700000001"/>
  </r>
  <r>
    <s v="4085"/>
    <s v="Lismore Heights Public School"/>
    <s v="Lismore Heights"/>
    <s v="Lismore"/>
    <s v="Richmond - Tweed"/>
    <x v="1"/>
    <x v="1"/>
    <s v="Rural North"/>
    <x v="0"/>
    <x v="0"/>
    <s v="Coed"/>
    <n v="203"/>
    <n v="24"/>
    <s v="Published"/>
    <n v="48.72"/>
    <n v="8"/>
    <n v="973"/>
    <x v="2"/>
    <n v="102"/>
    <x v="1"/>
    <n v="-28.806982000000001"/>
    <n v="153.30064100000001"/>
  </r>
  <r>
    <s v="4088"/>
    <s v="Padstow North Public School"/>
    <s v="Padstow"/>
    <s v="Canterbury-Bankstown"/>
    <s v="Sydney - Inner South West"/>
    <x v="0"/>
    <x v="0"/>
    <s v="Metropolitan South and West"/>
    <x v="0"/>
    <x v="0"/>
    <s v="Coed"/>
    <n v="305"/>
    <m/>
    <s v="Suppressed"/>
    <s v=""/>
    <n v="76"/>
    <n v="1036"/>
    <x v="3"/>
    <n v="90"/>
    <x v="0"/>
    <n v="-33.945301999999998"/>
    <n v="151.03142099999999"/>
  </r>
  <r>
    <s v="4089"/>
    <s v="Middleton Public School"/>
    <s v="Parkes"/>
    <s v="Parkes"/>
    <s v="Central West"/>
    <x v="2"/>
    <x v="2"/>
    <s v="Rural South and West"/>
    <x v="0"/>
    <x v="0"/>
    <s v="Coed"/>
    <n v="173"/>
    <n v="34"/>
    <s v="Published"/>
    <n v="58.820000000000007"/>
    <m/>
    <n v="891"/>
    <x v="1"/>
    <n v="141"/>
    <x v="1"/>
    <n v="-33.147750000000002"/>
    <n v="148.17306099999999"/>
  </r>
  <r>
    <s v="4092"/>
    <s v="Hannans Road Public School"/>
    <s v="Riverwood"/>
    <s v="Canterbury-Bankstown"/>
    <s v="Sydney - Inner South West"/>
    <x v="0"/>
    <x v="0"/>
    <s v="Metropolitan South"/>
    <x v="0"/>
    <x v="0"/>
    <s v="Coed"/>
    <n v="106"/>
    <n v="0"/>
    <s v="Published"/>
    <n v="0"/>
    <n v="85"/>
    <n v="987"/>
    <x v="2"/>
    <n v="122"/>
    <x v="1"/>
    <n v="-33.945270999999998"/>
    <n v="151.05759900000001"/>
  </r>
  <r>
    <s v="4095"/>
    <s v="Mount Ousley Public School"/>
    <s v="Fairy Meadow"/>
    <s v="Wollongong"/>
    <s v="Illawarra"/>
    <x v="0"/>
    <x v="0"/>
    <s v="Regional South and Connected Communities"/>
    <x v="0"/>
    <x v="0"/>
    <s v="Coed"/>
    <n v="193"/>
    <m/>
    <s v="Suppressed"/>
    <s v=""/>
    <n v="29"/>
    <n v="1079"/>
    <x v="3"/>
    <n v="58"/>
    <x v="1"/>
    <n v="-34.398868999999998"/>
    <n v="150.88825"/>
  </r>
  <r>
    <s v="4097"/>
    <s v="Tuggerawong Public School"/>
    <s v="Tuggerawong"/>
    <s v="Central Coast (NSW)"/>
    <s v="Central Coast"/>
    <x v="0"/>
    <x v="0"/>
    <s v="Regional North"/>
    <x v="0"/>
    <x v="0"/>
    <s v="Coed"/>
    <n v="208"/>
    <n v="17"/>
    <s v="Published"/>
    <n v="35.36"/>
    <n v="4"/>
    <n v="953"/>
    <x v="2"/>
    <n v="115"/>
    <x v="1"/>
    <n v="-33.279823999999998"/>
    <n v="151.48560499999999"/>
  </r>
  <r>
    <s v="4100"/>
    <s v="Forbes North Public School"/>
    <s v="Forbes"/>
    <s v="Forbes"/>
    <s v="Central West"/>
    <x v="2"/>
    <x v="2"/>
    <s v="Rural South and West"/>
    <x v="0"/>
    <x v="0"/>
    <s v="Coed"/>
    <n v="203"/>
    <n v="54"/>
    <s v="Published"/>
    <n v="109.62"/>
    <n v="3"/>
    <n v="818"/>
    <x v="1"/>
    <n v="165"/>
    <x v="1"/>
    <n v="-33.369928999999999"/>
    <n v="148.00103200000001"/>
  </r>
  <r>
    <s v="4101"/>
    <s v="Murwillumbah East Public School"/>
    <s v="Murwillumbah"/>
    <s v="Tweed"/>
    <s v="Richmond - Tweed"/>
    <x v="1"/>
    <x v="1"/>
    <s v="Rural North"/>
    <x v="0"/>
    <x v="0"/>
    <s v="Coed"/>
    <n v="152"/>
    <n v="16"/>
    <s v="Published"/>
    <n v="24.32"/>
    <n v="13"/>
    <n v="935"/>
    <x v="2"/>
    <n v="129"/>
    <x v="1"/>
    <n v="-28.320855999999999"/>
    <n v="153.40526700000001"/>
  </r>
  <r>
    <s v="4103"/>
    <s v="Telopea Public School"/>
    <s v="Telopea"/>
    <s v="Parramatta"/>
    <s v="Sydney - Parramatta"/>
    <x v="0"/>
    <x v="0"/>
    <s v="Metropolitan North"/>
    <x v="0"/>
    <x v="0"/>
    <s v="Coed"/>
    <n v="139"/>
    <n v="12"/>
    <s v="Published"/>
    <n v="16.68"/>
    <n v="64"/>
    <n v="991"/>
    <x v="2"/>
    <n v="101"/>
    <x v="1"/>
    <n v="-33.797032000000002"/>
    <n v="151.04364000000001"/>
  </r>
  <r>
    <s v="4106"/>
    <s v="Nowra Hill Public School"/>
    <s v="Nowra"/>
    <s v="Shoalhaven"/>
    <s v="Southern Highlands and Shoalhaven"/>
    <x v="1"/>
    <x v="1"/>
    <s v="Regional South and Connected Communities"/>
    <x v="0"/>
    <x v="0"/>
    <s v="Coed"/>
    <n v="131"/>
    <n v="13"/>
    <s v="Published"/>
    <n v="17.03"/>
    <n v="8"/>
    <n v="986"/>
    <x v="2"/>
    <n v="97"/>
    <x v="1"/>
    <n v="-34.935420000000001"/>
    <n v="150.56622300000001"/>
  </r>
  <r>
    <s v="4110"/>
    <s v="Central Mangrove Public School"/>
    <s v="Central Mangrove"/>
    <s v="Central Coast (NSW)"/>
    <s v="Central Coast"/>
    <x v="1"/>
    <x v="1"/>
    <s v="Regional North"/>
    <x v="0"/>
    <x v="0"/>
    <s v="Coed"/>
    <n v="23"/>
    <m/>
    <s v="Suppressed"/>
    <s v=""/>
    <m/>
    <n v="886"/>
    <x v="1"/>
    <n v="145"/>
    <x v="2"/>
    <n v="-33.295625999999999"/>
    <n v="151.24442500000001"/>
  </r>
  <r>
    <s v="4111"/>
    <s v="Tweed Heads South Public School"/>
    <s v="Tweed Heads South"/>
    <s v="Tweed"/>
    <s v="Richmond - Tweed"/>
    <x v="0"/>
    <x v="0"/>
    <s v="Rural North"/>
    <x v="0"/>
    <x v="0"/>
    <s v="Coed"/>
    <n v="142"/>
    <n v="35"/>
    <s v="Published"/>
    <n v="49.699999999999996"/>
    <n v="27"/>
    <n v="882"/>
    <x v="1"/>
    <n v="131"/>
    <x v="1"/>
    <n v="-28.195346000000001"/>
    <n v="153.53904800000001"/>
  </r>
  <r>
    <s v="4112"/>
    <s v="Deniliquin South Public School"/>
    <s v="Deniliquin"/>
    <s v="Edward River"/>
    <s v="Murray"/>
    <x v="1"/>
    <x v="1"/>
    <s v="Rural South and West"/>
    <x v="0"/>
    <x v="0"/>
    <s v="Coed"/>
    <n v="264"/>
    <n v="16"/>
    <s v="Published"/>
    <n v="42.24"/>
    <n v="6"/>
    <n v="951"/>
    <x v="2"/>
    <n v="124"/>
    <x v="1"/>
    <n v="-35.537609000000003"/>
    <n v="144.955826"/>
  </r>
  <r>
    <s v="4116"/>
    <s v="Blacktown West Public School"/>
    <s v="Blacktown"/>
    <s v="Blacktown"/>
    <s v="Sydney - Blacktown"/>
    <x v="0"/>
    <x v="0"/>
    <s v="Metropolitan South and West"/>
    <x v="0"/>
    <x v="0"/>
    <s v="Coed"/>
    <n v="443"/>
    <n v="6"/>
    <s v="Published"/>
    <n v="26.58"/>
    <n v="71"/>
    <n v="992"/>
    <x v="2"/>
    <n v="110"/>
    <x v="0"/>
    <n v="-33.770440999999998"/>
    <n v="150.893057"/>
  </r>
  <r>
    <s v="4117"/>
    <s v="Warnervale Public School"/>
    <s v="Hamlyn Terrace"/>
    <s v="Central Coast (NSW)"/>
    <s v="Central Coast"/>
    <x v="0"/>
    <x v="0"/>
    <s v="Regional North"/>
    <x v="0"/>
    <x v="0"/>
    <s v="Coed"/>
    <n v="442"/>
    <n v="14"/>
    <s v="Published"/>
    <n v="61.88"/>
    <n v="22"/>
    <n v="979"/>
    <x v="2"/>
    <n v="103"/>
    <x v="0"/>
    <n v="-33.251778000000002"/>
    <n v="151.46922699999999"/>
  </r>
  <r>
    <s v="4118"/>
    <s v="Moree East Public School"/>
    <s v="Moree"/>
    <s v="Moree Plains"/>
    <s v="New England and North West"/>
    <x v="2"/>
    <x v="2"/>
    <s v="Regional South and Connected Communities"/>
    <x v="0"/>
    <x v="0"/>
    <s v="Coed"/>
    <n v="230"/>
    <n v="88"/>
    <s v="Published"/>
    <n v="202.4"/>
    <n v="3"/>
    <n v="689"/>
    <x v="1"/>
    <n v="206"/>
    <x v="1"/>
    <n v="-29.476982"/>
    <n v="149.840238"/>
  </r>
  <r>
    <s v="4121"/>
    <s v="Albion Park Rail Public School"/>
    <s v="Albion Park Rail"/>
    <s v="Shellharbour"/>
    <s v="Illawarra"/>
    <x v="0"/>
    <x v="0"/>
    <s v="Regional South and Connected Communities"/>
    <x v="0"/>
    <x v="0"/>
    <s v="Coed"/>
    <n v="346"/>
    <n v="27"/>
    <s v="Published"/>
    <n v="93.42"/>
    <n v="11"/>
    <n v="894"/>
    <x v="1"/>
    <n v="145"/>
    <x v="0"/>
    <n v="-34.567549999999997"/>
    <n v="150.79866799999999"/>
  </r>
  <r>
    <s v="4122"/>
    <s v="Miranda North Public School"/>
    <s v="Miranda"/>
    <s v="Sutherland"/>
    <s v="Sydney - Sutherland"/>
    <x v="0"/>
    <x v="0"/>
    <s v="Metropolitan South and West"/>
    <x v="0"/>
    <x v="0"/>
    <s v="Coed"/>
    <n v="291"/>
    <n v="4"/>
    <s v="Published"/>
    <n v="11.64"/>
    <n v="24"/>
    <n v="1046"/>
    <x v="3"/>
    <n v="72"/>
    <x v="1"/>
    <n v="-34.031992000000002"/>
    <n v="151.11273"/>
  </r>
  <r>
    <s v="4123"/>
    <s v="Rydalmere East Public School"/>
    <s v="Ermington"/>
    <s v="Parramatta"/>
    <s v="Sydney - Parramatta"/>
    <x v="0"/>
    <x v="0"/>
    <s v="Metropolitan North"/>
    <x v="0"/>
    <x v="0"/>
    <s v="Coed"/>
    <n v="104"/>
    <m/>
    <s v="Suppressed"/>
    <s v=""/>
    <n v="53"/>
    <n v="1007"/>
    <x v="3"/>
    <n v="81"/>
    <x v="1"/>
    <n v="-33.817143999999999"/>
    <n v="151.05817999999999"/>
  </r>
  <r>
    <s v="4124"/>
    <s v="Yowie Bay Public School"/>
    <s v="Yowie Bay"/>
    <s v="Sutherland"/>
    <s v="Sydney - Sutherland"/>
    <x v="0"/>
    <x v="0"/>
    <s v="Metropolitan South and West"/>
    <x v="0"/>
    <x v="0"/>
    <s v="Coed"/>
    <n v="329"/>
    <m/>
    <s v="Suppressed"/>
    <s v=""/>
    <n v="15"/>
    <n v="1093"/>
    <x v="3"/>
    <n v="34"/>
    <x v="0"/>
    <n v="-34.048155000000001"/>
    <n v="151.10276099999999"/>
  </r>
  <r>
    <s v="4125"/>
    <s v="Ermington West Public School"/>
    <s v="Ermington"/>
    <s v="Parramatta"/>
    <s v="Sydney - Parramatta"/>
    <x v="0"/>
    <x v="0"/>
    <s v="Metropolitan North"/>
    <x v="0"/>
    <x v="0"/>
    <s v="Coed"/>
    <n v="104"/>
    <n v="8"/>
    <s v="Published"/>
    <n v="8.32"/>
    <n v="63"/>
    <n v="1022"/>
    <x v="3"/>
    <n v="75"/>
    <x v="1"/>
    <n v="-33.805894000000002"/>
    <n v="151.058368"/>
  </r>
  <r>
    <s v="4126"/>
    <s v="Campbelltown North Public School"/>
    <s v="Campbelltown"/>
    <s v="Campbelltown (NSW)"/>
    <s v="Sydney - Outer South West"/>
    <x v="0"/>
    <x v="0"/>
    <s v="Regional South and Connected Communities"/>
    <x v="0"/>
    <x v="0"/>
    <s v="Coed"/>
    <n v="358"/>
    <n v="8"/>
    <s v="Published"/>
    <n v="28.64"/>
    <n v="54"/>
    <n v="967"/>
    <x v="2"/>
    <n v="121"/>
    <x v="0"/>
    <n v="-34.061200999999997"/>
    <n v="150.82658900000001"/>
  </r>
  <r>
    <s v="4127"/>
    <s v="Queanbeyan West Public School"/>
    <s v="Queanbeyan"/>
    <s v="Queanbeyan-Palerang"/>
    <s v="Capital Region"/>
    <x v="0"/>
    <x v="0"/>
    <s v="Rural South and West"/>
    <x v="0"/>
    <x v="0"/>
    <s v="Coed"/>
    <n v="387"/>
    <n v="13"/>
    <s v="Published"/>
    <n v="50.31"/>
    <n v="31"/>
    <n v="988"/>
    <x v="2"/>
    <n v="93"/>
    <x v="0"/>
    <n v="-35.348418000000002"/>
    <n v="149.21574000000001"/>
  </r>
  <r>
    <s v="4129"/>
    <s v="Heaton Public School"/>
    <s v="Jesmond"/>
    <s v="Newcastle"/>
    <s v="Newcastle and Lake Macquarie"/>
    <x v="0"/>
    <x v="0"/>
    <s v="Regional North"/>
    <x v="0"/>
    <x v="0"/>
    <s v="Coed"/>
    <n v="162"/>
    <n v="13"/>
    <s v="Published"/>
    <n v="21.060000000000002"/>
    <n v="57"/>
    <n v="955"/>
    <x v="2"/>
    <n v="122"/>
    <x v="1"/>
    <n v="-32.899751000000002"/>
    <n v="151.69506899999999"/>
  </r>
  <r>
    <s v="4131"/>
    <s v="Young North Public School"/>
    <s v="Young"/>
    <s v="Hilltops"/>
    <s v="Capital Region"/>
    <x v="1"/>
    <x v="1"/>
    <s v="Rural South and West"/>
    <x v="0"/>
    <x v="0"/>
    <s v="Coed"/>
    <n v="298"/>
    <n v="19"/>
    <s v="Published"/>
    <n v="56.62"/>
    <n v="11"/>
    <n v="915"/>
    <x v="2"/>
    <n v="142"/>
    <x v="1"/>
    <n v="-34.311036000000001"/>
    <n v="148.305408"/>
  </r>
  <r>
    <s v="4132"/>
    <s v="Arcadia Vale Public School"/>
    <s v="Arcadia Vale"/>
    <s v="Lake Macquarie"/>
    <s v="Newcastle and Lake Macquarie"/>
    <x v="0"/>
    <x v="0"/>
    <s v="Regional North"/>
    <x v="0"/>
    <x v="0"/>
    <s v="Coed"/>
    <n v="171"/>
    <n v="12"/>
    <s v="Published"/>
    <n v="20.52"/>
    <n v="5"/>
    <n v="971"/>
    <x v="2"/>
    <n v="120"/>
    <x v="1"/>
    <n v="-33.060231000000002"/>
    <n v="151.582044"/>
  </r>
  <r>
    <s v="4136"/>
    <s v="Garden Suburb Public School"/>
    <s v="Garden Suburb"/>
    <s v="Lake Macquarie"/>
    <s v="Newcastle and Lake Macquarie"/>
    <x v="0"/>
    <x v="0"/>
    <s v="Regional North"/>
    <x v="0"/>
    <x v="0"/>
    <s v="Coed"/>
    <n v="227"/>
    <n v="13"/>
    <s v="Published"/>
    <n v="29.51"/>
    <n v="13"/>
    <n v="1045"/>
    <x v="3"/>
    <n v="64"/>
    <x v="1"/>
    <n v="-32.947882"/>
    <n v="151.682275"/>
  </r>
  <r>
    <s v="4138"/>
    <s v="Penrith South Public School"/>
    <s v="Penrith"/>
    <s v="Penrith"/>
    <s v="Sydney - Outer West and Blue Mountains"/>
    <x v="0"/>
    <x v="0"/>
    <s v="Metropolitan South and West"/>
    <x v="0"/>
    <x v="0"/>
    <s v="Coed"/>
    <n v="441"/>
    <n v="17"/>
    <s v="Published"/>
    <n v="74.97"/>
    <n v="22"/>
    <n v="958"/>
    <x v="2"/>
    <n v="130"/>
    <x v="0"/>
    <n v="-33.763900999999997"/>
    <n v="150.700637"/>
  </r>
  <r>
    <s v="4142"/>
    <s v="Bankstown West Public School"/>
    <s v="Bankstown"/>
    <s v="Canterbury-Bankstown"/>
    <s v="Sydney - Inner South West"/>
    <x v="0"/>
    <x v="0"/>
    <s v="Metropolitan South and West"/>
    <x v="0"/>
    <x v="0"/>
    <s v="Coed"/>
    <n v="317"/>
    <n v="3"/>
    <s v="Published"/>
    <n v="9.51"/>
    <n v="91"/>
    <n v="992"/>
    <x v="2"/>
    <n v="121"/>
    <x v="0"/>
    <n v="-33.915528000000002"/>
    <n v="151.01963900000001"/>
  </r>
  <r>
    <s v="4144"/>
    <s v="Turvey Park Public School"/>
    <s v="Wagga Wagga"/>
    <s v="Wagga Wagga"/>
    <s v="Riverina"/>
    <x v="1"/>
    <x v="1"/>
    <s v="Rural South and West"/>
    <x v="0"/>
    <x v="0"/>
    <s v="Coed"/>
    <n v="283"/>
    <n v="13"/>
    <s v="Published"/>
    <n v="36.79"/>
    <n v="30"/>
    <n v="944"/>
    <x v="2"/>
    <n v="115"/>
    <x v="1"/>
    <n v="-35.129058999999998"/>
    <n v="147.35753099999999"/>
  </r>
  <r>
    <s v="4147"/>
    <s v="Erskineville Public School"/>
    <s v="Erskineville"/>
    <s v="Sydney"/>
    <s v="Sydney - City and Inner South"/>
    <x v="0"/>
    <x v="0"/>
    <s v="Metropolitan South"/>
    <x v="0"/>
    <x v="0"/>
    <s v="Coed"/>
    <n v="334"/>
    <n v="2"/>
    <s v="Published"/>
    <n v="6.68"/>
    <n v="36"/>
    <n v="1155"/>
    <x v="0"/>
    <n v="8"/>
    <x v="0"/>
    <n v="-33.900880999999998"/>
    <n v="151.18611200000001"/>
  </r>
  <r>
    <s v="4148"/>
    <s v="Castlereagh Public School"/>
    <s v="Castlereagh"/>
    <s v="Penrith"/>
    <s v="Sydney - Outer West and Blue Mountains"/>
    <x v="0"/>
    <x v="0"/>
    <s v="Regional North"/>
    <x v="0"/>
    <x v="0"/>
    <s v="Coed"/>
    <n v="126"/>
    <n v="14"/>
    <s v="Published"/>
    <n v="17.64"/>
    <n v="6"/>
    <n v="968"/>
    <x v="2"/>
    <n v="120"/>
    <x v="1"/>
    <n v="-33.667028000000002"/>
    <n v="150.67596800000001"/>
  </r>
  <r>
    <s v="4149"/>
    <s v="North Haven Public School"/>
    <s v="NORTH HAVEN"/>
    <s v="Port Macquarie-Hastings"/>
    <s v="Mid North Coast"/>
    <x v="1"/>
    <x v="1"/>
    <s v="Regional North and West"/>
    <x v="0"/>
    <x v="0"/>
    <s v="Coed"/>
    <n v="232"/>
    <n v="17"/>
    <s v="Published"/>
    <n v="39.440000000000005"/>
    <n v="5"/>
    <n v="997"/>
    <x v="2"/>
    <n v="87"/>
    <x v="1"/>
    <n v="-31.633807000000001"/>
    <n v="152.81976299999999"/>
  </r>
  <r>
    <s v="4151"/>
    <s v="Tower Street Public School"/>
    <s v="Panania"/>
    <s v="Canterbury-Bankstown"/>
    <s v="Sydney - Inner South West"/>
    <x v="0"/>
    <x v="0"/>
    <s v="Metropolitan South and West"/>
    <x v="0"/>
    <x v="0"/>
    <s v="Coed"/>
    <n v="154"/>
    <n v="8"/>
    <s v="Published"/>
    <n v="12.32"/>
    <n v="53"/>
    <n v="998"/>
    <x v="2"/>
    <n v="102"/>
    <x v="1"/>
    <n v="-33.956383000000002"/>
    <n v="151.007373"/>
  </r>
  <r>
    <s v="4155"/>
    <s v="Edgeworth Heights Public School"/>
    <s v="Edgeworth"/>
    <s v="Lake Macquarie"/>
    <s v="Newcastle and Lake Macquarie"/>
    <x v="0"/>
    <x v="0"/>
    <s v="Regional North"/>
    <x v="0"/>
    <x v="0"/>
    <s v="Coed"/>
    <n v="305"/>
    <n v="18"/>
    <s v="Published"/>
    <n v="54.9"/>
    <n v="14"/>
    <n v="969"/>
    <x v="2"/>
    <n v="98"/>
    <x v="0"/>
    <n v="-32.924430999999998"/>
    <n v="151.60920899999999"/>
  </r>
  <r>
    <s v="4157"/>
    <s v="Yates Avenue Public School"/>
    <s v="Dundas Valley"/>
    <s v="Parramatta"/>
    <s v="Sydney - Parramatta"/>
    <x v="0"/>
    <x v="0"/>
    <s v="Metropolitan North"/>
    <x v="0"/>
    <x v="0"/>
    <s v="Coed"/>
    <n v="155"/>
    <n v="6"/>
    <s v="Published"/>
    <n v="9.2999999999999989"/>
    <n v="55"/>
    <n v="1040"/>
    <x v="3"/>
    <n v="71"/>
    <x v="1"/>
    <n v="-33.795608000000001"/>
    <n v="151.05839800000001"/>
  </r>
  <r>
    <s v="4160"/>
    <s v="Kent Road Public School"/>
    <s v="Marsfield"/>
    <s v="Ryde"/>
    <s v="Sydney - Ryde"/>
    <x v="0"/>
    <x v="0"/>
    <s v="Metropolitan North"/>
    <x v="0"/>
    <x v="0"/>
    <s v="Coed"/>
    <n v="1007"/>
    <n v="1"/>
    <s v="Published"/>
    <n v="10.07"/>
    <n v="87"/>
    <n v="1133"/>
    <x v="0"/>
    <n v="11"/>
    <x v="4"/>
    <n v="-33.787415000000003"/>
    <n v="151.108936"/>
  </r>
  <r>
    <s v="4161"/>
    <s v="Liverpool West Public School"/>
    <s v="Liverpool"/>
    <s v="Liverpool"/>
    <s v="Sydney - South West"/>
    <x v="0"/>
    <x v="0"/>
    <s v="Metropolitan South and West"/>
    <x v="0"/>
    <x v="0"/>
    <s v="Coed"/>
    <n v="668"/>
    <n v="5"/>
    <s v="Published"/>
    <n v="33.4"/>
    <n v="86"/>
    <n v="920"/>
    <x v="2"/>
    <n v="159"/>
    <x v="3"/>
    <n v="-33.927101"/>
    <n v="150.907691"/>
  </r>
  <r>
    <s v="4162"/>
    <s v="Seven Hills West Public School"/>
    <s v="Seven Hills"/>
    <s v="Blacktown"/>
    <s v="Sydney - Blacktown"/>
    <x v="0"/>
    <x v="0"/>
    <s v="Metropolitan South and West"/>
    <x v="0"/>
    <x v="0"/>
    <s v="Coed"/>
    <n v="324"/>
    <n v="6"/>
    <s v="Published"/>
    <n v="19.439999999999998"/>
    <n v="74"/>
    <n v="1001"/>
    <x v="3"/>
    <n v="93"/>
    <x v="0"/>
    <n v="-33.765987000000003"/>
    <n v="150.921605"/>
  </r>
  <r>
    <s v="4163"/>
    <s v="Elermore Vale Public School"/>
    <s v="Wallsend"/>
    <s v="Newcastle"/>
    <s v="Newcastle and Lake Macquarie"/>
    <x v="0"/>
    <x v="0"/>
    <s v="Regional North"/>
    <x v="0"/>
    <x v="0"/>
    <s v="Coed"/>
    <n v="290"/>
    <n v="11"/>
    <s v="Published"/>
    <n v="31.9"/>
    <n v="20"/>
    <n v="996"/>
    <x v="2"/>
    <n v="88"/>
    <x v="1"/>
    <n v="-32.915588999999997"/>
    <n v="151.66681500000001"/>
  </r>
  <r>
    <s v="4164"/>
    <s v="Truscott Street Public School"/>
    <s v="North Ryde"/>
    <s v="Ryde"/>
    <s v="Sydney - Ryde"/>
    <x v="0"/>
    <x v="0"/>
    <s v="Metropolitan North"/>
    <x v="0"/>
    <x v="0"/>
    <s v="Coed"/>
    <n v="265"/>
    <n v="0"/>
    <s v="Published"/>
    <n v="0"/>
    <n v="69"/>
    <n v="1144"/>
    <x v="0"/>
    <n v="11"/>
    <x v="1"/>
    <n v="-33.794097000000001"/>
    <n v="151.13091800000001"/>
  </r>
  <r>
    <s v="4165"/>
    <s v="Epping North Public School"/>
    <s v="North Epping"/>
    <s v="Hornsby"/>
    <s v="Sydney - Ryde"/>
    <x v="0"/>
    <x v="0"/>
    <s v="Metropolitan North"/>
    <x v="0"/>
    <x v="0"/>
    <s v="Coed"/>
    <n v="382"/>
    <n v="0"/>
    <s v="Published"/>
    <n v="0"/>
    <n v="52"/>
    <n v="1174"/>
    <x v="0"/>
    <n v="0"/>
    <x v="0"/>
    <n v="-33.757643000000002"/>
    <n v="151.09542500000001"/>
  </r>
  <r>
    <s v="4166"/>
    <s v="Marayong Public School"/>
    <s v="Blacktown"/>
    <s v="Blacktown"/>
    <s v="Sydney - Blacktown"/>
    <x v="0"/>
    <x v="0"/>
    <s v="Metropolitan North"/>
    <x v="0"/>
    <x v="0"/>
    <s v="Coed"/>
    <n v="557"/>
    <n v="7"/>
    <s v="Published"/>
    <n v="38.99"/>
    <n v="67"/>
    <n v="981"/>
    <x v="2"/>
    <n v="101"/>
    <x v="0"/>
    <n v="-33.756608999999997"/>
    <n v="150.89530400000001"/>
  </r>
  <r>
    <s v="4168"/>
    <s v="Lavington East Public School"/>
    <s v="Lavington"/>
    <s v="Albury"/>
    <s v="Murray"/>
    <x v="1"/>
    <x v="1"/>
    <s v="Rural South and West"/>
    <x v="0"/>
    <x v="0"/>
    <s v="Coed"/>
    <n v="291"/>
    <n v="19"/>
    <s v="Published"/>
    <n v="55.29"/>
    <n v="28"/>
    <n v="924"/>
    <x v="2"/>
    <n v="142"/>
    <x v="1"/>
    <n v="-36.039323000000003"/>
    <n v="146.94894199999999"/>
  </r>
  <r>
    <s v="4173"/>
    <s v="Kooringal Public School"/>
    <s v="Wagga Wagga"/>
    <s v="Wagga Wagga"/>
    <s v="Riverina"/>
    <x v="1"/>
    <x v="1"/>
    <s v="Rural South and West"/>
    <x v="0"/>
    <x v="0"/>
    <s v="Coed"/>
    <n v="390"/>
    <n v="19"/>
    <s v="Published"/>
    <n v="74.099999999999994"/>
    <n v="12"/>
    <n v="933"/>
    <x v="2"/>
    <n v="133"/>
    <x v="0"/>
    <n v="-35.148828000000002"/>
    <n v="147.37323900000001"/>
  </r>
  <r>
    <s v="4177"/>
    <s v="Albert Park Public School"/>
    <s v="East Lismore"/>
    <s v="Lismore"/>
    <s v="Richmond - Tweed"/>
    <x v="1"/>
    <x v="1"/>
    <s v="Rural North"/>
    <x v="0"/>
    <x v="0"/>
    <s v="Coed"/>
    <n v="102"/>
    <n v="33"/>
    <s v="Published"/>
    <n v="33.660000000000004"/>
    <n v="9"/>
    <n v="950"/>
    <x v="2"/>
    <n v="103"/>
    <x v="1"/>
    <n v="-28.821563000000001"/>
    <n v="153.27249800000001"/>
  </r>
  <r>
    <s v="4180"/>
    <s v="Berkeley West Public School"/>
    <s v="Berkeley"/>
    <s v="Wollongong"/>
    <s v="Illawarra"/>
    <x v="0"/>
    <x v="0"/>
    <s v="Regional South and Connected Communities"/>
    <x v="0"/>
    <x v="0"/>
    <s v="Coed"/>
    <n v="157"/>
    <n v="30"/>
    <s v="Published"/>
    <n v="47.1"/>
    <n v="17"/>
    <n v="868"/>
    <x v="1"/>
    <n v="165"/>
    <x v="1"/>
    <n v="-34.475496999999997"/>
    <n v="150.84100000000001"/>
  </r>
  <r>
    <s v="4183"/>
    <s v="Budgewoi Public School"/>
    <s v="Budgewoi"/>
    <s v="Central Coast (NSW)"/>
    <s v="Central Coast"/>
    <x v="0"/>
    <x v="0"/>
    <s v="Regional North"/>
    <x v="0"/>
    <x v="0"/>
    <s v="Coed"/>
    <n v="555"/>
    <n v="22"/>
    <s v="Published"/>
    <n v="122.1"/>
    <n v="6"/>
    <n v="937"/>
    <x v="2"/>
    <n v="131"/>
    <x v="0"/>
    <n v="-33.225718000000001"/>
    <n v="151.54931199999999"/>
  </r>
  <r>
    <s v="4184"/>
    <s v="Lennox Head Public School"/>
    <s v="Lennox Head"/>
    <s v="Ballina"/>
    <s v="Richmond - Tweed"/>
    <x v="1"/>
    <x v="1"/>
    <s v="Rural North"/>
    <x v="0"/>
    <x v="0"/>
    <s v="Coed"/>
    <n v="424"/>
    <n v="4"/>
    <s v="Published"/>
    <n v="16.96"/>
    <n v="15"/>
    <n v="1064"/>
    <x v="3"/>
    <n v="56"/>
    <x v="0"/>
    <n v="-28.794377000000001"/>
    <n v="153.59069500000001"/>
  </r>
  <r>
    <s v="4185"/>
    <s v="Valentine Public School"/>
    <s v="VALENTINE"/>
    <s v="Lake Macquarie"/>
    <s v="Newcastle and Lake Macquarie"/>
    <x v="0"/>
    <x v="0"/>
    <s v="Regional North"/>
    <x v="0"/>
    <x v="0"/>
    <s v="Coed"/>
    <n v="510"/>
    <n v="4"/>
    <s v="Published"/>
    <n v="20.400000000000002"/>
    <n v="5"/>
    <n v="1071"/>
    <x v="3"/>
    <n v="50"/>
    <x v="0"/>
    <n v="-33.009146999999999"/>
    <n v="151.642517"/>
  </r>
  <r>
    <s v="4191"/>
    <s v="Lalor Park Public School"/>
    <s v="Lalor Park"/>
    <s v="Blacktown"/>
    <s v="Sydney - Blacktown"/>
    <x v="0"/>
    <x v="0"/>
    <s v="Metropolitan South and West"/>
    <x v="0"/>
    <x v="0"/>
    <s v="Coed"/>
    <n v="187"/>
    <n v="18"/>
    <s v="Published"/>
    <n v="33.659999999999997"/>
    <n v="42"/>
    <n v="916"/>
    <x v="2"/>
    <n v="135"/>
    <x v="1"/>
    <n v="-33.760503999999997"/>
    <n v="150.93125000000001"/>
  </r>
  <r>
    <s v="4192"/>
    <s v="Bert Oldfield Public School"/>
    <s v="Seven Hills"/>
    <s v="Blacktown"/>
    <s v="Sydney - Blacktown"/>
    <x v="0"/>
    <x v="0"/>
    <s v="Metropolitan South and West"/>
    <x v="0"/>
    <x v="0"/>
    <s v="Coed"/>
    <n v="175"/>
    <n v="4"/>
    <s v="Published"/>
    <n v="7"/>
    <n v="73"/>
    <n v="1015"/>
    <x v="3"/>
    <n v="86"/>
    <x v="1"/>
    <n v="-33.777504999999998"/>
    <n v="150.92453699999999"/>
  </r>
  <r>
    <s v="4193"/>
    <s v="Blacktown South Public School"/>
    <s v="Blacktown"/>
    <s v="Blacktown"/>
    <s v="Sydney - Blacktown"/>
    <x v="0"/>
    <x v="0"/>
    <s v="Metropolitan South and West"/>
    <x v="0"/>
    <x v="0"/>
    <s v="Coed"/>
    <n v="936"/>
    <n v="3"/>
    <s v="Published"/>
    <n v="28.08"/>
    <n v="83"/>
    <n v="1042"/>
    <x v="3"/>
    <n v="66"/>
    <x v="3"/>
    <n v="-33.780192999999997"/>
    <n v="150.90517500000001"/>
  </r>
  <r>
    <s v="4194"/>
    <s v="Charlestown East Public School"/>
    <s v="Charlestown"/>
    <s v="Lake Macquarie"/>
    <s v="Newcastle and Lake Macquarie"/>
    <x v="0"/>
    <x v="0"/>
    <s v="Regional North"/>
    <x v="0"/>
    <x v="0"/>
    <s v="Coed"/>
    <n v="319"/>
    <n v="9"/>
    <s v="Published"/>
    <n v="28.709999999999997"/>
    <n v="6"/>
    <n v="1036"/>
    <x v="3"/>
    <n v="65"/>
    <x v="0"/>
    <n v="-32.971176"/>
    <n v="151.70469299999999"/>
  </r>
  <r>
    <s v="4195"/>
    <s v="Warrimoo Public School"/>
    <s v="Warrimoo"/>
    <s v="Blue Mountains"/>
    <s v="Sydney - Outer West and Blue Mountains"/>
    <x v="0"/>
    <x v="0"/>
    <s v="Regional North"/>
    <x v="0"/>
    <x v="0"/>
    <s v="Coed"/>
    <n v="146"/>
    <n v="12"/>
    <s v="Published"/>
    <n v="17.52"/>
    <n v="14"/>
    <n v="1052"/>
    <x v="3"/>
    <n v="63"/>
    <x v="1"/>
    <n v="-33.728056000000002"/>
    <n v="150.60021699999999"/>
  </r>
  <r>
    <s v="4196"/>
    <s v="Kempsey South Public School"/>
    <s v="Kempsey"/>
    <s v="Kempsey"/>
    <s v="Mid North Coast"/>
    <x v="1"/>
    <x v="1"/>
    <s v="Regional South and Connected Communities"/>
    <x v="0"/>
    <x v="0"/>
    <s v="Coed"/>
    <n v="129"/>
    <n v="65"/>
    <s v="Published"/>
    <n v="83.850000000000009"/>
    <m/>
    <n v="767"/>
    <x v="1"/>
    <n v="188"/>
    <x v="1"/>
    <n v="-31.094958999999999"/>
    <n v="152.82988800000001"/>
  </r>
  <r>
    <s v="4197"/>
    <s v="Blacksmiths Public School"/>
    <s v="Blacksmiths"/>
    <s v="Lake Macquarie"/>
    <s v="Newcastle and Lake Macquarie"/>
    <x v="0"/>
    <x v="0"/>
    <s v="Regional North"/>
    <x v="0"/>
    <x v="0"/>
    <s v="Coed"/>
    <n v="103"/>
    <n v="16"/>
    <s v="Published"/>
    <n v="16.48"/>
    <m/>
    <n v="1004"/>
    <x v="3"/>
    <n v="90"/>
    <x v="1"/>
    <n v="-33.071303"/>
    <n v="151.654011"/>
  </r>
  <r>
    <s v="4198"/>
    <s v="Casula Public School"/>
    <s v="Casula"/>
    <s v="Liverpool"/>
    <s v="Sydney - South West"/>
    <x v="0"/>
    <x v="0"/>
    <s v="Metropolitan South and West"/>
    <x v="0"/>
    <x v="0"/>
    <s v="Coed"/>
    <n v="660"/>
    <n v="4"/>
    <s v="Published"/>
    <n v="26.400000000000002"/>
    <n v="78"/>
    <n v="980"/>
    <x v="2"/>
    <n v="114"/>
    <x v="3"/>
    <n v="-33.944217999999999"/>
    <n v="150.9092"/>
  </r>
  <r>
    <s v="4199"/>
    <s v="Elanora Heights Public School"/>
    <s v="Elanora Heights"/>
    <s v="Northern Beaches"/>
    <s v="Sydney - Northern Beaches"/>
    <x v="0"/>
    <x v="0"/>
    <s v="Metropolitan North"/>
    <x v="0"/>
    <x v="0"/>
    <s v="Coed"/>
    <n v="387"/>
    <n v="4"/>
    <s v="Published"/>
    <n v="15.48"/>
    <n v="14"/>
    <n v="1087"/>
    <x v="3"/>
    <n v="36"/>
    <x v="0"/>
    <n v="-33.703671999999997"/>
    <n v="151.284751"/>
  </r>
  <r>
    <s v="4200"/>
    <s v="Allambie Heights Public School"/>
    <s v="ALLAMBIE HEIGHTS"/>
    <s v="Northern Beaches"/>
    <s v="Sydney - Northern Beaches"/>
    <x v="0"/>
    <x v="0"/>
    <s v="Metropolitan North"/>
    <x v="0"/>
    <x v="0"/>
    <s v="Coed"/>
    <n v="406"/>
    <m/>
    <s v="Suppressed"/>
    <s v=""/>
    <n v="15"/>
    <n v="1138"/>
    <x v="0"/>
    <n v="15"/>
    <x v="0"/>
    <n v="-33.766150000000003"/>
    <n v="151.24920800000001"/>
  </r>
  <r>
    <s v="4203"/>
    <s v="Kotara South Public School"/>
    <s v="KOTARA SOUTH"/>
    <s v="Newcastle"/>
    <s v="Newcastle and Lake Macquarie"/>
    <x v="0"/>
    <x v="0"/>
    <s v="Regional North"/>
    <x v="0"/>
    <x v="0"/>
    <s v="Coed"/>
    <n v="309"/>
    <n v="6"/>
    <s v="Published"/>
    <n v="18.54"/>
    <n v="16"/>
    <n v="1069"/>
    <x v="3"/>
    <n v="48"/>
    <x v="0"/>
    <n v="-32.946528000000001"/>
    <n v="151.694255"/>
  </r>
  <r>
    <s v="4204"/>
    <s v="Parkes East Public School"/>
    <s v="Parkes"/>
    <s v="Parkes"/>
    <s v="Central West"/>
    <x v="2"/>
    <x v="2"/>
    <s v="Rural South and West"/>
    <x v="0"/>
    <x v="0"/>
    <s v="Coed"/>
    <n v="281"/>
    <n v="25"/>
    <s v="Published"/>
    <n v="70.25"/>
    <n v="3"/>
    <n v="949"/>
    <x v="2"/>
    <n v="102"/>
    <x v="1"/>
    <n v="-33.136054000000001"/>
    <n v="148.19021499999999"/>
  </r>
  <r>
    <s v="4205"/>
    <s v="St Marys North Public School"/>
    <s v="North St Marys"/>
    <s v="Penrith"/>
    <s v="Sydney - Outer West and Blue Mountains"/>
    <x v="0"/>
    <x v="0"/>
    <s v="Metropolitan South and West"/>
    <x v="0"/>
    <x v="0"/>
    <s v="Coed"/>
    <n v="345"/>
    <n v="29"/>
    <s v="Published"/>
    <n v="100.05"/>
    <n v="26"/>
    <n v="873"/>
    <x v="1"/>
    <n v="164"/>
    <x v="0"/>
    <n v="-33.756231"/>
    <n v="150.78259600000001"/>
  </r>
  <r>
    <s v="4206"/>
    <s v="Biddabah Public School"/>
    <s v="Warners Bay"/>
    <s v="Lake Macquarie"/>
    <s v="Newcastle and Lake Macquarie"/>
    <x v="0"/>
    <x v="0"/>
    <s v="Regional North"/>
    <x v="0"/>
    <x v="0"/>
    <s v="Coed"/>
    <n v="348"/>
    <n v="7"/>
    <s v="Published"/>
    <n v="24.360000000000003"/>
    <n v="10"/>
    <n v="1065"/>
    <x v="3"/>
    <n v="61"/>
    <x v="0"/>
    <n v="-32.966054"/>
    <n v="151.64181199999999"/>
  </r>
  <r>
    <s v="4207"/>
    <s v="Glendale East Public School"/>
    <s v="Glendale"/>
    <s v="Lake Macquarie"/>
    <s v="Newcastle and Lake Macquarie"/>
    <x v="0"/>
    <x v="0"/>
    <s v="Regional North"/>
    <x v="0"/>
    <x v="0"/>
    <s v="Coed"/>
    <n v="232"/>
    <n v="22"/>
    <s v="Published"/>
    <n v="51.04"/>
    <n v="10"/>
    <n v="956"/>
    <x v="2"/>
    <n v="108"/>
    <x v="1"/>
    <n v="-32.927568000000001"/>
    <n v="151.65441000000001"/>
  </r>
  <r>
    <s v="4208"/>
    <s v="Fennell Bay Public School"/>
    <s v="Fennell Bay"/>
    <s v="Lake Macquarie"/>
    <s v="Newcastle and Lake Macquarie"/>
    <x v="0"/>
    <x v="0"/>
    <s v="Regional North"/>
    <x v="0"/>
    <x v="0"/>
    <s v="Coed"/>
    <n v="159"/>
    <n v="31"/>
    <s v="Published"/>
    <n v="49.29"/>
    <n v="12"/>
    <n v="889"/>
    <x v="1"/>
    <n v="147"/>
    <x v="1"/>
    <n v="-32.991748999999999"/>
    <n v="151.601866"/>
  </r>
  <r>
    <s v="4209"/>
    <s v="Temora West Public School"/>
    <s v="Temora"/>
    <s v="Temora"/>
    <s v="Riverina"/>
    <x v="2"/>
    <x v="2"/>
    <s v="Rural South and West"/>
    <x v="0"/>
    <x v="0"/>
    <s v="Coed"/>
    <n v="122"/>
    <n v="13"/>
    <s v="Published"/>
    <n v="15.860000000000001"/>
    <n v="5"/>
    <n v="940"/>
    <x v="2"/>
    <n v="114"/>
    <x v="1"/>
    <n v="-34.451303000000003"/>
    <n v="147.52353600000001"/>
  </r>
  <r>
    <s v="4210"/>
    <s v="Mount Pritchard East Public School"/>
    <s v="Mount Pritchard"/>
    <s v="Fairfield"/>
    <s v="Sydney - South West"/>
    <x v="0"/>
    <x v="0"/>
    <s v="Metropolitan South and West"/>
    <x v="0"/>
    <x v="0"/>
    <s v="Coed"/>
    <n v="214"/>
    <n v="10"/>
    <s v="Published"/>
    <n v="21.400000000000002"/>
    <n v="63"/>
    <n v="943"/>
    <x v="2"/>
    <n v="146"/>
    <x v="1"/>
    <n v="-33.905096999999998"/>
    <n v="150.91204400000001"/>
  </r>
  <r>
    <s v="4212"/>
    <s v="Quakers Hill East Public School"/>
    <s v="Acacia Gardens"/>
    <s v="Blacktown"/>
    <s v="Sydney - Blacktown"/>
    <x v="0"/>
    <x v="0"/>
    <s v="Metropolitan North"/>
    <x v="0"/>
    <x v="0"/>
    <s v="Coed"/>
    <n v="655"/>
    <n v="1"/>
    <s v="Published"/>
    <n v="6.55"/>
    <n v="71"/>
    <n v="1101"/>
    <x v="0"/>
    <n v="25"/>
    <x v="3"/>
    <n v="-33.732483999999999"/>
    <n v="150.91435899999999"/>
  </r>
  <r>
    <s v="4214"/>
    <s v="Narrandera East Infants School"/>
    <s v="Narrandera"/>
    <s v="Narrandera"/>
    <s v="Riverina"/>
    <x v="2"/>
    <x v="2"/>
    <s v="Rural South and West"/>
    <x v="3"/>
    <x v="0"/>
    <s v="Coed"/>
    <n v="25"/>
    <n v="36"/>
    <s v="Published"/>
    <n v="9"/>
    <m/>
    <n v="884"/>
    <x v="1"/>
    <n v="159"/>
    <x v="2"/>
    <n v="-34.750278999999999"/>
    <n v="146.56579199999999"/>
  </r>
  <r>
    <s v="4215"/>
    <s v="Mount Austin Public School"/>
    <s v="Mount Austin"/>
    <s v="Wagga Wagga"/>
    <s v="Riverina"/>
    <x v="1"/>
    <x v="1"/>
    <s v="Rural South and West"/>
    <x v="0"/>
    <x v="0"/>
    <s v="Coed"/>
    <n v="228"/>
    <n v="29"/>
    <s v="Published"/>
    <n v="66.11999999999999"/>
    <n v="30"/>
    <n v="824"/>
    <x v="1"/>
    <n v="196"/>
    <x v="1"/>
    <n v="-35.135621"/>
    <n v="147.35122999999999"/>
  </r>
  <r>
    <s v="4217"/>
    <s v="Banksia Road Public School"/>
    <s v="Greenacre"/>
    <s v="Canterbury-Bankstown"/>
    <s v="Sydney - Inner South West"/>
    <x v="0"/>
    <x v="0"/>
    <s v="Metropolitan South"/>
    <x v="0"/>
    <x v="0"/>
    <s v="Coed"/>
    <n v="512"/>
    <n v="0"/>
    <s v="Published"/>
    <n v="0"/>
    <n v="87"/>
    <n v="980"/>
    <x v="2"/>
    <n v="130"/>
    <x v="0"/>
    <n v="-33.906897999999998"/>
    <n v="151.05010999999999"/>
  </r>
  <r>
    <s v="4218"/>
    <s v="Gosford East Public School"/>
    <s v="EAST GOSFORD"/>
    <s v="Central Coast (NSW)"/>
    <s v="Central Coast"/>
    <x v="0"/>
    <x v="0"/>
    <s v="Regional North"/>
    <x v="0"/>
    <x v="0"/>
    <s v="Coed"/>
    <n v="334"/>
    <n v="13"/>
    <s v="Published"/>
    <n v="43.42"/>
    <n v="22"/>
    <n v="1017"/>
    <x v="3"/>
    <n v="79"/>
    <x v="0"/>
    <n v="-33.437558000000003"/>
    <n v="151.348883"/>
  </r>
  <r>
    <s v="4221"/>
    <s v="Loftus Public School"/>
    <s v="Loftus"/>
    <s v="Sutherland"/>
    <s v="Sydney - Sutherland"/>
    <x v="0"/>
    <x v="0"/>
    <s v="Metropolitan South and West"/>
    <x v="0"/>
    <x v="0"/>
    <s v="Coed"/>
    <n v="337"/>
    <n v="7"/>
    <s v="Published"/>
    <n v="23.590000000000003"/>
    <n v="10"/>
    <n v="1079"/>
    <x v="3"/>
    <n v="52"/>
    <x v="0"/>
    <n v="-34.046979"/>
    <n v="151.04888600000001"/>
  </r>
  <r>
    <s v="4222"/>
    <s v="Darcy Road Public School"/>
    <s v="WENTWORTHVILLE"/>
    <s v="Parramatta"/>
    <s v="Sydney - Parramatta"/>
    <x v="0"/>
    <x v="0"/>
    <s v="Metropolitan South"/>
    <x v="0"/>
    <x v="0"/>
    <s v="Coed"/>
    <n v="576"/>
    <m/>
    <s v="Suppressed"/>
    <s v=""/>
    <n v="95"/>
    <n v="1122"/>
    <x v="0"/>
    <n v="6"/>
    <x v="0"/>
    <n v="-33.801954000000002"/>
    <n v="150.96599000000001"/>
  </r>
  <r>
    <s v="4225"/>
    <s v="Tulloona Public School"/>
    <s v="Tulloona"/>
    <s v="Moree Plains"/>
    <s v="New England and North West"/>
    <x v="2"/>
    <x v="2"/>
    <s v="Rural North"/>
    <x v="0"/>
    <x v="0"/>
    <s v="Coed"/>
    <n v="1"/>
    <n v="0"/>
    <s v="Published"/>
    <n v="0"/>
    <n v="0"/>
    <m/>
    <x v="4"/>
    <n v="131"/>
    <x v="2"/>
    <n v="-28.868872"/>
    <n v="150.10130000000001"/>
  </r>
  <r>
    <s v="4228"/>
    <s v="Bullarah Public School"/>
    <s v="BULLARAH"/>
    <s v="Moree Plains"/>
    <s v="New England and North West"/>
    <x v="3"/>
    <x v="3"/>
    <s v="Rural North"/>
    <x v="0"/>
    <x v="0"/>
    <s v="Coed"/>
    <n v="24"/>
    <n v="33"/>
    <s v="Published"/>
    <n v="7.92"/>
    <m/>
    <n v="887"/>
    <x v="1"/>
    <n v="106"/>
    <x v="2"/>
    <n v="-29.470904999999998"/>
    <n v="149.22890799999999"/>
  </r>
  <r>
    <s v="4230"/>
    <s v="Laguna Street Public School"/>
    <s v="Caringbah"/>
    <s v="Sutherland"/>
    <s v="Sydney - Sutherland"/>
    <x v="0"/>
    <x v="0"/>
    <s v="Metropolitan South and West"/>
    <x v="0"/>
    <x v="0"/>
    <s v="Coed"/>
    <n v="440"/>
    <n v="3"/>
    <s v="Published"/>
    <n v="13.2"/>
    <n v="18"/>
    <n v="1084"/>
    <x v="3"/>
    <n v="49"/>
    <x v="0"/>
    <n v="-34.046340000000001"/>
    <n v="151.11285000000001"/>
  </r>
  <r>
    <s v="4232"/>
    <s v="Morgan Street Public School"/>
    <s v="Broken Hill"/>
    <s v="Broken Hill"/>
    <s v="Far West and Orana"/>
    <x v="2"/>
    <x v="2"/>
    <s v="Rural South and West"/>
    <x v="0"/>
    <x v="0"/>
    <s v="Coed"/>
    <n v="290"/>
    <n v="11"/>
    <s v="Published"/>
    <n v="31.9"/>
    <n v="6"/>
    <n v="960"/>
    <x v="2"/>
    <n v="106"/>
    <x v="1"/>
    <n v="-31.941471"/>
    <n v="141.46080699999999"/>
  </r>
  <r>
    <s v="4233"/>
    <s v="Railway Town Public School"/>
    <s v="Broken Hill"/>
    <s v="Broken Hill"/>
    <s v="Far West and Orana"/>
    <x v="2"/>
    <x v="2"/>
    <s v="Rural South and West"/>
    <x v="0"/>
    <x v="0"/>
    <s v="Coed"/>
    <n v="124"/>
    <n v="30"/>
    <s v="Published"/>
    <n v="37.199999999999996"/>
    <n v="8"/>
    <n v="868"/>
    <x v="1"/>
    <n v="164"/>
    <x v="1"/>
    <n v="-31.970614999999999"/>
    <n v="141.43996999999999"/>
  </r>
  <r>
    <s v="4241"/>
    <s v="Cromer Public School"/>
    <s v="Cromer"/>
    <s v="Northern Beaches"/>
    <s v="Sydney - Northern Beaches"/>
    <x v="0"/>
    <x v="0"/>
    <s v="Metropolitan North"/>
    <x v="0"/>
    <x v="0"/>
    <s v="Coed"/>
    <n v="468"/>
    <m/>
    <s v="Suppressed"/>
    <s v=""/>
    <n v="16"/>
    <n v="1091"/>
    <x v="3"/>
    <n v="43"/>
    <x v="0"/>
    <n v="-33.738008999999998"/>
    <n v="151.27466100000001"/>
  </r>
  <r>
    <s v="4246"/>
    <s v="Illaroo Road Public School"/>
    <s v="NORTH NOWRA"/>
    <s v="Shoalhaven"/>
    <s v="Southern Highlands and Shoalhaven"/>
    <x v="1"/>
    <x v="1"/>
    <s v="Regional South and Connected Communities"/>
    <x v="0"/>
    <x v="0"/>
    <s v="Coed"/>
    <n v="451"/>
    <n v="18"/>
    <s v="Published"/>
    <n v="81.179999999999993"/>
    <n v="12"/>
    <n v="992"/>
    <x v="2"/>
    <n v="87"/>
    <x v="0"/>
    <n v="-34.859063999999996"/>
    <n v="150.59000700000001"/>
  </r>
  <r>
    <s v="4248"/>
    <s v="Vardys Road Public School"/>
    <s v="SEVEN HILLS"/>
    <s v="Blacktown"/>
    <s v="Sydney - Blacktown"/>
    <x v="0"/>
    <x v="0"/>
    <s v="Metropolitan South and West"/>
    <x v="0"/>
    <x v="0"/>
    <s v="Coed"/>
    <n v="437"/>
    <n v="3"/>
    <s v="Published"/>
    <n v="13.11"/>
    <n v="34"/>
    <n v="1038"/>
    <x v="3"/>
    <n v="78"/>
    <x v="0"/>
    <n v="-33.757148000000001"/>
    <n v="150.94276500000001"/>
  </r>
  <r>
    <s v="4249"/>
    <s v="Wheeler Heights Public School"/>
    <s v="Collaroy Plateau"/>
    <s v="Northern Beaches"/>
    <s v="Sydney - Northern Beaches"/>
    <x v="0"/>
    <x v="0"/>
    <s v="Metropolitan North"/>
    <x v="0"/>
    <x v="0"/>
    <s v="Coed"/>
    <n v="430"/>
    <n v="2"/>
    <s v="Published"/>
    <n v="8.6"/>
    <n v="15"/>
    <n v="1086"/>
    <x v="3"/>
    <n v="39"/>
    <x v="0"/>
    <n v="-33.727789999999999"/>
    <n v="151.284764"/>
  </r>
  <r>
    <s v="4250"/>
    <s v="Randwick Public School"/>
    <s v="RANDWICK"/>
    <s v="Randwick"/>
    <s v="Sydney - Eastern Suburbs"/>
    <x v="0"/>
    <x v="0"/>
    <s v="Metropolitan South"/>
    <x v="0"/>
    <x v="0"/>
    <s v="Coed"/>
    <n v="853"/>
    <n v="1"/>
    <s v="Published"/>
    <n v="8.5299999999999994"/>
    <n v="50"/>
    <n v="1155"/>
    <x v="0"/>
    <n v="7"/>
    <x v="3"/>
    <n v="-33.910645000000002"/>
    <n v="151.241714"/>
  </r>
  <r>
    <s v="4256"/>
    <s v="Nowra East Public School"/>
    <s v="Nowra East"/>
    <s v="Shoalhaven"/>
    <s v="Southern Highlands and Shoalhaven"/>
    <x v="1"/>
    <x v="1"/>
    <s v="Regional South and Connected Communities"/>
    <x v="0"/>
    <x v="0"/>
    <s v="Coed"/>
    <n v="420"/>
    <n v="53"/>
    <s v="Published"/>
    <n v="222.60000000000002"/>
    <n v="6"/>
    <n v="784"/>
    <x v="1"/>
    <n v="195"/>
    <x v="0"/>
    <n v="-34.882443000000002"/>
    <n v="150.607732"/>
  </r>
  <r>
    <s v="4257"/>
    <s v="Ryde East Public School"/>
    <s v="North Ryde"/>
    <s v="Ryde"/>
    <s v="Sydney - Ryde"/>
    <x v="0"/>
    <x v="0"/>
    <s v="Metropolitan North"/>
    <x v="0"/>
    <x v="0"/>
    <s v="Coed"/>
    <n v="347"/>
    <m/>
    <s v="Suppressed"/>
    <s v=""/>
    <n v="36"/>
    <n v="1115"/>
    <x v="0"/>
    <n v="32"/>
    <x v="0"/>
    <n v="-33.807138999999999"/>
    <n v="151.12586400000001"/>
  </r>
  <r>
    <s v="4258"/>
    <s v="Lynwood Park Public School"/>
    <s v="BLACKTOWN"/>
    <s v="Blacktown"/>
    <s v="Sydney - Blacktown"/>
    <x v="0"/>
    <x v="0"/>
    <s v="Metropolitan South and West"/>
    <x v="0"/>
    <x v="0"/>
    <s v="Coed"/>
    <n v="223"/>
    <n v="9"/>
    <s v="Published"/>
    <n v="20.07"/>
    <n v="47"/>
    <n v="988"/>
    <x v="2"/>
    <n v="103"/>
    <x v="1"/>
    <n v="-33.754407999999998"/>
    <n v="150.92637300000001"/>
  </r>
  <r>
    <s v="4259"/>
    <s v="Burraneer Bay Public School"/>
    <s v="Cronulla"/>
    <s v="Sutherland"/>
    <s v="Sydney - Sutherland"/>
    <x v="0"/>
    <x v="0"/>
    <s v="Metropolitan South and West"/>
    <x v="0"/>
    <x v="0"/>
    <s v="Coed"/>
    <n v="573"/>
    <n v="2"/>
    <s v="Published"/>
    <n v="11.46"/>
    <n v="11"/>
    <n v="1101"/>
    <x v="0"/>
    <n v="47"/>
    <x v="0"/>
    <n v="-34.051026"/>
    <n v="151.13278099999999"/>
  </r>
  <r>
    <s v="4262"/>
    <s v="Mallawa Public School"/>
    <s v="MOREE"/>
    <s v="Moree Plains"/>
    <s v="New England and North West"/>
    <x v="3"/>
    <x v="3"/>
    <s v="Rural North"/>
    <x v="0"/>
    <x v="0"/>
    <s v="Coed"/>
    <n v="11"/>
    <m/>
    <s v="Suppressed"/>
    <s v=""/>
    <n v="0"/>
    <n v="874"/>
    <x v="1"/>
    <n v="145"/>
    <x v="2"/>
    <n v="-29.645472999999999"/>
    <n v="149.43918300000001"/>
  </r>
  <r>
    <s v="4263"/>
    <s v="Tarro Public School"/>
    <s v="Tarro"/>
    <s v="Newcastle"/>
    <s v="Newcastle and Lake Macquarie"/>
    <x v="0"/>
    <x v="0"/>
    <s v="Regional North and West"/>
    <x v="0"/>
    <x v="0"/>
    <s v="Coed"/>
    <n v="115"/>
    <n v="31"/>
    <s v="Published"/>
    <n v="35.65"/>
    <m/>
    <n v="892"/>
    <x v="1"/>
    <n v="139"/>
    <x v="1"/>
    <n v="-32.810606999999997"/>
    <n v="151.66475399999999"/>
  </r>
  <r>
    <s v="4266"/>
    <s v="Lakelands Public School"/>
    <s v="Dapto"/>
    <s v="Wollongong"/>
    <s v="Illawarra"/>
    <x v="0"/>
    <x v="0"/>
    <s v="Regional South and Connected Communities"/>
    <x v="0"/>
    <x v="0"/>
    <s v="Coed"/>
    <n v="370"/>
    <n v="12"/>
    <s v="Published"/>
    <n v="44.4"/>
    <n v="12"/>
    <n v="952"/>
    <x v="2"/>
    <n v="128"/>
    <x v="0"/>
    <n v="-34.505001999999998"/>
    <n v="150.795602"/>
  </r>
  <r>
    <s v="4268"/>
    <s v="Griffith East Public School"/>
    <s v="Griffith"/>
    <s v="Griffith"/>
    <s v="Riverina"/>
    <x v="2"/>
    <x v="2"/>
    <s v="Rural South and West"/>
    <x v="0"/>
    <x v="0"/>
    <s v="Coed"/>
    <n v="500"/>
    <n v="15"/>
    <s v="Published"/>
    <n v="75"/>
    <n v="25"/>
    <n v="966"/>
    <x v="2"/>
    <n v="106"/>
    <x v="0"/>
    <n v="-34.286141000000001"/>
    <n v="146.061792"/>
  </r>
  <r>
    <s v="4270"/>
    <s v="Khancoban Public School"/>
    <s v="Khancoban"/>
    <s v="Snowy Valleys"/>
    <s v="Riverina"/>
    <x v="2"/>
    <x v="2"/>
    <s v="Rural South and West"/>
    <x v="0"/>
    <x v="0"/>
    <s v="Coed"/>
    <n v="19"/>
    <n v="0"/>
    <s v="Published"/>
    <n v="0"/>
    <m/>
    <n v="948"/>
    <x v="2"/>
    <n v="122"/>
    <x v="2"/>
    <n v="-36.21405"/>
    <n v="148.13114200000001"/>
  </r>
  <r>
    <s v="4274"/>
    <s v="Hornsby Heights Public School"/>
    <s v="Hornsby"/>
    <s v="Hornsby"/>
    <s v="Sydney - North Sydney and Hornsby"/>
    <x v="0"/>
    <x v="0"/>
    <s v="Regional North"/>
    <x v="0"/>
    <x v="0"/>
    <s v="Coed"/>
    <n v="420"/>
    <m/>
    <s v="Suppressed"/>
    <s v=""/>
    <n v="26"/>
    <n v="1104"/>
    <x v="0"/>
    <n v="30"/>
    <x v="0"/>
    <n v="-33.670113999999998"/>
    <n v="151.09798900000001"/>
  </r>
  <r>
    <s v="4275"/>
    <s v="Normanhurst West Public School"/>
    <s v="Thornleigh"/>
    <s v="Hornsby"/>
    <s v="Sydney - North Sydney and Hornsby"/>
    <x v="0"/>
    <x v="0"/>
    <s v="Metropolitan North"/>
    <x v="0"/>
    <x v="0"/>
    <s v="Coed"/>
    <n v="363"/>
    <m/>
    <s v="Suppressed"/>
    <s v=""/>
    <n v="40"/>
    <n v="1136"/>
    <x v="0"/>
    <n v="14"/>
    <x v="0"/>
    <n v="-33.721060999999999"/>
    <n v="151.088436"/>
  </r>
  <r>
    <s v="4276"/>
    <s v="Thornleigh West Public School"/>
    <s v="Thornleigh"/>
    <s v="Hornsby"/>
    <s v="Sydney - North Sydney and Hornsby"/>
    <x v="0"/>
    <x v="0"/>
    <s v="Metropolitan North"/>
    <x v="0"/>
    <x v="0"/>
    <s v="Coed"/>
    <n v="477"/>
    <m/>
    <s v="Suppressed"/>
    <s v=""/>
    <n v="38"/>
    <n v="1142"/>
    <x v="0"/>
    <n v="13"/>
    <x v="0"/>
    <n v="-33.723863999999999"/>
    <n v="151.07216299999999"/>
  </r>
  <r>
    <s v="4277"/>
    <s v="Campbelltown East Public School"/>
    <s v="Campbelltown"/>
    <s v="Campbelltown (NSW)"/>
    <s v="Sydney - Outer South West"/>
    <x v="0"/>
    <x v="0"/>
    <s v="Regional South and Connected Communities"/>
    <x v="0"/>
    <x v="0"/>
    <s v="Coed"/>
    <n v="380"/>
    <n v="21"/>
    <s v="Published"/>
    <n v="79.8"/>
    <n v="37"/>
    <n v="927"/>
    <x v="2"/>
    <n v="141"/>
    <x v="0"/>
    <n v="-34.072299000000001"/>
    <n v="150.83175299999999"/>
  </r>
  <r>
    <s v="4278"/>
    <s v="Marsden Road Public School"/>
    <s v="Liverpool"/>
    <s v="Liverpool"/>
    <s v="Sydney - South West"/>
    <x v="0"/>
    <x v="0"/>
    <s v="Metropolitan South and West"/>
    <x v="0"/>
    <x v="0"/>
    <s v="Coed"/>
    <n v="726"/>
    <m/>
    <s v="Suppressed"/>
    <s v=""/>
    <n v="89"/>
    <n v="977"/>
    <x v="2"/>
    <n v="131"/>
    <x v="3"/>
    <n v="-33.916491000000001"/>
    <n v="150.91284099999999"/>
  </r>
  <r>
    <s v="4279"/>
    <s v="St Marys South Public School"/>
    <s v="St Marys"/>
    <s v="Penrith"/>
    <s v="Sydney - Outer West and Blue Mountains"/>
    <x v="0"/>
    <x v="0"/>
    <s v="Metropolitan South and West"/>
    <x v="0"/>
    <x v="0"/>
    <s v="Coed"/>
    <n v="319"/>
    <n v="8"/>
    <s v="Published"/>
    <n v="25.52"/>
    <n v="39"/>
    <n v="945"/>
    <x v="2"/>
    <n v="141"/>
    <x v="0"/>
    <n v="-33.780051999999998"/>
    <n v="150.776385"/>
  </r>
  <r>
    <s v="4281"/>
    <s v="Deniliquin North Public School"/>
    <s v="Deniliquin"/>
    <s v="Edward River"/>
    <s v="Murray"/>
    <x v="1"/>
    <x v="1"/>
    <s v="Rural South and West"/>
    <x v="0"/>
    <x v="0"/>
    <s v="Coed"/>
    <n v="164"/>
    <n v="9"/>
    <s v="Published"/>
    <n v="14.76"/>
    <n v="6"/>
    <n v="992"/>
    <x v="2"/>
    <n v="103"/>
    <x v="1"/>
    <n v="-35.525163999999997"/>
    <n v="144.98166399999999"/>
  </r>
  <r>
    <s v="4282"/>
    <s v="Marayong Heights Public School"/>
    <s v="Marayong"/>
    <s v="Blacktown"/>
    <s v="Sydney - Blacktown"/>
    <x v="0"/>
    <x v="0"/>
    <s v="Metropolitan North"/>
    <x v="0"/>
    <x v="0"/>
    <s v="Coed"/>
    <n v="283"/>
    <n v="9"/>
    <s v="Published"/>
    <n v="25.47"/>
    <n v="48"/>
    <n v="975"/>
    <x v="2"/>
    <n v="106"/>
    <x v="1"/>
    <n v="-33.742666999999997"/>
    <n v="150.89642499999999"/>
  </r>
  <r>
    <s v="4283"/>
    <s v="West Pymble Public School"/>
    <s v="West Pymble"/>
    <s v="Ku-ring-gai"/>
    <s v="Sydney - North Sydney and Hornsby"/>
    <x v="0"/>
    <x v="0"/>
    <s v="Metropolitan North"/>
    <x v="0"/>
    <x v="0"/>
    <s v="Coed"/>
    <n v="250"/>
    <m/>
    <s v="Suppressed"/>
    <s v=""/>
    <n v="28"/>
    <n v="1173"/>
    <x v="0"/>
    <n v="5"/>
    <x v="1"/>
    <n v="-33.763936999999999"/>
    <n v="151.12440100000001"/>
  </r>
  <r>
    <s v="4285"/>
    <s v="Bennett Road Public School"/>
    <s v="Colyton"/>
    <s v="Penrith"/>
    <s v="Sydney - Outer West and Blue Mountains"/>
    <x v="0"/>
    <x v="0"/>
    <s v="Metropolitan South and West"/>
    <x v="0"/>
    <x v="0"/>
    <s v="Coed"/>
    <n v="646"/>
    <n v="19"/>
    <s v="Published"/>
    <n v="122.74"/>
    <n v="40"/>
    <n v="912"/>
    <x v="2"/>
    <n v="151"/>
    <x v="3"/>
    <n v="-33.783498999999999"/>
    <n v="150.792462"/>
  </r>
  <r>
    <s v="4286"/>
    <s v="Camden South Public School"/>
    <s v="Camden"/>
    <s v="Camden"/>
    <s v="Sydney - Outer South West"/>
    <x v="0"/>
    <x v="0"/>
    <s v="Regional South and Connected Communities"/>
    <x v="0"/>
    <x v="0"/>
    <s v="Coed"/>
    <n v="712"/>
    <n v="9"/>
    <s v="Published"/>
    <n v="64.08"/>
    <n v="11"/>
    <n v="1021"/>
    <x v="3"/>
    <n v="84"/>
    <x v="3"/>
    <n v="-34.069741"/>
    <n v="150.69562999999999"/>
  </r>
  <r>
    <s v="4288"/>
    <s v="Holsworthy Public School"/>
    <s v="HOLSWORTHY"/>
    <s v="Liverpool"/>
    <s v="Sydney - South West"/>
    <x v="0"/>
    <x v="0"/>
    <s v="Metropolitan South and West"/>
    <x v="0"/>
    <x v="0"/>
    <s v="Coed"/>
    <n v="563"/>
    <n v="3"/>
    <s v="Published"/>
    <n v="16.89"/>
    <n v="71"/>
    <n v="1100"/>
    <x v="0"/>
    <n v="39"/>
    <x v="0"/>
    <n v="-33.956341999999999"/>
    <n v="150.95335299999999"/>
  </r>
  <r>
    <s v="4289"/>
    <s v="Lurnea Public School"/>
    <s v="Lurnea"/>
    <s v="Liverpool"/>
    <s v="Sydney - South West"/>
    <x v="0"/>
    <x v="0"/>
    <s v="Metropolitan South and West"/>
    <x v="0"/>
    <x v="0"/>
    <s v="Coed"/>
    <n v="440"/>
    <n v="6"/>
    <s v="Published"/>
    <n v="26.4"/>
    <n v="84"/>
    <n v="906"/>
    <x v="2"/>
    <n v="167"/>
    <x v="0"/>
    <n v="-33.932082000000001"/>
    <n v="150.89192499999999"/>
  </r>
  <r>
    <s v="4290"/>
    <s v="Mount Druitt Public School"/>
    <s v="MOUNT DRUITT"/>
    <s v="Blacktown"/>
    <s v="Sydney - Blacktown"/>
    <x v="0"/>
    <x v="0"/>
    <s v="Metropolitan South and West"/>
    <x v="0"/>
    <x v="0"/>
    <s v="Coed"/>
    <n v="565"/>
    <n v="6"/>
    <s v="Published"/>
    <n v="33.9"/>
    <n v="82"/>
    <n v="961"/>
    <x v="2"/>
    <n v="127"/>
    <x v="0"/>
    <n v="-33.763984000000001"/>
    <n v="150.81250900000001"/>
  </r>
  <r>
    <s v="4291"/>
    <s v="Balarang Public School"/>
    <s v="Oak Flats"/>
    <s v="Shellharbour"/>
    <s v="Illawarra"/>
    <x v="0"/>
    <x v="0"/>
    <s v="Regional South and Connected Communities"/>
    <x v="0"/>
    <x v="0"/>
    <s v="Coed"/>
    <n v="268"/>
    <n v="16"/>
    <s v="Published"/>
    <n v="42.88"/>
    <n v="11"/>
    <n v="974"/>
    <x v="2"/>
    <n v="100"/>
    <x v="1"/>
    <n v="-34.559759999999997"/>
    <n v="150.83111500000001"/>
  </r>
  <r>
    <s v="4292"/>
    <s v="Engadine West Public School"/>
    <s v="Engadine"/>
    <s v="Sutherland"/>
    <s v="Sydney - Sutherland"/>
    <x v="0"/>
    <x v="0"/>
    <s v="Metropolitan South and West"/>
    <x v="0"/>
    <x v="0"/>
    <s v="Coed"/>
    <n v="541"/>
    <n v="3"/>
    <s v="Published"/>
    <n v="16.23"/>
    <n v="8"/>
    <n v="1057"/>
    <x v="3"/>
    <n v="60"/>
    <x v="0"/>
    <n v="-34.059519000000002"/>
    <n v="151.002566"/>
  </r>
  <r>
    <s v="4293"/>
    <s v="St Ives North Public School"/>
    <s v="St Ives"/>
    <s v="Ku-ring-gai"/>
    <s v="Sydney - North Sydney and Hornsby"/>
    <x v="0"/>
    <x v="0"/>
    <s v="Metropolitan North"/>
    <x v="0"/>
    <x v="0"/>
    <s v="Coed"/>
    <n v="846"/>
    <n v="0"/>
    <s v="Published"/>
    <n v="0"/>
    <n v="77"/>
    <n v="1164"/>
    <x v="0"/>
    <n v="0"/>
    <x v="3"/>
    <n v="-33.718671999999998"/>
    <n v="151.163635"/>
  </r>
  <r>
    <s v="4294"/>
    <s v="Roselea Public School"/>
    <s v="CARLINGFORD"/>
    <s v="Parramatta"/>
    <s v="Sydney - Parramatta"/>
    <x v="0"/>
    <x v="0"/>
    <s v="Metropolitan North"/>
    <x v="0"/>
    <x v="0"/>
    <s v="Coed"/>
    <n v="306"/>
    <n v="2"/>
    <s v="Published"/>
    <n v="6.12"/>
    <n v="73"/>
    <n v="1112"/>
    <x v="0"/>
    <n v="29"/>
    <x v="0"/>
    <n v="-33.765259"/>
    <n v="151.05251999999999"/>
  </r>
  <r>
    <s v="4296"/>
    <s v="Woonona East Public School"/>
    <s v="Woonona"/>
    <s v="Wollongong"/>
    <s v="Illawarra"/>
    <x v="0"/>
    <x v="0"/>
    <s v="Regional South and Connected Communities"/>
    <x v="0"/>
    <x v="0"/>
    <s v="Coed"/>
    <n v="200"/>
    <n v="16"/>
    <s v="Published"/>
    <n v="32"/>
    <n v="10"/>
    <n v="1037"/>
    <x v="3"/>
    <n v="71"/>
    <x v="1"/>
    <n v="-34.352260999999999"/>
    <n v="150.91545300000001"/>
  </r>
  <r>
    <s v="4298"/>
    <s v="Yarrawarrah Public School"/>
    <s v="Engadine"/>
    <s v="Sutherland"/>
    <s v="Sydney - Sutherland"/>
    <x v="0"/>
    <x v="0"/>
    <s v="Metropolitan South and West"/>
    <x v="0"/>
    <x v="0"/>
    <s v="Coed"/>
    <n v="249"/>
    <n v="3"/>
    <s v="Published"/>
    <n v="7.47"/>
    <n v="12"/>
    <n v="1081"/>
    <x v="3"/>
    <n v="54"/>
    <x v="1"/>
    <n v="-34.056573999999998"/>
    <n v="151.02613700000001"/>
  </r>
  <r>
    <s v="4299"/>
    <s v="Chifley Public School"/>
    <s v="Malabar"/>
    <s v="Randwick"/>
    <s v="Sydney - Eastern Suburbs"/>
    <x v="0"/>
    <x v="0"/>
    <s v="Metropolitan South"/>
    <x v="0"/>
    <x v="0"/>
    <s v="Coed"/>
    <n v="227"/>
    <n v="38"/>
    <s v="Published"/>
    <n v="86.26"/>
    <n v="34"/>
    <n v="954"/>
    <x v="2"/>
    <n v="101"/>
    <x v="1"/>
    <n v="-33.965829999999997"/>
    <n v="151.24215799999999"/>
  </r>
  <r>
    <s v="4305"/>
    <s v="Weilmoringle Public School"/>
    <s v="Weilmoringle"/>
    <s v="Brewarrina"/>
    <s v="Far West and Orana"/>
    <x v="4"/>
    <x v="4"/>
    <s v="Rural North"/>
    <x v="0"/>
    <x v="0"/>
    <s v="Coed"/>
    <n v="5"/>
    <m/>
    <s v="Suppressed"/>
    <s v=""/>
    <m/>
    <m/>
    <x v="4"/>
    <n v="195"/>
    <x v="2"/>
    <n v="-29.238786000000001"/>
    <n v="146.918094"/>
  </r>
  <r>
    <s v="4310"/>
    <s v="Walters Road Public School"/>
    <s v="Blacktown"/>
    <s v="Blacktown"/>
    <s v="Sydney - Blacktown"/>
    <x v="0"/>
    <x v="0"/>
    <s v="Metropolitan South and West"/>
    <x v="0"/>
    <x v="0"/>
    <s v="Coed"/>
    <n v="523"/>
    <n v="5"/>
    <s v="Published"/>
    <n v="26.150000000000002"/>
    <n v="68"/>
    <n v="997"/>
    <x v="2"/>
    <n v="96"/>
    <x v="0"/>
    <n v="-33.784757999999997"/>
    <n v="150.89214799999999"/>
  </r>
  <r>
    <s v="4311"/>
    <s v="Bardia Public School"/>
    <m/>
    <s v="Campbelltown (NSW)"/>
    <s v="Sydney - Outer South West"/>
    <x v="0"/>
    <x v="0"/>
    <s v="Metropolitan South and West"/>
    <x v="0"/>
    <x v="0"/>
    <s v="Coed"/>
    <n v="953"/>
    <n v="3"/>
    <s v="Published"/>
    <n v="28.59"/>
    <n v="81"/>
    <n v="1070"/>
    <x v="3"/>
    <n v="47"/>
    <x v="3"/>
    <n v="-33.975279999999998"/>
    <n v="150.857923"/>
  </r>
  <r>
    <s v="4312"/>
    <s v="Ringrose Public School"/>
    <s v="Greystanes"/>
    <s v="Cumberland"/>
    <s v="Sydney - Parramatta"/>
    <x v="0"/>
    <x v="0"/>
    <s v="Metropolitan South"/>
    <x v="0"/>
    <x v="0"/>
    <s v="Coed"/>
    <n v="339"/>
    <n v="2"/>
    <s v="Published"/>
    <n v="6.78"/>
    <n v="71"/>
    <n v="1002"/>
    <x v="3"/>
    <n v="90"/>
    <x v="0"/>
    <n v="-33.820180999999998"/>
    <n v="150.95939899999999"/>
  </r>
  <r>
    <s v="4313"/>
    <s v="Blaxland East Public School"/>
    <s v="Blaxland"/>
    <s v="Blue Mountains"/>
    <s v="Sydney - Outer West and Blue Mountains"/>
    <x v="0"/>
    <x v="0"/>
    <s v="Regional North"/>
    <x v="0"/>
    <x v="0"/>
    <s v="Coed"/>
    <n v="379"/>
    <n v="9"/>
    <s v="Published"/>
    <n v="34.11"/>
    <n v="12"/>
    <n v="1068"/>
    <x v="3"/>
    <n v="49"/>
    <x v="0"/>
    <n v="-33.746937000000003"/>
    <n v="150.62363199999999"/>
  </r>
  <r>
    <s v="4314"/>
    <s v="Harrington Street Public School"/>
    <s v="Cabramatta"/>
    <s v="Fairfield"/>
    <s v="Sydney - South West"/>
    <x v="0"/>
    <x v="0"/>
    <s v="Metropolitan South and West"/>
    <x v="0"/>
    <x v="0"/>
    <s v="Coed"/>
    <n v="740"/>
    <m/>
    <s v="Suppressed"/>
    <s v=""/>
    <n v="98"/>
    <n v="1000"/>
    <x v="3"/>
    <n v="109"/>
    <x v="3"/>
    <n v="-33.888595000000002"/>
    <n v="150.908725"/>
  </r>
  <r>
    <s v="4316"/>
    <s v="Mannering Park Public School"/>
    <s v="Mannering Park"/>
    <s v="Central Coast (NSW)"/>
    <s v="Central Coast"/>
    <x v="0"/>
    <x v="0"/>
    <s v="Regional North"/>
    <x v="0"/>
    <x v="0"/>
    <s v="Coed"/>
    <n v="193"/>
    <n v="19"/>
    <s v="Published"/>
    <n v="36.67"/>
    <n v="11"/>
    <n v="945"/>
    <x v="2"/>
    <n v="123"/>
    <x v="1"/>
    <n v="-33.150793999999998"/>
    <n v="151.53678500000001"/>
  </r>
  <r>
    <s v="4318"/>
    <s v="Hillsborough Public School"/>
    <s v="CHARLESTOWN"/>
    <s v="Lake Macquarie"/>
    <s v="Newcastle and Lake Macquarie"/>
    <x v="0"/>
    <x v="0"/>
    <s v="Regional North"/>
    <x v="0"/>
    <x v="0"/>
    <s v="Coed"/>
    <n v="164"/>
    <n v="14"/>
    <s v="Published"/>
    <n v="22.96"/>
    <n v="18"/>
    <n v="1020"/>
    <x v="3"/>
    <n v="70"/>
    <x v="1"/>
    <n v="-32.959966000000001"/>
    <n v="151.68002999999999"/>
  </r>
  <r>
    <s v="4319"/>
    <s v="Sadleir Public School"/>
    <s v="Sadleir"/>
    <s v="Liverpool"/>
    <s v="Sydney - South West"/>
    <x v="0"/>
    <x v="0"/>
    <s v="Metropolitan South and West"/>
    <x v="0"/>
    <x v="0"/>
    <s v="Coed"/>
    <n v="351"/>
    <n v="10"/>
    <s v="Published"/>
    <n v="35.1"/>
    <n v="81"/>
    <n v="883"/>
    <x v="1"/>
    <n v="183"/>
    <x v="0"/>
    <n v="-33.915843000000002"/>
    <n v="150.891029"/>
  </r>
  <r>
    <s v="4320"/>
    <s v="Gwandalan Public School"/>
    <s v="Gwandalan"/>
    <s v="Central Coast (NSW)"/>
    <s v="Central Coast"/>
    <x v="0"/>
    <x v="0"/>
    <s v="Regional North"/>
    <x v="0"/>
    <x v="0"/>
    <s v="Coed"/>
    <n v="351"/>
    <n v="20"/>
    <s v="Published"/>
    <n v="70.2"/>
    <n v="6"/>
    <n v="953"/>
    <x v="2"/>
    <n v="113"/>
    <x v="0"/>
    <n v="-33.135468000000003"/>
    <n v="151.58244400000001"/>
  </r>
  <r>
    <s v="4323"/>
    <s v="Peakhurst South Public School"/>
    <s v="PEAKHURST HEIGHTS"/>
    <s v="Georges River"/>
    <s v="Sydney - Inner South West"/>
    <x v="0"/>
    <x v="0"/>
    <s v="Metropolitan South"/>
    <x v="0"/>
    <x v="0"/>
    <s v="Coed"/>
    <n v="313"/>
    <m/>
    <s v="Suppressed"/>
    <s v=""/>
    <n v="45"/>
    <n v="1061"/>
    <x v="3"/>
    <n v="48"/>
    <x v="0"/>
    <n v="-33.972923000000002"/>
    <n v="151.05598599999999"/>
  </r>
  <r>
    <s v="4324"/>
    <s v="Charlestown South Public School"/>
    <s v="CHARLESTOWN"/>
    <s v="Lake Macquarie"/>
    <s v="Newcastle and Lake Macquarie"/>
    <x v="0"/>
    <x v="0"/>
    <s v="Regional North"/>
    <x v="0"/>
    <x v="0"/>
    <s v="Coed"/>
    <n v="235"/>
    <n v="9"/>
    <s v="Published"/>
    <n v="21.15"/>
    <n v="15"/>
    <n v="1075"/>
    <x v="3"/>
    <n v="54"/>
    <x v="1"/>
    <n v="-32.967649999999999"/>
    <n v="151.68818099999999"/>
  </r>
  <r>
    <s v="4327"/>
    <s v="Marayong South Public School"/>
    <s v="Blacktown"/>
    <s v="Blacktown"/>
    <s v="Sydney - Blacktown"/>
    <x v="0"/>
    <x v="0"/>
    <s v="Metropolitan North"/>
    <x v="0"/>
    <x v="0"/>
    <s v="Coed"/>
    <n v="286"/>
    <n v="9"/>
    <s v="Published"/>
    <n v="25.74"/>
    <n v="66"/>
    <n v="1010"/>
    <x v="3"/>
    <n v="84"/>
    <x v="1"/>
    <n v="-33.760128000000002"/>
    <n v="150.88523599999999"/>
  </r>
  <r>
    <s v="4328"/>
    <s v="Sherwood Grange Public School"/>
    <s v="Merrylands"/>
    <s v="Cumberland"/>
    <s v="Sydney - Parramatta"/>
    <x v="0"/>
    <x v="0"/>
    <s v="Metropolitan South"/>
    <x v="0"/>
    <x v="0"/>
    <s v="Coed"/>
    <n v="246"/>
    <m/>
    <s v="Suppressed"/>
    <s v=""/>
    <n v="67"/>
    <n v="992"/>
    <x v="2"/>
    <n v="116"/>
    <x v="1"/>
    <n v="-33.836784000000002"/>
    <n v="150.960103"/>
  </r>
  <r>
    <s v="4329"/>
    <s v="Woy Woy South Public School"/>
    <s v="Woy Woy"/>
    <s v="Central Coast (NSW)"/>
    <s v="Central Coast"/>
    <x v="0"/>
    <x v="0"/>
    <s v="Regional North"/>
    <x v="0"/>
    <x v="0"/>
    <s v="Coed"/>
    <n v="648"/>
    <n v="10"/>
    <s v="Published"/>
    <n v="64.8"/>
    <n v="13"/>
    <n v="996"/>
    <x v="2"/>
    <n v="106"/>
    <x v="3"/>
    <n v="-33.503577"/>
    <n v="151.32142899999999"/>
  </r>
  <r>
    <s v="4331"/>
    <s v="St Ives Public School"/>
    <s v="St Ives"/>
    <s v="Ku-ring-gai"/>
    <s v="Sydney - North Sydney and Hornsby"/>
    <x v="0"/>
    <x v="0"/>
    <s v="Metropolitan North"/>
    <x v="0"/>
    <x v="0"/>
    <s v="Coed"/>
    <n v="465"/>
    <n v="0"/>
    <s v="Published"/>
    <n v="0"/>
    <n v="48"/>
    <n v="1155"/>
    <x v="0"/>
    <n v="3"/>
    <x v="0"/>
    <n v="-33.738199000000002"/>
    <n v="151.16650000000001"/>
  </r>
  <r>
    <s v="4333"/>
    <s v="Warilla North Public School"/>
    <s v="Warilla"/>
    <s v="Shellharbour"/>
    <s v="Illawarra"/>
    <x v="0"/>
    <x v="0"/>
    <s v="Regional South and Connected Communities"/>
    <x v="0"/>
    <x v="0"/>
    <s v="Coed"/>
    <n v="167"/>
    <n v="29"/>
    <s v="Published"/>
    <n v="48.43"/>
    <n v="8"/>
    <n v="872"/>
    <x v="1"/>
    <n v="162"/>
    <x v="1"/>
    <n v="-34.546621000000002"/>
    <n v="150.85283000000001"/>
  </r>
  <r>
    <s v="4336"/>
    <s v="Heckenberg Public School"/>
    <s v="HECKENBERG"/>
    <s v="Liverpool"/>
    <s v="Sydney - South West"/>
    <x v="0"/>
    <x v="0"/>
    <s v="Metropolitan South and West"/>
    <x v="0"/>
    <x v="0"/>
    <s v="Coed"/>
    <n v="209"/>
    <n v="17"/>
    <s v="Published"/>
    <n v="35.53"/>
    <n v="65"/>
    <n v="848"/>
    <x v="1"/>
    <n v="197"/>
    <x v="1"/>
    <n v="-33.908783999999997"/>
    <n v="150.89054300000001"/>
  </r>
  <r>
    <s v="4337"/>
    <s v="Busby Public School"/>
    <s v="Busby"/>
    <s v="Liverpool"/>
    <s v="Sydney - South West"/>
    <x v="0"/>
    <x v="0"/>
    <s v="Metropolitan South and West"/>
    <x v="0"/>
    <x v="0"/>
    <s v="Coed"/>
    <n v="243"/>
    <n v="16"/>
    <s v="Published"/>
    <n v="38.880000000000003"/>
    <n v="88"/>
    <n v="892"/>
    <x v="1"/>
    <n v="167"/>
    <x v="1"/>
    <n v="-33.911560999999999"/>
    <n v="150.88131300000001"/>
  </r>
  <r>
    <s v="4338"/>
    <s v="Miller Public School"/>
    <s v="Miller"/>
    <s v="Liverpool"/>
    <s v="Sydney - South West"/>
    <x v="0"/>
    <x v="0"/>
    <s v="Metropolitan South and West"/>
    <x v="0"/>
    <x v="0"/>
    <s v="Coed"/>
    <n v="266"/>
    <n v="15"/>
    <s v="Published"/>
    <n v="39.9"/>
    <n v="67"/>
    <n v="880"/>
    <x v="1"/>
    <n v="174"/>
    <x v="1"/>
    <n v="-33.921453999999997"/>
    <n v="150.876881"/>
  </r>
  <r>
    <s v="4339"/>
    <s v="Kingswood South Public School"/>
    <s v="Kingswood"/>
    <s v="Penrith"/>
    <s v="Sydney - Outer West and Blue Mountains"/>
    <x v="0"/>
    <x v="0"/>
    <s v="Metropolitan South and West"/>
    <x v="0"/>
    <x v="0"/>
    <s v="Coed"/>
    <n v="304"/>
    <n v="18"/>
    <s v="Published"/>
    <n v="54.72"/>
    <n v="33"/>
    <n v="956"/>
    <x v="2"/>
    <n v="113"/>
    <x v="0"/>
    <n v="-33.769286999999998"/>
    <n v="150.711849"/>
  </r>
  <r>
    <s v="4342"/>
    <s v="Picnic Point Public School"/>
    <s v="Picnic Point"/>
    <s v="Canterbury-Bankstown"/>
    <s v="Sydney - Inner South West"/>
    <x v="0"/>
    <x v="0"/>
    <s v="Metropolitan South and West"/>
    <x v="0"/>
    <x v="0"/>
    <s v="Coed"/>
    <n v="360"/>
    <n v="2"/>
    <s v="Published"/>
    <n v="7.2"/>
    <n v="67"/>
    <n v="1101"/>
    <x v="0"/>
    <n v="38"/>
    <x v="0"/>
    <n v="-33.969118999999999"/>
    <n v="151.010243"/>
  </r>
  <r>
    <s v="4344"/>
    <s v="Ashcroft Public School"/>
    <s v="Ashcroft"/>
    <s v="Liverpool"/>
    <s v="Sydney - South West"/>
    <x v="0"/>
    <x v="0"/>
    <s v="Metropolitan South and West"/>
    <x v="0"/>
    <x v="0"/>
    <s v="Coed"/>
    <n v="284"/>
    <n v="14"/>
    <s v="Published"/>
    <n v="39.760000000000005"/>
    <n v="71"/>
    <n v="887"/>
    <x v="1"/>
    <n v="173"/>
    <x v="1"/>
    <n v="-33.916395000000001"/>
    <n v="150.89839000000001"/>
  </r>
  <r>
    <s v="4346"/>
    <s v="Wadangali Public School"/>
    <s v="Penrith"/>
    <s v="Penrith"/>
    <s v="Sydney - Outer West and Blue Mountains"/>
    <x v="0"/>
    <x v="0"/>
    <s v="Metropolitan North"/>
    <x v="0"/>
    <x v="0"/>
    <s v="Coed"/>
    <n v="166"/>
    <n v="48"/>
    <s v="Published"/>
    <n v="79.679999999999993"/>
    <n v="13"/>
    <n v="810"/>
    <x v="1"/>
    <n v="177"/>
    <x v="1"/>
    <n v="-33.741191000000001"/>
    <n v="150.711457"/>
  </r>
  <r>
    <s v="4348"/>
    <s v="Coleambally Central School"/>
    <s v="Coleambally"/>
    <s v="Murrumbidgee"/>
    <s v="Riverina"/>
    <x v="2"/>
    <x v="2"/>
    <s v="Rural South and West"/>
    <x v="1"/>
    <x v="0"/>
    <s v="Coed"/>
    <n v="142.80000000000001"/>
    <n v="18"/>
    <s v="Published"/>
    <n v="25.704000000000001"/>
    <n v="13"/>
    <n v="931"/>
    <x v="2"/>
    <n v="114"/>
    <x v="1"/>
    <n v="-34.804177000000003"/>
    <n v="145.88440700000001"/>
  </r>
  <r>
    <s v="4354"/>
    <s v="Faulconbridge Public School"/>
    <s v="FAULCONBRIDGE"/>
    <s v="Blue Mountains"/>
    <s v="Sydney - Outer West and Blue Mountains"/>
    <x v="0"/>
    <x v="0"/>
    <s v="Regional North"/>
    <x v="0"/>
    <x v="0"/>
    <s v="Coed"/>
    <n v="368"/>
    <n v="7"/>
    <s v="Published"/>
    <n v="25.76"/>
    <n v="7"/>
    <n v="1063"/>
    <x v="3"/>
    <n v="58"/>
    <x v="0"/>
    <n v="-33.691021999999997"/>
    <n v="150.544693"/>
  </r>
  <r>
    <s v="4355"/>
    <s v="Smithfield West Public School"/>
    <s v="Wetherill Park"/>
    <s v="Fairfield"/>
    <s v="Sydney - South West"/>
    <x v="0"/>
    <x v="0"/>
    <s v="Metropolitan South and West"/>
    <x v="0"/>
    <x v="0"/>
    <s v="Coed"/>
    <n v="300"/>
    <n v="4"/>
    <s v="Published"/>
    <n v="12"/>
    <n v="80"/>
    <n v="900"/>
    <x v="2"/>
    <n v="182"/>
    <x v="0"/>
    <n v="-33.857607999999999"/>
    <n v="150.91788"/>
  </r>
  <r>
    <s v="4357"/>
    <s v="Pleasant Heights Public School"/>
    <s v="Mount Pleasant"/>
    <s v="Wollongong"/>
    <s v="Illawarra"/>
    <x v="0"/>
    <x v="0"/>
    <s v="Regional South and Connected Communities"/>
    <x v="0"/>
    <x v="0"/>
    <s v="Coed"/>
    <n v="241"/>
    <m/>
    <s v="Suppressed"/>
    <s v=""/>
    <n v="13"/>
    <n v="1126"/>
    <x v="0"/>
    <n v="23"/>
    <x v="1"/>
    <n v="-34.396188000000002"/>
    <n v="150.873289"/>
  </r>
  <r>
    <s v="4359"/>
    <s v="Bilgola Plateau Public School"/>
    <s v="Bilgola Plateau"/>
    <s v="Northern Beaches"/>
    <s v="Sydney - Northern Beaches"/>
    <x v="0"/>
    <x v="0"/>
    <s v="Metropolitan North"/>
    <x v="0"/>
    <x v="0"/>
    <s v="Coed"/>
    <n v="344"/>
    <n v="0"/>
    <s v="Published"/>
    <n v="0"/>
    <n v="11"/>
    <n v="1121"/>
    <x v="0"/>
    <n v="25"/>
    <x v="0"/>
    <n v="-33.644021000000002"/>
    <n v="151.31340599999999"/>
  </r>
  <r>
    <s v="4360"/>
    <s v="Cartwright Public School"/>
    <s v="Cartwright"/>
    <s v="Liverpool"/>
    <s v="Sydney - South West"/>
    <x v="0"/>
    <x v="0"/>
    <s v="Metropolitan South and West"/>
    <x v="0"/>
    <x v="0"/>
    <s v="Coed"/>
    <n v="241"/>
    <n v="8"/>
    <s v="Published"/>
    <n v="19.28"/>
    <n v="77"/>
    <n v="920"/>
    <x v="2"/>
    <n v="174"/>
    <x v="1"/>
    <n v="-33.925283999999998"/>
    <n v="150.89094299999999"/>
  </r>
  <r>
    <s v="4364"/>
    <s v="Toongabbie West Public School"/>
    <s v="Toongabbie"/>
    <s v="Parramatta"/>
    <s v="Sydney - Parramatta"/>
    <x v="0"/>
    <x v="0"/>
    <s v="Metropolitan South"/>
    <x v="0"/>
    <x v="0"/>
    <s v="Coed"/>
    <n v="268"/>
    <n v="5"/>
    <s v="Published"/>
    <n v="13.4"/>
    <n v="75"/>
    <n v="1046"/>
    <x v="3"/>
    <n v="58"/>
    <x v="1"/>
    <n v="-33.792592999999997"/>
    <n v="150.95723799999999"/>
  </r>
  <r>
    <s v="4365"/>
    <s v="Hornsby North Public School"/>
    <s v="Hornsby"/>
    <s v="Hornsby"/>
    <s v="Sydney - North Sydney and Hornsby"/>
    <x v="0"/>
    <x v="0"/>
    <s v="Metropolitan North"/>
    <x v="0"/>
    <x v="0"/>
    <s v="Coed"/>
    <n v="937"/>
    <n v="1"/>
    <s v="Published"/>
    <n v="9.370000000000001"/>
    <n v="81"/>
    <n v="1148"/>
    <x v="0"/>
    <n v="7"/>
    <x v="3"/>
    <n v="-33.682645999999998"/>
    <n v="151.09886499999999"/>
  </r>
  <r>
    <s v="4366"/>
    <s v="Toongabbie East Public School"/>
    <s v="Constitution Hill"/>
    <s v="Parramatta"/>
    <s v="Sydney - Parramatta"/>
    <x v="0"/>
    <x v="0"/>
    <s v="Metropolitan South"/>
    <x v="0"/>
    <x v="0"/>
    <s v="Coed"/>
    <n v="107"/>
    <n v="32"/>
    <s v="Published"/>
    <n v="34.24"/>
    <n v="54"/>
    <n v="898"/>
    <x v="1"/>
    <n v="140"/>
    <x v="1"/>
    <n v="-33.797274000000002"/>
    <n v="150.98027400000001"/>
  </r>
  <r>
    <s v="4367"/>
    <s v="Caves Beach Public School"/>
    <s v="Caves Beach"/>
    <s v="Lake Macquarie"/>
    <s v="Newcastle and Lake Macquarie"/>
    <x v="0"/>
    <x v="0"/>
    <s v="Regional North"/>
    <x v="0"/>
    <x v="0"/>
    <s v="Coed"/>
    <n v="349"/>
    <n v="11"/>
    <s v="Published"/>
    <n v="38.39"/>
    <n v="5"/>
    <n v="1019"/>
    <x v="3"/>
    <n v="79"/>
    <x v="0"/>
    <n v="-33.103178"/>
    <n v="151.638184"/>
  </r>
  <r>
    <s v="4368"/>
    <s v="Wakehurst Public School"/>
    <s v="Belrose"/>
    <s v="Northern Beaches"/>
    <s v="Sydney - Northern Beaches"/>
    <x v="0"/>
    <x v="0"/>
    <s v="Metropolitan North"/>
    <x v="0"/>
    <x v="0"/>
    <s v="Coed"/>
    <n v="407"/>
    <n v="0"/>
    <s v="Published"/>
    <n v="0"/>
    <n v="18"/>
    <n v="1126"/>
    <x v="0"/>
    <n v="30"/>
    <x v="0"/>
    <n v="-33.738526999999998"/>
    <n v="151.21810099999999"/>
  </r>
  <r>
    <s v="4369"/>
    <s v="Lewisham Public School"/>
    <s v="LEWISHAM"/>
    <s v="Inner West"/>
    <s v="Sydney - Inner West"/>
    <x v="0"/>
    <x v="0"/>
    <s v="Metropolitan South"/>
    <x v="0"/>
    <x v="0"/>
    <s v="Coed"/>
    <n v="198"/>
    <n v="4"/>
    <s v="Published"/>
    <n v="7.92"/>
    <n v="37"/>
    <n v="1121"/>
    <x v="0"/>
    <n v="24"/>
    <x v="1"/>
    <n v="-33.897745999999998"/>
    <n v="151.14607599999999"/>
  </r>
  <r>
    <s v="4370"/>
    <s v="Belair Public School"/>
    <s v="Adamstown"/>
    <s v="Newcastle"/>
    <s v="Newcastle and Lake Macquarie"/>
    <x v="0"/>
    <x v="0"/>
    <s v="Regional North"/>
    <x v="0"/>
    <x v="0"/>
    <s v="Coed"/>
    <n v="409"/>
    <n v="8"/>
    <s v="Published"/>
    <n v="32.72"/>
    <n v="14"/>
    <n v="1103"/>
    <x v="0"/>
    <n v="29"/>
    <x v="0"/>
    <n v="-32.946196999999998"/>
    <n v="151.71176600000001"/>
  </r>
  <r>
    <s v="4371"/>
    <s v="Queanbeyan East Public School"/>
    <s v="Queanbeyan"/>
    <s v="Queanbeyan-Palerang"/>
    <s v="Capital Region"/>
    <x v="0"/>
    <x v="0"/>
    <s v="Rural South and West"/>
    <x v="0"/>
    <x v="0"/>
    <s v="Coed"/>
    <n v="280"/>
    <n v="8"/>
    <s v="Published"/>
    <n v="22.400000000000002"/>
    <n v="35"/>
    <n v="1031"/>
    <x v="3"/>
    <n v="74"/>
    <x v="1"/>
    <n v="-35.345419999999997"/>
    <n v="149.24612999999999"/>
  </r>
  <r>
    <s v="4372"/>
    <s v="Irrawang Public School"/>
    <s v="Raymond Terrace"/>
    <s v="Port Stephens"/>
    <s v="Hunter Valley exc Newcastle"/>
    <x v="0"/>
    <x v="0"/>
    <s v="Regional North"/>
    <x v="0"/>
    <x v="0"/>
    <s v="Coed"/>
    <n v="304"/>
    <n v="37"/>
    <s v="Published"/>
    <n v="112.48"/>
    <n v="7"/>
    <n v="863"/>
    <x v="1"/>
    <n v="162"/>
    <x v="0"/>
    <n v="-32.758623999999998"/>
    <n v="151.756776"/>
  </r>
  <r>
    <s v="4374"/>
    <s v="Talbingo Public School"/>
    <s v="Talbingo"/>
    <s v="Snowy Valleys"/>
    <s v="Riverina"/>
    <x v="2"/>
    <x v="2"/>
    <s v="Rural South and West"/>
    <x v="0"/>
    <x v="0"/>
    <s v="Coed"/>
    <n v="5"/>
    <m/>
    <s v="Suppressed"/>
    <s v=""/>
    <m/>
    <m/>
    <x v="4"/>
    <n v="174"/>
    <x v="2"/>
    <n v="-35.580022999999997"/>
    <n v="148.300454"/>
  </r>
  <r>
    <s v="4375"/>
    <s v="Ashmont Public School"/>
    <s v="Wagga Wagga"/>
    <s v="Wagga Wagga"/>
    <s v="Riverina"/>
    <x v="1"/>
    <x v="1"/>
    <s v="Rural South and West"/>
    <x v="0"/>
    <x v="0"/>
    <s v="Coed"/>
    <n v="300"/>
    <n v="59"/>
    <s v="Published"/>
    <n v="177"/>
    <n v="12"/>
    <n v="766"/>
    <x v="1"/>
    <n v="195"/>
    <x v="0"/>
    <n v="-35.124467000000003"/>
    <n v="147.33281500000001"/>
  </r>
  <r>
    <s v="4377"/>
    <s v="Baulkham Hills North Public School"/>
    <s v="Baulkham Hills"/>
    <s v="The Hills"/>
    <s v="Sydney - Baulkham Hills and Hawkesbury"/>
    <x v="0"/>
    <x v="0"/>
    <s v="Metropolitan North"/>
    <x v="0"/>
    <x v="0"/>
    <s v="Coed"/>
    <n v="876"/>
    <m/>
    <s v="Suppressed"/>
    <s v=""/>
    <n v="68"/>
    <n v="1130"/>
    <x v="0"/>
    <n v="15"/>
    <x v="3"/>
    <n v="-33.751927000000002"/>
    <n v="150.99995699999999"/>
  </r>
  <r>
    <s v="4378"/>
    <s v="Whalan Public School"/>
    <s v="Whalan"/>
    <s v="Blacktown"/>
    <s v="Sydney - Blacktown"/>
    <x v="0"/>
    <x v="0"/>
    <s v="Metropolitan North"/>
    <x v="0"/>
    <x v="0"/>
    <s v="Coed"/>
    <n v="340"/>
    <n v="38"/>
    <s v="Published"/>
    <n v="129.19999999999999"/>
    <n v="40"/>
    <n v="870"/>
    <x v="1"/>
    <n v="162"/>
    <x v="0"/>
    <n v="-33.752916999999997"/>
    <n v="150.809664"/>
  </r>
  <r>
    <s v="4379"/>
    <s v="Floraville Public School"/>
    <s v="BELMONT"/>
    <s v="Lake Macquarie"/>
    <s v="Newcastle and Lake Macquarie"/>
    <x v="0"/>
    <x v="0"/>
    <s v="Regional North"/>
    <x v="0"/>
    <x v="0"/>
    <s v="Coed"/>
    <n v="488"/>
    <n v="12"/>
    <s v="Published"/>
    <n v="58.559999999999995"/>
    <n v="7"/>
    <n v="1026"/>
    <x v="3"/>
    <n v="81"/>
    <x v="0"/>
    <n v="-33.014211000000003"/>
    <n v="151.66383500000001"/>
  </r>
  <r>
    <s v="4380"/>
    <s v="Calare Public School"/>
    <s v="ORANGE"/>
    <s v="Orange"/>
    <s v="Central West"/>
    <x v="1"/>
    <x v="1"/>
    <s v="Rural South and West"/>
    <x v="0"/>
    <x v="0"/>
    <s v="Coed"/>
    <n v="566"/>
    <n v="16"/>
    <s v="Published"/>
    <n v="90.56"/>
    <n v="8"/>
    <n v="964"/>
    <x v="2"/>
    <n v="104"/>
    <x v="0"/>
    <n v="-33.286946999999998"/>
    <n v="149.07935800000001"/>
  </r>
  <r>
    <s v="4381"/>
    <s v="Shelley Public School"/>
    <s v="Blacktown"/>
    <s v="Blacktown"/>
    <s v="Sydney - Blacktown"/>
    <x v="0"/>
    <x v="0"/>
    <s v="Metropolitan South and West"/>
    <x v="0"/>
    <x v="0"/>
    <s v="Coed"/>
    <n v="435"/>
    <n v="2"/>
    <s v="Published"/>
    <n v="8.7000000000000011"/>
    <n v="58"/>
    <n v="1001"/>
    <x v="3"/>
    <n v="100"/>
    <x v="0"/>
    <n v="-33.789161"/>
    <n v="150.91786300000001"/>
  </r>
  <r>
    <s v="4382"/>
    <s v="Jasper Road Public School"/>
    <s v="Baulkham Hills"/>
    <s v="The Hills"/>
    <s v="Sydney - Baulkham Hills and Hawkesbury"/>
    <x v="0"/>
    <x v="0"/>
    <s v="Metropolitan North"/>
    <x v="0"/>
    <x v="0"/>
    <s v="Coed"/>
    <n v="803"/>
    <m/>
    <s v="Suppressed"/>
    <s v=""/>
    <n v="73"/>
    <n v="1132"/>
    <x v="0"/>
    <n v="15"/>
    <x v="3"/>
    <n v="-33.761316000000001"/>
    <n v="150.982269"/>
  </r>
  <r>
    <s v="4383"/>
    <s v="E A Southee Public School"/>
    <s v="Cootamundra"/>
    <s v="Cootamundra-Gundagai"/>
    <s v="Riverina"/>
    <x v="1"/>
    <x v="1"/>
    <s v="Rural South and West"/>
    <x v="0"/>
    <x v="0"/>
    <s v="Coed"/>
    <n v="74"/>
    <n v="36"/>
    <s v="Published"/>
    <n v="26.64"/>
    <m/>
    <n v="840"/>
    <x v="1"/>
    <n v="176"/>
    <x v="2"/>
    <n v="-34.641820000000003"/>
    <n v="148.01487800000001"/>
  </r>
  <r>
    <s v="4386"/>
    <s v="Killarney Heights Public School"/>
    <s v="KILLARNEY HEIGHTS"/>
    <s v="Northern Beaches"/>
    <s v="Sydney - Northern Beaches"/>
    <x v="0"/>
    <x v="0"/>
    <s v="Metropolitan North"/>
    <x v="0"/>
    <x v="0"/>
    <s v="Coed"/>
    <n v="661"/>
    <m/>
    <s v="Suppressed"/>
    <s v=""/>
    <n v="69"/>
    <n v="1150"/>
    <x v="0"/>
    <n v="3"/>
    <x v="3"/>
    <n v="-33.774942000000003"/>
    <n v="151.216151"/>
  </r>
  <r>
    <s v="4389"/>
    <s v="Gymea North Public School"/>
    <s v="Gymea"/>
    <s v="Sutherland"/>
    <s v="Sydney - Sutherland"/>
    <x v="0"/>
    <x v="0"/>
    <s v="Metropolitan South and West"/>
    <x v="0"/>
    <x v="0"/>
    <s v="Coed"/>
    <n v="362"/>
    <n v="2"/>
    <s v="Published"/>
    <n v="7.24"/>
    <n v="20"/>
    <n v="1075"/>
    <x v="3"/>
    <n v="53"/>
    <x v="0"/>
    <n v="-34.026457000000001"/>
    <n v="151.08832100000001"/>
  </r>
  <r>
    <s v="4391"/>
    <s v="Lansvale East Public School"/>
    <s v="Cabramatta"/>
    <s v="Fairfield"/>
    <s v="Sydney - South West"/>
    <x v="0"/>
    <x v="0"/>
    <s v="Metropolitan South and West"/>
    <x v="0"/>
    <x v="0"/>
    <s v="Coed"/>
    <n v="117"/>
    <n v="0"/>
    <s v="Published"/>
    <n v="0"/>
    <n v="92"/>
    <n v="969"/>
    <x v="2"/>
    <n v="138"/>
    <x v="1"/>
    <n v="-33.897993"/>
    <n v="150.96410900000001"/>
  </r>
  <r>
    <s v="4393"/>
    <s v="Carlingford West Public School"/>
    <s v="Carlingford"/>
    <s v="Parramatta"/>
    <s v="Sydney - Parramatta"/>
    <x v="0"/>
    <x v="0"/>
    <s v="Metropolitan North"/>
    <x v="0"/>
    <x v="0"/>
    <s v="Coed"/>
    <n v="1636"/>
    <m/>
    <s v="Suppressed"/>
    <s v=""/>
    <n v="96"/>
    <n v="1119"/>
    <x v="0"/>
    <n v="18"/>
    <x v="4"/>
    <n v="-33.78237"/>
    <n v="151.03717"/>
  </r>
  <r>
    <s v="4394"/>
    <s v="Queanbeyan South Public School"/>
    <s v="Queanbeyan"/>
    <s v="Queanbeyan-Palerang"/>
    <s v="Capital Region"/>
    <x v="0"/>
    <x v="0"/>
    <s v="Rural South and West"/>
    <x v="0"/>
    <x v="0"/>
    <s v="Coed"/>
    <n v="419"/>
    <n v="26"/>
    <s v="Published"/>
    <n v="108.94"/>
    <n v="22"/>
    <n v="939"/>
    <x v="2"/>
    <n v="128"/>
    <x v="0"/>
    <n v="-35.365541"/>
    <n v="149.22819200000001"/>
  </r>
  <r>
    <s v="4395"/>
    <s v="Mount Warrigal Public School"/>
    <s v="Warilla"/>
    <s v="Shellharbour"/>
    <s v="Illawarra"/>
    <x v="0"/>
    <x v="0"/>
    <s v="Regional South and Connected Communities"/>
    <x v="0"/>
    <x v="0"/>
    <s v="Coed"/>
    <n v="185"/>
    <n v="28"/>
    <s v="Published"/>
    <n v="51.800000000000004"/>
    <n v="8"/>
    <n v="885"/>
    <x v="1"/>
    <n v="163"/>
    <x v="1"/>
    <n v="-34.553787999999997"/>
    <n v="150.84460999999999"/>
  </r>
  <r>
    <s v="4396"/>
    <s v="Busby West Public School"/>
    <s v="GREEN VALLEY"/>
    <s v="Liverpool"/>
    <s v="Sydney - South West"/>
    <x v="0"/>
    <x v="0"/>
    <s v="Metropolitan South and West"/>
    <x v="0"/>
    <x v="0"/>
    <s v="Coed"/>
    <n v="304"/>
    <n v="8"/>
    <s v="Published"/>
    <n v="24.32"/>
    <n v="75"/>
    <n v="895"/>
    <x v="1"/>
    <n v="162"/>
    <x v="0"/>
    <n v="-33.906098999999998"/>
    <n v="150.87445"/>
  </r>
  <r>
    <s v="4397"/>
    <s v="Wyoming Public School"/>
    <s v="Wyoming"/>
    <s v="Central Coast (NSW)"/>
    <s v="Central Coast"/>
    <x v="0"/>
    <x v="0"/>
    <s v="Regional North"/>
    <x v="0"/>
    <x v="0"/>
    <s v="Coed"/>
    <n v="302"/>
    <n v="21"/>
    <s v="Published"/>
    <n v="63.419999999999995"/>
    <n v="20"/>
    <n v="940"/>
    <x v="2"/>
    <n v="129"/>
    <x v="0"/>
    <n v="-33.408202000000003"/>
    <n v="151.355782"/>
  </r>
  <r>
    <s v="4398"/>
    <s v="Chertsey Primary School"/>
    <s v="Springfield"/>
    <s v="Central Coast (NSW)"/>
    <s v="Central Coast"/>
    <x v="0"/>
    <x v="0"/>
    <s v="Regional North"/>
    <x v="0"/>
    <x v="0"/>
    <s v="Coed"/>
    <n v="125"/>
    <n v="20"/>
    <s v="Published"/>
    <n v="25"/>
    <n v="27"/>
    <n v="935"/>
    <x v="2"/>
    <n v="130"/>
    <x v="1"/>
    <n v="-33.429910999999997"/>
    <n v="151.36926700000001"/>
  </r>
  <r>
    <s v="4399"/>
    <s v="Hayes Park Public School"/>
    <s v="KANAHOOKA"/>
    <s v="Wollongong"/>
    <s v="Illawarra"/>
    <x v="0"/>
    <x v="0"/>
    <s v="Regional South and Connected Communities"/>
    <x v="0"/>
    <x v="0"/>
    <s v="Coed"/>
    <n v="601"/>
    <n v="13"/>
    <s v="Published"/>
    <n v="78.13000000000001"/>
    <n v="10"/>
    <n v="972"/>
    <x v="2"/>
    <n v="109"/>
    <x v="3"/>
    <n v="-34.491584000000003"/>
    <n v="150.81632099999999"/>
  </r>
  <r>
    <s v="4400"/>
    <s v="St Ives Park Public School"/>
    <s v="St Ives"/>
    <s v="Ku-ring-gai"/>
    <s v="Sydney - North Sydney and Hornsby"/>
    <x v="0"/>
    <x v="0"/>
    <s v="Metropolitan North"/>
    <x v="0"/>
    <x v="0"/>
    <s v="Coed"/>
    <n v="143"/>
    <m/>
    <s v="Suppressed"/>
    <s v=""/>
    <n v="56"/>
    <n v="1113"/>
    <x v="0"/>
    <n v="19"/>
    <x v="1"/>
    <n v="-33.724082000000003"/>
    <n v="151.178775"/>
  </r>
  <r>
    <s v="4401"/>
    <s v="Murray Farm Public School"/>
    <s v="Carlingford"/>
    <s v="Parramatta"/>
    <s v="Sydney - Parramatta"/>
    <x v="0"/>
    <x v="0"/>
    <s v="Metropolitan North"/>
    <x v="0"/>
    <x v="0"/>
    <s v="Coed"/>
    <n v="787"/>
    <m/>
    <s v="Suppressed"/>
    <s v=""/>
    <n v="86"/>
    <n v="1142"/>
    <x v="0"/>
    <n v="12"/>
    <x v="3"/>
    <n v="-33.766119000000003"/>
    <n v="151.04017300000001"/>
  </r>
  <r>
    <s v="4402"/>
    <s v="Tregear Public School"/>
    <s v="Tregear"/>
    <s v="Blacktown"/>
    <s v="Sydney - Blacktown"/>
    <x v="0"/>
    <x v="0"/>
    <s v="Metropolitan North"/>
    <x v="0"/>
    <x v="0"/>
    <s v="Coed"/>
    <n v="325"/>
    <n v="39"/>
    <s v="Published"/>
    <n v="126.75"/>
    <n v="25"/>
    <n v="817"/>
    <x v="1"/>
    <n v="204"/>
    <x v="0"/>
    <n v="-33.745882999999999"/>
    <n v="150.794321"/>
  </r>
  <r>
    <s v="4403"/>
    <s v="Bradbury Public School"/>
    <s v="Bradbury"/>
    <s v="Campbelltown (NSW)"/>
    <s v="Sydney - Outer South West"/>
    <x v="0"/>
    <x v="0"/>
    <s v="Regional South and Connected Communities"/>
    <x v="0"/>
    <x v="0"/>
    <s v="Coed"/>
    <n v="704"/>
    <n v="12"/>
    <s v="Published"/>
    <n v="84.47999999999999"/>
    <n v="47"/>
    <n v="987"/>
    <x v="2"/>
    <n v="108"/>
    <x v="3"/>
    <n v="-34.085997999999996"/>
    <n v="150.81269"/>
  </r>
  <r>
    <s v="4404"/>
    <s v="Narranga Public School"/>
    <s v="Coffs Harbour"/>
    <s v="Coffs Harbour"/>
    <s v="Coffs Harbour - Grafton"/>
    <x v="1"/>
    <x v="1"/>
    <s v="Regional North and West"/>
    <x v="0"/>
    <x v="0"/>
    <s v="Coed"/>
    <n v="669"/>
    <n v="18"/>
    <s v="Published"/>
    <n v="120.42"/>
    <n v="23"/>
    <n v="948"/>
    <x v="2"/>
    <n v="117"/>
    <x v="3"/>
    <n v="-30.292216"/>
    <n v="153.10471999999999"/>
  </r>
  <r>
    <s v="4405"/>
    <s v="Beresford Road Public School"/>
    <s v="Greystanes"/>
    <s v="Cumberland"/>
    <s v="Sydney - Parramatta"/>
    <x v="0"/>
    <x v="0"/>
    <s v="Metropolitan South"/>
    <x v="0"/>
    <x v="0"/>
    <s v="Coed"/>
    <n v="580"/>
    <n v="4"/>
    <s v="Published"/>
    <n v="23.2"/>
    <n v="61"/>
    <n v="1033"/>
    <x v="3"/>
    <n v="77"/>
    <x v="0"/>
    <n v="-33.814864"/>
    <n v="150.94294500000001"/>
  </r>
  <r>
    <s v="4406"/>
    <s v="Bradfordville Public School"/>
    <s v="GOULBURN"/>
    <s v="Goulburn Mulwaree"/>
    <s v="Capital Region"/>
    <x v="1"/>
    <x v="1"/>
    <s v="Regional South and Connected Communities"/>
    <x v="0"/>
    <x v="0"/>
    <s v="Coed"/>
    <n v="312"/>
    <n v="13"/>
    <s v="Published"/>
    <n v="40.56"/>
    <n v="10"/>
    <n v="951"/>
    <x v="2"/>
    <n v="121"/>
    <x v="0"/>
    <n v="-34.723022"/>
    <n v="149.739879"/>
  </r>
  <r>
    <s v="4407"/>
    <s v="Hume Public School"/>
    <s v="Lavington"/>
    <s v="Albury"/>
    <s v="Murray"/>
    <x v="1"/>
    <x v="1"/>
    <s v="Rural South and West"/>
    <x v="0"/>
    <x v="0"/>
    <s v="Coed"/>
    <n v="175"/>
    <n v="31"/>
    <s v="Published"/>
    <n v="54.25"/>
    <n v="18"/>
    <n v="836"/>
    <x v="1"/>
    <n v="172"/>
    <x v="1"/>
    <n v="-36.050351999999997"/>
    <n v="146.94726800000001"/>
  </r>
  <r>
    <s v="4408"/>
    <s v="Lethbridge Park Public School"/>
    <s v="Lethbridge Park"/>
    <s v="Blacktown"/>
    <s v="Sydney - Blacktown"/>
    <x v="0"/>
    <x v="0"/>
    <s v="Regional South and Connected Communities"/>
    <x v="0"/>
    <x v="0"/>
    <s v="Coed"/>
    <n v="437"/>
    <n v="36"/>
    <s v="Published"/>
    <n v="157.32"/>
    <n v="34"/>
    <n v="855"/>
    <x v="1"/>
    <n v="177"/>
    <x v="0"/>
    <n v="-33.737963999999998"/>
    <n v="150.80010899999999"/>
  </r>
  <r>
    <s v="4409"/>
    <s v="Koonawarra Public School"/>
    <s v="Dapto"/>
    <s v="Wollongong"/>
    <s v="Illawarra"/>
    <x v="0"/>
    <x v="0"/>
    <s v="Regional South and Connected Communities"/>
    <x v="0"/>
    <x v="0"/>
    <s v="Coed"/>
    <n v="192"/>
    <n v="35"/>
    <s v="Published"/>
    <n v="67.199999999999989"/>
    <n v="16"/>
    <n v="838"/>
    <x v="1"/>
    <n v="167"/>
    <x v="1"/>
    <n v="-34.501193000000001"/>
    <n v="150.807883"/>
  </r>
  <r>
    <s v="4410"/>
    <s v="Red Hill Public School"/>
    <s v="Wagga Wagga"/>
    <s v="Wagga Wagga"/>
    <s v="Riverina"/>
    <x v="1"/>
    <x v="1"/>
    <s v="Rural South and West"/>
    <x v="0"/>
    <x v="0"/>
    <s v="Coed"/>
    <n v="325"/>
    <n v="37"/>
    <s v="Published"/>
    <n v="120.25"/>
    <n v="28"/>
    <n v="831"/>
    <x v="1"/>
    <n v="176"/>
    <x v="0"/>
    <n v="-35.146431"/>
    <n v="147.34764100000001"/>
  </r>
  <r>
    <s v="4411"/>
    <s v="Westport Public School"/>
    <s v="PORT MACQUARIE"/>
    <s v="Port Macquarie-Hastings"/>
    <s v="Mid North Coast"/>
    <x v="1"/>
    <x v="1"/>
    <s v="Regional North and West"/>
    <x v="0"/>
    <x v="0"/>
    <s v="Coed"/>
    <n v="365"/>
    <n v="33"/>
    <s v="Published"/>
    <n v="120.45"/>
    <n v="7"/>
    <n v="888"/>
    <x v="1"/>
    <n v="137"/>
    <x v="0"/>
    <n v="-31.437349000000001"/>
    <n v="152.89303799999999"/>
  </r>
  <r>
    <s v="4413"/>
    <s v="Parkview Public School"/>
    <s v="Leeton"/>
    <s v="Leeton"/>
    <s v="Riverina"/>
    <x v="2"/>
    <x v="2"/>
    <s v="Rural South and West"/>
    <x v="0"/>
    <x v="0"/>
    <s v="Coed"/>
    <n v="373"/>
    <n v="25"/>
    <s v="Published"/>
    <n v="93.25"/>
    <n v="8"/>
    <n v="900"/>
    <x v="2"/>
    <n v="144"/>
    <x v="0"/>
    <n v="-34.561818000000002"/>
    <n v="146.39581899999999"/>
  </r>
  <r>
    <s v="4416"/>
    <s v="Merewether Heights Public School"/>
    <s v="Merewether Heights"/>
    <s v="Newcastle"/>
    <s v="Newcastle and Lake Macquarie"/>
    <x v="0"/>
    <x v="0"/>
    <s v="Regional North"/>
    <x v="0"/>
    <x v="0"/>
    <s v="Coed"/>
    <n v="269"/>
    <n v="3"/>
    <s v="Published"/>
    <n v="8.07"/>
    <n v="10"/>
    <n v="1129"/>
    <x v="0"/>
    <n v="16"/>
    <x v="1"/>
    <n v="-32.946716000000002"/>
    <n v="151.737458"/>
  </r>
  <r>
    <s v="4417"/>
    <s v="Winston Hills Public School"/>
    <s v="Winston Hills"/>
    <s v="Parramatta"/>
    <s v="Sydney - Parramatta"/>
    <x v="0"/>
    <x v="0"/>
    <s v="Metropolitan North"/>
    <x v="0"/>
    <x v="0"/>
    <s v="Coed"/>
    <n v="636"/>
    <n v="1"/>
    <s v="Published"/>
    <n v="6.36"/>
    <n v="38"/>
    <n v="1104"/>
    <x v="0"/>
    <n v="32"/>
    <x v="3"/>
    <n v="-33.773463999999997"/>
    <n v="150.98110600000001"/>
  </r>
  <r>
    <s v="4418"/>
    <s v="Edward Public School"/>
    <s v="Deniliquin"/>
    <s v="Edward River"/>
    <s v="Murray"/>
    <x v="1"/>
    <x v="1"/>
    <s v="Rural South and West"/>
    <x v="0"/>
    <x v="0"/>
    <s v="Coed"/>
    <n v="105"/>
    <n v="27"/>
    <s v="Published"/>
    <n v="28.35"/>
    <n v="8"/>
    <n v="872"/>
    <x v="1"/>
    <n v="159"/>
    <x v="1"/>
    <n v="-35.524355999999997"/>
    <n v="144.95056199999999"/>
  </r>
  <r>
    <s v="4420"/>
    <s v="Nuwarra Public School"/>
    <s v="Moorebank"/>
    <s v="Liverpool"/>
    <s v="Sydney - South West"/>
    <x v="0"/>
    <x v="0"/>
    <s v="Metropolitan South and West"/>
    <x v="0"/>
    <x v="0"/>
    <s v="Coed"/>
    <n v="508"/>
    <n v="3"/>
    <s v="Published"/>
    <n v="15.24"/>
    <n v="62"/>
    <n v="997"/>
    <x v="2"/>
    <n v="106"/>
    <x v="0"/>
    <n v="-33.933241000000002"/>
    <n v="150.95149900000001"/>
  </r>
  <r>
    <s v="4421"/>
    <s v="Gillwinga Public School"/>
    <s v="South Grafton"/>
    <s v="Clarence Valley"/>
    <s v="Coffs Harbour - Grafton"/>
    <x v="1"/>
    <x v="1"/>
    <s v="Rural North"/>
    <x v="0"/>
    <x v="0"/>
    <s v="Coed"/>
    <n v="129"/>
    <n v="63"/>
    <s v="Published"/>
    <n v="81.27"/>
    <n v="5"/>
    <n v="774"/>
    <x v="1"/>
    <n v="197"/>
    <x v="1"/>
    <n v="-29.724385000000002"/>
    <n v="152.93382399999999"/>
  </r>
  <r>
    <s v="4422"/>
    <s v="Emerton Public School"/>
    <s v="Emerton"/>
    <s v="Blacktown"/>
    <s v="Sydney - Blacktown"/>
    <x v="0"/>
    <x v="0"/>
    <s v="Metropolitan North"/>
    <x v="0"/>
    <x v="0"/>
    <s v="Coed"/>
    <n v="218"/>
    <n v="20"/>
    <s v="Published"/>
    <n v="43.6"/>
    <n v="50"/>
    <n v="873"/>
    <x v="1"/>
    <n v="180"/>
    <x v="1"/>
    <n v="-33.744737999999998"/>
    <n v="150.80547799999999"/>
  </r>
  <r>
    <s v="4423"/>
    <s v="Mount Brown Public School"/>
    <s v="Dapto"/>
    <s v="Wollongong"/>
    <s v="Illawarra"/>
    <x v="0"/>
    <x v="0"/>
    <s v="Regional South and Connected Communities"/>
    <x v="0"/>
    <x v="0"/>
    <s v="Coed"/>
    <n v="346"/>
    <n v="11"/>
    <s v="Published"/>
    <n v="38.06"/>
    <n v="8"/>
    <n v="975"/>
    <x v="2"/>
    <n v="109"/>
    <x v="0"/>
    <n v="-34.515884999999997"/>
    <n v="150.784817"/>
  </r>
  <r>
    <s v="4424"/>
    <s v="Lapstone Public School"/>
    <s v="Glenbrook"/>
    <s v="Blue Mountains"/>
    <s v="Sydney - Outer West and Blue Mountains"/>
    <x v="0"/>
    <x v="0"/>
    <s v="Metropolitan South and West"/>
    <x v="0"/>
    <x v="0"/>
    <s v="Coed"/>
    <n v="158"/>
    <m/>
    <s v="Suppressed"/>
    <s v=""/>
    <n v="12"/>
    <n v="1113"/>
    <x v="0"/>
    <n v="32"/>
    <x v="1"/>
    <n v="-33.772117000000001"/>
    <n v="150.631327"/>
  </r>
  <r>
    <s v="4426"/>
    <s v="Killarney Vale Public School"/>
    <s v="Killarney Vale"/>
    <s v="Central Coast (NSW)"/>
    <s v="Central Coast"/>
    <x v="0"/>
    <x v="0"/>
    <s v="Regional North"/>
    <x v="0"/>
    <x v="0"/>
    <s v="Coed"/>
    <n v="477"/>
    <n v="19"/>
    <s v="Published"/>
    <n v="90.63"/>
    <n v="8"/>
    <n v="963"/>
    <x v="2"/>
    <n v="111"/>
    <x v="0"/>
    <n v="-33.365220999999998"/>
    <n v="151.45610300000001"/>
  </r>
  <r>
    <s v="4427"/>
    <s v="Niagara Park Public School"/>
    <s v="Niagara Park"/>
    <s v="Central Coast (NSW)"/>
    <s v="Central Coast"/>
    <x v="0"/>
    <x v="0"/>
    <s v="Regional North"/>
    <x v="0"/>
    <x v="0"/>
    <s v="Coed"/>
    <n v="412"/>
    <n v="13"/>
    <s v="Published"/>
    <n v="53.56"/>
    <n v="15"/>
    <n v="1008"/>
    <x v="3"/>
    <n v="78"/>
    <x v="0"/>
    <n v="-33.384121999999998"/>
    <n v="151.35109600000001"/>
  </r>
  <r>
    <s v="4428"/>
    <s v="Southern Cross Public School"/>
    <s v="EAST BALLINA"/>
    <s v="Ballina"/>
    <s v="Richmond - Tweed"/>
    <x v="1"/>
    <x v="1"/>
    <s v="Rural North"/>
    <x v="0"/>
    <x v="0"/>
    <s v="Coed"/>
    <n v="388"/>
    <n v="6"/>
    <s v="Published"/>
    <n v="23.279999999999998"/>
    <n v="12"/>
    <n v="1053"/>
    <x v="3"/>
    <n v="67"/>
    <x v="0"/>
    <n v="-28.851067"/>
    <n v="153.58566400000001"/>
  </r>
  <r>
    <s v="4431"/>
    <s v="Marton Public School"/>
    <s v="Engadine"/>
    <s v="Sutherland"/>
    <s v="Sydney - Sutherland"/>
    <x v="0"/>
    <x v="0"/>
    <s v="Metropolitan South and West"/>
    <x v="0"/>
    <x v="0"/>
    <s v="Coed"/>
    <n v="318"/>
    <n v="2"/>
    <s v="Published"/>
    <n v="6.36"/>
    <n v="7"/>
    <n v="1063"/>
    <x v="3"/>
    <n v="58"/>
    <x v="0"/>
    <n v="-34.046492000000001"/>
    <n v="151.02423200000001"/>
  </r>
  <r>
    <s v="4432"/>
    <s v="Mimosa Public School"/>
    <s v="Frenchs Forest"/>
    <s v="Northern Beaches"/>
    <s v="Sydney - Northern Beaches"/>
    <x v="0"/>
    <x v="0"/>
    <s v="Metropolitan North"/>
    <x v="0"/>
    <x v="0"/>
    <s v="Coed"/>
    <n v="562"/>
    <m/>
    <s v="Suppressed"/>
    <s v=""/>
    <n v="16"/>
    <n v="1119"/>
    <x v="0"/>
    <n v="29"/>
    <x v="0"/>
    <n v="-33.743343000000003"/>
    <n v="151.20590899999999"/>
  </r>
  <r>
    <s v="4433"/>
    <s v="Wideview Public School"/>
    <s v="Berowra Heights"/>
    <s v="Hornsby"/>
    <s v="Sydney - North Sydney and Hornsby"/>
    <x v="0"/>
    <x v="0"/>
    <s v="Regional North"/>
    <x v="0"/>
    <x v="0"/>
    <s v="Coed"/>
    <n v="321"/>
    <m/>
    <s v="Suppressed"/>
    <s v=""/>
    <n v="21"/>
    <n v="1102"/>
    <x v="0"/>
    <n v="35"/>
    <x v="0"/>
    <n v="-33.608499000000002"/>
    <n v="151.14151000000001"/>
  </r>
  <r>
    <s v="4435"/>
    <s v="Mount Riverview Public School"/>
    <s v="MOUNT RIVERVIEW"/>
    <s v="Blue Mountains"/>
    <s v="Sydney - Outer West and Blue Mountains"/>
    <x v="0"/>
    <x v="0"/>
    <s v="Regional North"/>
    <x v="0"/>
    <x v="0"/>
    <s v="Coed"/>
    <n v="231"/>
    <n v="5"/>
    <s v="Published"/>
    <n v="11.55"/>
    <n v="9"/>
    <n v="1050"/>
    <x v="3"/>
    <n v="59"/>
    <x v="1"/>
    <n v="-33.729509999999998"/>
    <n v="150.63258500000001"/>
  </r>
  <r>
    <s v="4436"/>
    <s v="Winmalee Public School"/>
    <s v="WINMALEE"/>
    <s v="Blue Mountains"/>
    <s v="Sydney - Outer West and Blue Mountains"/>
    <x v="0"/>
    <x v="0"/>
    <s v="Regional North"/>
    <x v="0"/>
    <x v="0"/>
    <s v="Coed"/>
    <n v="359"/>
    <n v="6"/>
    <s v="Published"/>
    <n v="21.54"/>
    <n v="6"/>
    <n v="1043"/>
    <x v="3"/>
    <n v="71"/>
    <x v="0"/>
    <n v="-33.670271999999997"/>
    <n v="150.610783"/>
  </r>
  <r>
    <s v="4437"/>
    <s v="Hillvue Public School"/>
    <s v="Tamworth"/>
    <s v="Tamworth"/>
    <s v="New England and North West"/>
    <x v="1"/>
    <x v="1"/>
    <s v="Regional South and Connected Communities"/>
    <x v="0"/>
    <x v="0"/>
    <s v="Coed"/>
    <n v="449"/>
    <n v="70"/>
    <s v="Published"/>
    <n v="314.29999999999995"/>
    <n v="4"/>
    <n v="761"/>
    <x v="1"/>
    <n v="200"/>
    <x v="0"/>
    <n v="-31.114449"/>
    <n v="150.9007"/>
  </r>
  <r>
    <s v="4438"/>
    <s v="Wollondilly Public School"/>
    <s v="Goulburn"/>
    <s v="Goulburn Mulwaree"/>
    <s v="Capital Region"/>
    <x v="1"/>
    <x v="1"/>
    <s v="Regional South and Connected Communities"/>
    <x v="0"/>
    <x v="0"/>
    <s v="Coed"/>
    <n v="387"/>
    <n v="10"/>
    <s v="Published"/>
    <n v="38.700000000000003"/>
    <n v="17"/>
    <n v="975"/>
    <x v="2"/>
    <n v="103"/>
    <x v="0"/>
    <n v="-34.742953"/>
    <n v="149.710904"/>
  </r>
  <r>
    <s v="4440"/>
    <s v="Cherrybrook Public School"/>
    <s v="Cherrybrook"/>
    <s v="Hornsby"/>
    <s v="Sydney - Baulkham Hills and Hawkesbury"/>
    <x v="0"/>
    <x v="0"/>
    <s v="Metropolitan North"/>
    <x v="0"/>
    <x v="0"/>
    <s v="Coed"/>
    <n v="886"/>
    <m/>
    <s v="Suppressed"/>
    <s v=""/>
    <n v="75"/>
    <n v="1164"/>
    <x v="0"/>
    <n v="0"/>
    <x v="3"/>
    <n v="-33.731276999999999"/>
    <n v="151.042056"/>
  </r>
  <r>
    <s v="4441"/>
    <s v="Crestwood Public School"/>
    <s v="Baulkham Hills"/>
    <s v="The Hills"/>
    <s v="Sydney - Baulkham Hills and Hawkesbury"/>
    <x v="0"/>
    <x v="0"/>
    <s v="Metropolitan North"/>
    <x v="0"/>
    <x v="0"/>
    <s v="Coed"/>
    <n v="633"/>
    <m/>
    <s v="Suppressed"/>
    <s v=""/>
    <n v="68"/>
    <n v="1139"/>
    <x v="0"/>
    <n v="12"/>
    <x v="3"/>
    <n v="-33.749141000000002"/>
    <n v="150.97219699999999"/>
  </r>
  <r>
    <s v="4442"/>
    <s v="Emu Heights Public School"/>
    <s v="EMU HEIGHTS"/>
    <s v="Penrith"/>
    <s v="Sydney - Outer West and Blue Mountains"/>
    <x v="0"/>
    <x v="0"/>
    <s v="Metropolitan South and West"/>
    <x v="0"/>
    <x v="0"/>
    <s v="Coed"/>
    <n v="237"/>
    <n v="9"/>
    <s v="Published"/>
    <n v="21.33"/>
    <n v="10"/>
    <n v="1006"/>
    <x v="3"/>
    <n v="86"/>
    <x v="1"/>
    <n v="-33.736651999999999"/>
    <n v="150.64881800000001"/>
  </r>
  <r>
    <s v="4444"/>
    <s v="Metella Road Public School"/>
    <s v="TOONGABBIE"/>
    <s v="Blacktown"/>
    <s v="Sydney - Blacktown"/>
    <x v="0"/>
    <x v="0"/>
    <s v="Metropolitan South and West"/>
    <x v="0"/>
    <x v="0"/>
    <s v="Coed"/>
    <n v="676"/>
    <n v="1"/>
    <s v="Published"/>
    <n v="6.76"/>
    <n v="76"/>
    <n v="1072"/>
    <x v="3"/>
    <n v="49"/>
    <x v="3"/>
    <n v="-33.793967000000002"/>
    <n v="150.93475599999999"/>
  </r>
  <r>
    <s v="4446"/>
    <s v="Dawson Public School"/>
    <s v="Dharruk"/>
    <s v="Blacktown"/>
    <s v="Sydney - Blacktown"/>
    <x v="0"/>
    <x v="0"/>
    <s v="Metropolitan North"/>
    <x v="0"/>
    <x v="0"/>
    <s v="Coed"/>
    <n v="293"/>
    <n v="17"/>
    <s v="Published"/>
    <n v="49.81"/>
    <n v="48"/>
    <n v="898"/>
    <x v="1"/>
    <n v="148"/>
    <x v="1"/>
    <n v="-33.745368999999997"/>
    <n v="150.81601699999999"/>
  </r>
  <r>
    <s v="4447"/>
    <s v="Hebersham Public School"/>
    <s v="Hebersham"/>
    <s v="Blacktown"/>
    <s v="Sydney - Blacktown"/>
    <x v="0"/>
    <x v="0"/>
    <s v="Metropolitan North"/>
    <x v="0"/>
    <x v="0"/>
    <s v="Coed"/>
    <n v="515"/>
    <n v="21"/>
    <s v="Published"/>
    <n v="108.14999999999999"/>
    <n v="56"/>
    <n v="904"/>
    <x v="2"/>
    <n v="153"/>
    <x v="0"/>
    <n v="-33.748103"/>
    <n v="150.82592399999999"/>
  </r>
  <r>
    <s v="4449"/>
    <s v="Madang Avenue Public School"/>
    <s v="Whalan"/>
    <s v="Blacktown"/>
    <s v="Sydney - Blacktown"/>
    <x v="0"/>
    <x v="0"/>
    <s v="Metropolitan North"/>
    <x v="0"/>
    <x v="0"/>
    <s v="Coed"/>
    <n v="320"/>
    <n v="31"/>
    <s v="Published"/>
    <n v="99.2"/>
    <n v="23"/>
    <n v="864"/>
    <x v="1"/>
    <n v="175"/>
    <x v="0"/>
    <n v="-33.759957999999997"/>
    <n v="150.804846"/>
  </r>
  <r>
    <s v="4450"/>
    <s v="Berinba Public School"/>
    <s v="Yass"/>
    <s v="Yass Valley"/>
    <s v="Capital Region"/>
    <x v="1"/>
    <x v="1"/>
    <s v="Regional South and Connected Communities"/>
    <x v="0"/>
    <x v="0"/>
    <s v="Coed"/>
    <n v="225"/>
    <n v="17"/>
    <s v="Published"/>
    <n v="38.25"/>
    <n v="6"/>
    <n v="960"/>
    <x v="2"/>
    <n v="110"/>
    <x v="1"/>
    <n v="-34.849094999999998"/>
    <n v="148.918959"/>
  </r>
  <r>
    <s v="4452"/>
    <s v="Hobartville Public School"/>
    <s v="Hobartville"/>
    <s v="Hawkesbury"/>
    <s v="Sydney - Outer West and Blue Mountains"/>
    <x v="0"/>
    <x v="0"/>
    <s v="Regional North"/>
    <x v="0"/>
    <x v="0"/>
    <s v="Coed"/>
    <n v="355"/>
    <n v="17"/>
    <s v="Published"/>
    <n v="60.35"/>
    <n v="9"/>
    <n v="959"/>
    <x v="2"/>
    <n v="116"/>
    <x v="0"/>
    <n v="-33.603648999999997"/>
    <n v="150.74228099999999"/>
  </r>
  <r>
    <s v="4453"/>
    <s v="Blackett Public School"/>
    <s v="Blackett"/>
    <s v="Blacktown"/>
    <s v="Sydney - Blacktown"/>
    <x v="0"/>
    <x v="0"/>
    <s v="Metropolitan North"/>
    <x v="0"/>
    <x v="0"/>
    <s v="Coed"/>
    <n v="288"/>
    <n v="29"/>
    <s v="Published"/>
    <n v="83.52"/>
    <n v="37"/>
    <n v="839"/>
    <x v="1"/>
    <n v="178"/>
    <x v="1"/>
    <n v="-33.739604999999997"/>
    <n v="150.81585799999999"/>
  </r>
  <r>
    <s v="4454"/>
    <s v="Marra Creek Public School"/>
    <s v="NYNGAN"/>
    <s v="Warren"/>
    <s v="Far West and Orana"/>
    <x v="3"/>
    <x v="3"/>
    <s v="Rural North"/>
    <x v="0"/>
    <x v="0"/>
    <s v="Coed"/>
    <n v="8"/>
    <m/>
    <s v="Suppressed"/>
    <s v=""/>
    <n v="0"/>
    <n v="974"/>
    <x v="2"/>
    <n v="74"/>
    <x v="2"/>
    <n v="-30.878869999999999"/>
    <n v="147.374516"/>
  </r>
  <r>
    <s v="4456"/>
    <s v="Franklin Public School"/>
    <s v="Tumut"/>
    <s v="Snowy Valleys"/>
    <s v="Riverina"/>
    <x v="1"/>
    <x v="1"/>
    <s v="Rural South and West"/>
    <x v="0"/>
    <x v="0"/>
    <s v="Coed"/>
    <n v="239"/>
    <n v="26"/>
    <s v="Published"/>
    <n v="62.14"/>
    <n v="10"/>
    <n v="900"/>
    <x v="2"/>
    <n v="137"/>
    <x v="1"/>
    <n v="-35.315058999999998"/>
    <n v="148.230502"/>
  </r>
  <r>
    <s v="4457"/>
    <s v="Sturt Public School"/>
    <s v="Wagga Wagga"/>
    <s v="Wagga Wagga"/>
    <s v="Riverina"/>
    <x v="1"/>
    <x v="1"/>
    <s v="Rural South and West"/>
    <x v="0"/>
    <x v="0"/>
    <s v="Coed"/>
    <n v="306"/>
    <n v="17"/>
    <s v="Published"/>
    <n v="52.02"/>
    <n v="18"/>
    <n v="966"/>
    <x v="2"/>
    <n v="111"/>
    <x v="0"/>
    <n v="-35.13608"/>
    <n v="147.37743900000001"/>
  </r>
  <r>
    <s v="4458"/>
    <s v="Briar Road Public School"/>
    <s v="CAMPBELLTOWN"/>
    <s v="Campbelltown (NSW)"/>
    <s v="Sydney - Outer South West"/>
    <x v="0"/>
    <x v="0"/>
    <s v="Regional South and Connected Communities"/>
    <x v="0"/>
    <x v="0"/>
    <s v="Coed"/>
    <n v="263"/>
    <n v="46"/>
    <s v="Published"/>
    <n v="120.98"/>
    <n v="30"/>
    <n v="835"/>
    <x v="1"/>
    <n v="167"/>
    <x v="1"/>
    <n v="-34.089103000000001"/>
    <n v="150.827673"/>
  </r>
  <r>
    <s v="4459"/>
    <s v="Woodberry Public School"/>
    <s v="Woodberry"/>
    <s v="Maitland"/>
    <s v="Newcastle and Lake Macquarie"/>
    <x v="0"/>
    <x v="0"/>
    <s v="Regional North and West"/>
    <x v="0"/>
    <x v="0"/>
    <s v="Coed"/>
    <n v="221"/>
    <n v="47"/>
    <s v="Published"/>
    <n v="103.86999999999999"/>
    <n v="6"/>
    <n v="817"/>
    <x v="1"/>
    <n v="188"/>
    <x v="1"/>
    <n v="-32.792209999999997"/>
    <n v="151.67050800000001"/>
  </r>
  <r>
    <s v="4460"/>
    <s v="Curran Public School"/>
    <s v="Macquarie Fields"/>
    <s v="Campbelltown (NSW)"/>
    <s v="Sydney - Outer South West"/>
    <x v="0"/>
    <x v="0"/>
    <s v="Regional South and Connected Communities"/>
    <x v="0"/>
    <x v="0"/>
    <s v="Coed"/>
    <n v="275"/>
    <n v="28"/>
    <s v="Published"/>
    <n v="77.000000000000014"/>
    <n v="66"/>
    <n v="883"/>
    <x v="1"/>
    <n v="178"/>
    <x v="1"/>
    <n v="-33.993144999999998"/>
    <n v="150.89942600000001"/>
  </r>
  <r>
    <s v="4461"/>
    <s v="Guise Public School"/>
    <s v="Macquarie Fields"/>
    <s v="Campbelltown (NSW)"/>
    <s v="Sydney - Outer South West"/>
    <x v="0"/>
    <x v="0"/>
    <s v="Metropolitan South and West"/>
    <x v="0"/>
    <x v="0"/>
    <s v="Coed"/>
    <n v="221"/>
    <n v="31"/>
    <s v="Published"/>
    <n v="68.510000000000005"/>
    <n v="41"/>
    <n v="880"/>
    <x v="1"/>
    <n v="165"/>
    <x v="1"/>
    <n v="-33.987448000000001"/>
    <n v="150.89691999999999"/>
  </r>
  <r>
    <s v="4462"/>
    <s v="Figtree Heights Public School"/>
    <s v="Figtree"/>
    <s v="Wollongong"/>
    <s v="Illawarra"/>
    <x v="0"/>
    <x v="0"/>
    <s v="Regional South and Connected Communities"/>
    <x v="0"/>
    <x v="0"/>
    <s v="Coed"/>
    <n v="181"/>
    <n v="6"/>
    <s v="Published"/>
    <n v="10.86"/>
    <n v="24"/>
    <n v="1061"/>
    <x v="3"/>
    <n v="53"/>
    <x v="1"/>
    <n v="-34.431525999999998"/>
    <n v="150.855504"/>
  </r>
  <r>
    <s v="4463"/>
    <s v="Flinders Public School"/>
    <s v="Flinders"/>
    <s v="Shellharbour"/>
    <s v="Illawarra"/>
    <x v="0"/>
    <x v="0"/>
    <s v="Regional South and Connected Communities"/>
    <x v="0"/>
    <x v="0"/>
    <s v="Coed"/>
    <n v="518"/>
    <n v="11"/>
    <s v="Published"/>
    <n v="56.98"/>
    <n v="18"/>
    <n v="1004"/>
    <x v="3"/>
    <n v="95"/>
    <x v="0"/>
    <n v="-34.582182000000003"/>
    <n v="150.85024000000001"/>
  </r>
  <r>
    <s v="4464"/>
    <s v="Sanctuary Point Public School"/>
    <s v="Sanctuary Point"/>
    <s v="Shoalhaven"/>
    <s v="Southern Highlands and Shoalhaven"/>
    <x v="1"/>
    <x v="1"/>
    <s v="Regional South and Connected Communities"/>
    <x v="0"/>
    <x v="0"/>
    <s v="Coed"/>
    <n v="408"/>
    <n v="32"/>
    <s v="Published"/>
    <n v="130.56"/>
    <n v="6"/>
    <n v="909"/>
    <x v="2"/>
    <n v="133"/>
    <x v="0"/>
    <n v="-35.104844"/>
    <n v="150.62858499999999"/>
  </r>
  <r>
    <s v="4466"/>
    <s v="Mawarra Public School"/>
    <s v="Elderslie"/>
    <s v="Camden"/>
    <s v="Sydney - Outer South West"/>
    <x v="0"/>
    <x v="0"/>
    <s v="Regional South and Connected Communities"/>
    <x v="0"/>
    <x v="0"/>
    <s v="Coed"/>
    <n v="386"/>
    <n v="10"/>
    <s v="Published"/>
    <n v="38.6"/>
    <n v="7"/>
    <n v="1017"/>
    <x v="3"/>
    <n v="85"/>
    <x v="0"/>
    <n v="-34.061245"/>
    <n v="150.7122"/>
  </r>
  <r>
    <s v="4467"/>
    <s v="King Park Public School"/>
    <s v="St Johns Park"/>
    <s v="Fairfield"/>
    <s v="Sydney - South West"/>
    <x v="0"/>
    <x v="0"/>
    <s v="Metropolitan South and West"/>
    <x v="0"/>
    <x v="0"/>
    <s v="Coed"/>
    <n v="396"/>
    <n v="2"/>
    <s v="Published"/>
    <n v="7.92"/>
    <n v="78"/>
    <n v="985"/>
    <x v="2"/>
    <n v="114"/>
    <x v="0"/>
    <n v="-33.879147000000003"/>
    <n v="150.91070099999999"/>
  </r>
  <r>
    <s v="4468"/>
    <s v="Glenroy Public School"/>
    <s v="NORTH ALBURY"/>
    <s v="Albury"/>
    <s v="Murray"/>
    <x v="1"/>
    <x v="1"/>
    <s v="Rural South and West"/>
    <x v="0"/>
    <x v="0"/>
    <s v="Coed"/>
    <n v="220"/>
    <n v="28"/>
    <s v="Published"/>
    <n v="61.600000000000009"/>
    <n v="12"/>
    <n v="897"/>
    <x v="1"/>
    <n v="147"/>
    <x v="1"/>
    <n v="-36.054589999999997"/>
    <n v="146.917314"/>
  </r>
  <r>
    <s v="4469"/>
    <s v="Jewells Primary School"/>
    <s v="Jewells"/>
    <s v="Lake Macquarie"/>
    <s v="Newcastle and Lake Macquarie"/>
    <x v="0"/>
    <x v="0"/>
    <s v="Regional North"/>
    <x v="0"/>
    <x v="0"/>
    <s v="Coed"/>
    <n v="262"/>
    <n v="12"/>
    <s v="Published"/>
    <n v="31.439999999999998"/>
    <n v="9"/>
    <n v="1026"/>
    <x v="3"/>
    <n v="73"/>
    <x v="1"/>
    <n v="-33.015734999999999"/>
    <n v="151.68745899999999"/>
  </r>
  <r>
    <s v="4470"/>
    <s v="Willmot Public School"/>
    <s v="Willmot"/>
    <s v="Blacktown"/>
    <s v="Sydney - Blacktown"/>
    <x v="0"/>
    <x v="0"/>
    <s v="Metropolitan North"/>
    <x v="0"/>
    <x v="0"/>
    <s v="Coed"/>
    <n v="162"/>
    <n v="43"/>
    <s v="Published"/>
    <n v="69.66"/>
    <n v="39"/>
    <n v="817"/>
    <x v="1"/>
    <n v="199"/>
    <x v="1"/>
    <n v="-33.725746999999998"/>
    <n v="150.79440099999999"/>
  </r>
  <r>
    <s v="4471"/>
    <s v="Winston Heights Public School"/>
    <s v="Winston Hills"/>
    <s v="Parramatta"/>
    <s v="Sydney - Parramatta"/>
    <x v="0"/>
    <x v="0"/>
    <s v="Metropolitan North"/>
    <x v="0"/>
    <x v="0"/>
    <s v="Coed"/>
    <n v="304"/>
    <m/>
    <s v="Suppressed"/>
    <s v=""/>
    <n v="48"/>
    <n v="1103"/>
    <x v="0"/>
    <n v="31"/>
    <x v="0"/>
    <n v="-33.774850000000001"/>
    <n v="150.967894"/>
  </r>
  <r>
    <s v="4473"/>
    <s v="Werrington Public School"/>
    <s v="Werrington"/>
    <s v="Penrith"/>
    <s v="Sydney - Outer West and Blue Mountains"/>
    <x v="0"/>
    <x v="0"/>
    <s v="Metropolitan North"/>
    <x v="0"/>
    <x v="0"/>
    <s v="Coed"/>
    <n v="519"/>
    <n v="14"/>
    <s v="Published"/>
    <n v="72.660000000000011"/>
    <n v="39"/>
    <n v="963"/>
    <x v="2"/>
    <n v="109"/>
    <x v="0"/>
    <n v="-33.755125"/>
    <n v="150.745293"/>
  </r>
  <r>
    <s v="4474"/>
    <s v="Widemere Public School"/>
    <s v="Greystanes"/>
    <s v="Cumberland"/>
    <s v="Sydney - Parramatta"/>
    <x v="0"/>
    <x v="0"/>
    <s v="Metropolitan South"/>
    <x v="0"/>
    <x v="0"/>
    <s v="Coed"/>
    <n v="169"/>
    <m/>
    <s v="Suppressed"/>
    <s v=""/>
    <n v="47"/>
    <n v="1036"/>
    <x v="3"/>
    <n v="79"/>
    <x v="1"/>
    <n v="-33.834173999999997"/>
    <n v="150.939897"/>
  </r>
  <r>
    <s v="4475"/>
    <s v="Leonay Public School"/>
    <s v="Emu Plains"/>
    <s v="Penrith"/>
    <s v="Sydney - Outer West and Blue Mountains"/>
    <x v="0"/>
    <x v="0"/>
    <s v="Metropolitan South and West"/>
    <x v="0"/>
    <x v="0"/>
    <s v="Coed"/>
    <n v="191"/>
    <n v="7"/>
    <s v="Published"/>
    <n v="13.370000000000001"/>
    <n v="11"/>
    <n v="1049"/>
    <x v="3"/>
    <n v="69"/>
    <x v="1"/>
    <n v="-33.764319999999998"/>
    <n v="150.650498"/>
  </r>
  <r>
    <s v="4476"/>
    <s v="Shalvey Public School"/>
    <s v="Shalvey"/>
    <s v="Blacktown"/>
    <s v="Sydney - Blacktown"/>
    <x v="0"/>
    <x v="0"/>
    <s v="Metropolitan North"/>
    <x v="0"/>
    <x v="0"/>
    <s v="Coed"/>
    <n v="258"/>
    <n v="34"/>
    <s v="Published"/>
    <n v="87.720000000000013"/>
    <n v="25"/>
    <n v="837"/>
    <x v="1"/>
    <n v="188"/>
    <x v="1"/>
    <n v="-33.726604999999999"/>
    <n v="150.809439"/>
  </r>
  <r>
    <s v="4478"/>
    <s v="Newling Public School"/>
    <s v="Armidale"/>
    <s v="Armidale"/>
    <s v="New England and North West"/>
    <x v="1"/>
    <x v="1"/>
    <s v="Rural North"/>
    <x v="0"/>
    <x v="0"/>
    <s v="Coed"/>
    <n v="165"/>
    <n v="64"/>
    <s v="Published"/>
    <n v="105.60000000000001"/>
    <n v="10"/>
    <n v="802"/>
    <x v="1"/>
    <n v="161"/>
    <x v="1"/>
    <n v="-30.522917"/>
    <n v="151.67715799999999"/>
  </r>
  <r>
    <s v="4479"/>
    <s v="John Warby Public School"/>
    <s v="Airds"/>
    <s v="Campbelltown (NSW)"/>
    <s v="Sydney - Outer South West"/>
    <x v="0"/>
    <x v="0"/>
    <s v="Regional South and Connected Communities"/>
    <x v="0"/>
    <x v="0"/>
    <s v="Coed"/>
    <n v="228"/>
    <n v="25"/>
    <s v="Published"/>
    <n v="57"/>
    <n v="52"/>
    <n v="907"/>
    <x v="2"/>
    <n v="147"/>
    <x v="1"/>
    <n v="-34.082225000000001"/>
    <n v="150.83443399999999"/>
  </r>
  <r>
    <s v="4480"/>
    <s v="Bidwill Public School"/>
    <s v="Bidwill"/>
    <s v="Blacktown"/>
    <s v="Sydney - Blacktown"/>
    <x v="0"/>
    <x v="0"/>
    <s v="Regional South and Connected Communities"/>
    <x v="0"/>
    <x v="0"/>
    <s v="Coed"/>
    <n v="410"/>
    <n v="33"/>
    <s v="Published"/>
    <n v="135.30000000000001"/>
    <n v="49"/>
    <n v="825"/>
    <x v="1"/>
    <n v="201"/>
    <x v="0"/>
    <n v="-33.733547000000002"/>
    <n v="150.82593399999999"/>
  </r>
  <r>
    <s v="4481"/>
    <s v="St Andrews Public School"/>
    <s v="St Andrews"/>
    <s v="Campbelltown (NSW)"/>
    <s v="Sydney - Outer South West"/>
    <x v="0"/>
    <x v="0"/>
    <s v="Metropolitan South and West"/>
    <x v="0"/>
    <x v="0"/>
    <s v="Coed"/>
    <n v="761"/>
    <n v="8"/>
    <s v="Published"/>
    <n v="60.88"/>
    <n v="52"/>
    <n v="995"/>
    <x v="2"/>
    <n v="97"/>
    <x v="3"/>
    <n v="-34.022531999999998"/>
    <n v="150.83136200000001"/>
  </r>
  <r>
    <s v="4482"/>
    <s v="York Public School"/>
    <s v="SOUTH PENRITH"/>
    <s v="Penrith"/>
    <s v="Sydney - Outer West and Blue Mountains"/>
    <x v="0"/>
    <x v="0"/>
    <s v="Metropolitan South and West"/>
    <x v="0"/>
    <x v="0"/>
    <s v="Coed"/>
    <n v="515"/>
    <n v="13"/>
    <s v="Published"/>
    <n v="66.95"/>
    <n v="16"/>
    <n v="973"/>
    <x v="2"/>
    <n v="112"/>
    <x v="0"/>
    <n v="-33.777110999999998"/>
    <n v="150.69812400000001"/>
  </r>
  <r>
    <s v="4483"/>
    <s v="Grose View Public School"/>
    <s v="Grose Vale"/>
    <s v="Hawkesbury"/>
    <s v="Sydney - Baulkham Hills and Hawkesbury"/>
    <x v="1"/>
    <x v="1"/>
    <s v="Regional North"/>
    <x v="0"/>
    <x v="0"/>
    <s v="Coed"/>
    <n v="265"/>
    <n v="8"/>
    <s v="Published"/>
    <n v="21.2"/>
    <n v="7"/>
    <n v="1005"/>
    <x v="3"/>
    <n v="87"/>
    <x v="1"/>
    <n v="-33.594467999999999"/>
    <n v="150.66485"/>
  </r>
  <r>
    <s v="4484"/>
    <s v="Cambridge Gardens Public School"/>
    <s v="Cambridge Park"/>
    <s v="Penrith"/>
    <s v="Sydney - Outer West and Blue Mountains"/>
    <x v="0"/>
    <x v="0"/>
    <s v="Metropolitan North"/>
    <x v="0"/>
    <x v="0"/>
    <s v="Coed"/>
    <n v="341"/>
    <n v="18"/>
    <s v="Published"/>
    <n v="61.379999999999995"/>
    <n v="16"/>
    <n v="965"/>
    <x v="2"/>
    <n v="106"/>
    <x v="0"/>
    <n v="-33.737223999999998"/>
    <n v="150.72200799999999"/>
  </r>
  <r>
    <s v="4485"/>
    <s v="Culburra Public School"/>
    <s v="Culburra Beach"/>
    <s v="Shoalhaven"/>
    <s v="Southern Highlands and Shoalhaven"/>
    <x v="1"/>
    <x v="1"/>
    <s v="Regional South and Connected Communities"/>
    <x v="0"/>
    <x v="0"/>
    <s v="Coed"/>
    <n v="219"/>
    <n v="22"/>
    <s v="Published"/>
    <n v="48.18"/>
    <n v="5"/>
    <n v="952"/>
    <x v="2"/>
    <n v="101"/>
    <x v="1"/>
    <n v="-34.933197999999997"/>
    <n v="150.76228599999999"/>
  </r>
  <r>
    <s v="4486"/>
    <s v="Singleton Heights Public School"/>
    <s v="Singleton Heights"/>
    <s v="Singleton"/>
    <s v="Hunter Valley exc Newcastle"/>
    <x v="1"/>
    <x v="1"/>
    <s v="Regional North and West"/>
    <x v="0"/>
    <x v="0"/>
    <s v="Coed"/>
    <n v="468"/>
    <n v="22"/>
    <s v="Published"/>
    <n v="102.96"/>
    <n v="8"/>
    <n v="920"/>
    <x v="2"/>
    <n v="131"/>
    <x v="0"/>
    <n v="-32.549202999999999"/>
    <n v="151.16395499999999"/>
  </r>
  <r>
    <s v="4488"/>
    <s v="Kareela Public School"/>
    <s v="KAREELA"/>
    <s v="Sutherland"/>
    <s v="Sydney - Sutherland"/>
    <x v="0"/>
    <x v="0"/>
    <s v="Metropolitan South and West"/>
    <x v="0"/>
    <x v="0"/>
    <s v="Coed"/>
    <n v="272"/>
    <n v="0"/>
    <s v="Published"/>
    <n v="0"/>
    <n v="27"/>
    <n v="1102"/>
    <x v="0"/>
    <n v="38"/>
    <x v="1"/>
    <n v="-34.012894000000003"/>
    <n v="151.08199099999999"/>
  </r>
  <r>
    <s v="4489"/>
    <s v="Ruse Public School"/>
    <s v="Ruse"/>
    <s v="Campbelltown (NSW)"/>
    <s v="Sydney - Outer South West"/>
    <x v="0"/>
    <x v="0"/>
    <s v="Regional South and Connected Communities"/>
    <x v="0"/>
    <x v="0"/>
    <s v="Coed"/>
    <n v="483"/>
    <n v="12"/>
    <s v="Published"/>
    <n v="57.96"/>
    <n v="33"/>
    <n v="973"/>
    <x v="2"/>
    <n v="111"/>
    <x v="0"/>
    <n v="-34.066949000000001"/>
    <n v="150.84157300000001"/>
  </r>
  <r>
    <s v="4490"/>
    <s v="Campbellfield Public School"/>
    <s v="Minto"/>
    <s v="Campbelltown (NSW)"/>
    <s v="Sydney - Outer South West"/>
    <x v="0"/>
    <x v="0"/>
    <s v="Metropolitan South and West"/>
    <x v="0"/>
    <x v="0"/>
    <s v="Coed"/>
    <n v="351"/>
    <n v="8"/>
    <s v="Published"/>
    <n v="28.080000000000002"/>
    <n v="72"/>
    <n v="992"/>
    <x v="2"/>
    <n v="93"/>
    <x v="0"/>
    <n v="-34.037683999999999"/>
    <n v="150.84742199999999"/>
  </r>
  <r>
    <s v="4491"/>
    <s v="Sackville Street Public School"/>
    <s v="INGLEBURN"/>
    <s v="Campbelltown (NSW)"/>
    <s v="Sydney - Outer South West"/>
    <x v="0"/>
    <x v="0"/>
    <s v="Metropolitan South and West"/>
    <x v="0"/>
    <x v="0"/>
    <s v="Coed"/>
    <n v="474"/>
    <n v="13"/>
    <s v="Published"/>
    <n v="61.620000000000005"/>
    <n v="54"/>
    <n v="971"/>
    <x v="2"/>
    <n v="111"/>
    <x v="0"/>
    <n v="-34.011068000000002"/>
    <n v="150.863607"/>
  </r>
  <r>
    <s v="4492"/>
    <s v="Woodland Road Public School"/>
    <s v="ST HELENS PARK"/>
    <s v="Campbelltown (NSW)"/>
    <s v="Sydney - Outer South West"/>
    <x v="0"/>
    <x v="0"/>
    <s v="Regional South and Connected Communities"/>
    <x v="0"/>
    <x v="0"/>
    <s v="Coed"/>
    <n v="275"/>
    <n v="14"/>
    <s v="Published"/>
    <n v="38.500000000000007"/>
    <n v="32"/>
    <n v="959"/>
    <x v="2"/>
    <n v="126"/>
    <x v="1"/>
    <n v="-34.097071999999997"/>
    <n v="150.815078"/>
  </r>
  <r>
    <s v="4493"/>
    <s v="Noumea Public School"/>
    <s v="Shalvey"/>
    <s v="Blacktown"/>
    <s v="Sydney - Blacktown"/>
    <x v="0"/>
    <x v="0"/>
    <s v="Metropolitan North"/>
    <x v="0"/>
    <x v="0"/>
    <s v="Coed"/>
    <n v="260"/>
    <n v="28"/>
    <s v="Published"/>
    <n v="72.800000000000011"/>
    <n v="34"/>
    <n v="866"/>
    <x v="1"/>
    <n v="178"/>
    <x v="1"/>
    <n v="-33.732605999999997"/>
    <n v="150.80989199999999"/>
  </r>
  <r>
    <s v="4494"/>
    <s v="Hampden Park Public School"/>
    <s v="Lakemba"/>
    <s v="Canterbury-Bankstown"/>
    <s v="Sydney - Inner South West"/>
    <x v="0"/>
    <x v="0"/>
    <s v="Metropolitan South"/>
    <x v="0"/>
    <x v="0"/>
    <s v="Coed"/>
    <n v="859"/>
    <m/>
    <s v="Suppressed"/>
    <s v=""/>
    <n v="98"/>
    <n v="966"/>
    <x v="2"/>
    <n v="133"/>
    <x v="3"/>
    <n v="-33.914957000000001"/>
    <n v="151.074029"/>
  </r>
  <r>
    <s v="4496"/>
    <s v="Dulwich Hill Public School"/>
    <s v="Dulwich Hill"/>
    <s v="Inner West"/>
    <s v="Sydney - Inner West"/>
    <x v="0"/>
    <x v="0"/>
    <s v="Metropolitan South"/>
    <x v="0"/>
    <x v="0"/>
    <s v="Coed"/>
    <n v="358"/>
    <n v="6"/>
    <s v="Published"/>
    <n v="21.48"/>
    <n v="33"/>
    <n v="1099"/>
    <x v="3"/>
    <n v="28"/>
    <x v="0"/>
    <n v="-33.906162999999999"/>
    <n v="151.140287"/>
  </r>
  <r>
    <s v="4498"/>
    <s v="Minnamurra Public School"/>
    <s v="Minnamurra"/>
    <s v="Kiama"/>
    <s v="Illawarra"/>
    <x v="0"/>
    <x v="0"/>
    <s v="Regional South and Connected Communities"/>
    <x v="0"/>
    <x v="0"/>
    <s v="Coed"/>
    <n v="464"/>
    <n v="5"/>
    <s v="Published"/>
    <n v="23.200000000000003"/>
    <n v="5"/>
    <n v="1068"/>
    <x v="3"/>
    <n v="53"/>
    <x v="0"/>
    <n v="-34.624870000000001"/>
    <n v="150.85277300000001"/>
  </r>
  <r>
    <s v="4499"/>
    <s v="Newbridge Heights Public School"/>
    <s v="CHIPPING NORTON"/>
    <s v="Liverpool"/>
    <s v="Sydney - South West"/>
    <x v="0"/>
    <x v="0"/>
    <s v="Metropolitan South and West"/>
    <x v="0"/>
    <x v="0"/>
    <s v="Coed"/>
    <n v="440"/>
    <n v="2"/>
    <s v="Published"/>
    <n v="8.8000000000000007"/>
    <n v="72"/>
    <n v="1055"/>
    <x v="3"/>
    <n v="67"/>
    <x v="0"/>
    <n v="-33.926068000000001"/>
    <n v="150.95206899999999"/>
  </r>
  <r>
    <s v="4500"/>
    <s v="Nareena Hills Public School"/>
    <s v="Figtree"/>
    <s v="Wollongong"/>
    <s v="Illawarra"/>
    <x v="0"/>
    <x v="0"/>
    <s v="Regional South and Connected Communities"/>
    <x v="0"/>
    <x v="0"/>
    <s v="Coed"/>
    <n v="209"/>
    <n v="3"/>
    <s v="Published"/>
    <n v="6.27"/>
    <n v="16"/>
    <n v="1080"/>
    <x v="3"/>
    <n v="44"/>
    <x v="1"/>
    <n v="-34.425764999999998"/>
    <n v="150.84787"/>
  </r>
  <r>
    <s v="4501"/>
    <s v="Barrack Heights Public School"/>
    <s v="BARRACK HEIGHTS"/>
    <s v="Shellharbour"/>
    <s v="Illawarra"/>
    <x v="0"/>
    <x v="0"/>
    <s v="Regional South and Connected Communities"/>
    <x v="0"/>
    <x v="0"/>
    <s v="Coed"/>
    <n v="192"/>
    <n v="33"/>
    <s v="Published"/>
    <n v="63.36"/>
    <n v="9"/>
    <n v="873"/>
    <x v="1"/>
    <n v="171"/>
    <x v="1"/>
    <n v="-34.559085000000003"/>
    <n v="150.84603200000001"/>
  </r>
  <r>
    <s v="4502"/>
    <s v="Petersham Public School"/>
    <s v="Petersham"/>
    <s v="Inner West"/>
    <s v="Sydney - City and Inner South"/>
    <x v="0"/>
    <x v="0"/>
    <s v="Metropolitan South"/>
    <x v="0"/>
    <x v="0"/>
    <s v="Coed"/>
    <n v="232"/>
    <m/>
    <s v="Suppressed"/>
    <s v=""/>
    <n v="35"/>
    <n v="1137"/>
    <x v="0"/>
    <n v="21"/>
    <x v="1"/>
    <n v="-33.895646999999997"/>
    <n v="151.15017499999999"/>
  </r>
  <r>
    <s v="4503"/>
    <s v="Tyalla Public School"/>
    <s v="Coffs Harbour"/>
    <s v="Coffs Harbour"/>
    <s v="Coffs Harbour - Grafton"/>
    <x v="1"/>
    <x v="1"/>
    <s v="Regional North and West"/>
    <x v="0"/>
    <x v="0"/>
    <s v="Coed"/>
    <n v="258"/>
    <n v="37"/>
    <s v="Published"/>
    <n v="95.46"/>
    <n v="17"/>
    <n v="872"/>
    <x v="1"/>
    <n v="154"/>
    <x v="1"/>
    <n v="-30.283852"/>
    <n v="153.11236199999999"/>
  </r>
  <r>
    <s v="4504"/>
    <s v="Crawford Public School"/>
    <s v="Doonside"/>
    <s v="Blacktown"/>
    <s v="Sydney - Blacktown"/>
    <x v="0"/>
    <x v="0"/>
    <s v="Metropolitan North"/>
    <x v="0"/>
    <x v="0"/>
    <s v="Coed"/>
    <n v="387"/>
    <n v="23"/>
    <s v="Published"/>
    <n v="89.01"/>
    <n v="49"/>
    <n v="914"/>
    <x v="2"/>
    <n v="147"/>
    <x v="0"/>
    <n v="-33.75479"/>
    <n v="150.86882499999999"/>
  </r>
  <r>
    <s v="4505"/>
    <s v="Ambarvale Public School"/>
    <s v="Ambarvale"/>
    <s v="Campbelltown (NSW)"/>
    <s v="Sydney - Outer South West"/>
    <x v="0"/>
    <x v="0"/>
    <s v="Regional South and Connected Communities"/>
    <x v="0"/>
    <x v="0"/>
    <s v="Coed"/>
    <n v="433"/>
    <n v="17"/>
    <s v="Published"/>
    <n v="73.61"/>
    <n v="43"/>
    <n v="944"/>
    <x v="2"/>
    <n v="128"/>
    <x v="0"/>
    <n v="-34.086423000000003"/>
    <n v="150.798192"/>
  </r>
  <r>
    <s v="4506"/>
    <s v="Toormina Public School"/>
    <s v="Toormina"/>
    <s v="Coffs Harbour"/>
    <s v="Coffs Harbour - Grafton"/>
    <x v="1"/>
    <x v="1"/>
    <s v="Regional North and West"/>
    <x v="0"/>
    <x v="0"/>
    <s v="Coed"/>
    <n v="174"/>
    <n v="25"/>
    <s v="Published"/>
    <n v="43.5"/>
    <n v="10"/>
    <n v="922"/>
    <x v="2"/>
    <n v="133"/>
    <x v="1"/>
    <n v="-30.353470000000002"/>
    <n v="153.08335"/>
  </r>
  <r>
    <s v="4507"/>
    <s v="Bonnet Bay Public School"/>
    <s v="BONNET BAY"/>
    <s v="Sutherland"/>
    <s v="Sydney - Sutherland"/>
    <x v="0"/>
    <x v="0"/>
    <s v="Metropolitan South and West"/>
    <x v="0"/>
    <x v="0"/>
    <s v="Coed"/>
    <n v="197"/>
    <n v="4"/>
    <s v="Published"/>
    <n v="7.88"/>
    <n v="16"/>
    <n v="1090"/>
    <x v="3"/>
    <n v="44"/>
    <x v="1"/>
    <n v="-34.012607000000003"/>
    <n v="151.05625699999999"/>
  </r>
  <r>
    <s v="4508"/>
    <s v="Valley View Public School"/>
    <s v="Wyoming"/>
    <s v="Central Coast (NSW)"/>
    <s v="Central Coast"/>
    <x v="0"/>
    <x v="0"/>
    <s v="Regional North"/>
    <x v="0"/>
    <x v="0"/>
    <s v="Coed"/>
    <n v="325"/>
    <n v="14"/>
    <s v="Published"/>
    <n v="45.500000000000007"/>
    <n v="18"/>
    <n v="987"/>
    <x v="2"/>
    <n v="99"/>
    <x v="0"/>
    <n v="-33.400215000000003"/>
    <n v="151.361943"/>
  </r>
  <r>
    <s v="4509"/>
    <s v="Sarah Redfern Public School"/>
    <s v="Minto"/>
    <s v="Campbelltown (NSW)"/>
    <s v="Sydney - Outer South West"/>
    <x v="0"/>
    <x v="0"/>
    <s v="Metropolitan South and West"/>
    <x v="0"/>
    <x v="0"/>
    <s v="Coed"/>
    <n v="311"/>
    <n v="11"/>
    <s v="Published"/>
    <n v="34.21"/>
    <n v="83"/>
    <n v="991"/>
    <x v="2"/>
    <n v="88"/>
    <x v="0"/>
    <n v="-34.027650000000001"/>
    <n v="150.85091"/>
  </r>
  <r>
    <s v="4510"/>
    <s v="Claymore Public School"/>
    <s v="Claymore"/>
    <s v="Campbelltown (NSW)"/>
    <s v="Sydney - Outer South West"/>
    <x v="0"/>
    <x v="0"/>
    <s v="Regional South and Connected Communities"/>
    <x v="0"/>
    <x v="0"/>
    <s v="Coed"/>
    <n v="236"/>
    <n v="17"/>
    <s v="Published"/>
    <n v="40.120000000000005"/>
    <n v="39"/>
    <n v="903"/>
    <x v="2"/>
    <n v="160"/>
    <x v="1"/>
    <n v="-34.043125000000003"/>
    <n v="150.809517"/>
  </r>
  <r>
    <s v="4514"/>
    <s v="King Street Public School"/>
    <s v="Singleton"/>
    <s v="Singleton"/>
    <s v="Hunter Valley exc Newcastle"/>
    <x v="1"/>
    <x v="1"/>
    <s v="Regional North and West"/>
    <x v="0"/>
    <x v="0"/>
    <s v="Coed"/>
    <n v="433"/>
    <n v="27"/>
    <s v="Published"/>
    <n v="116.91000000000001"/>
    <n v="9"/>
    <n v="900"/>
    <x v="2"/>
    <n v="135"/>
    <x v="0"/>
    <n v="-32.569546000000003"/>
    <n v="151.17526599999999"/>
  </r>
  <r>
    <s v="4516"/>
    <s v="Eastlakes Public School"/>
    <s v="Eastlakes"/>
    <s v="Bayside (NSW)"/>
    <s v="Sydney - City and Inner South"/>
    <x v="0"/>
    <x v="0"/>
    <s v="Metropolitan South"/>
    <x v="0"/>
    <x v="0"/>
    <s v="Coed"/>
    <n v="154"/>
    <n v="5"/>
    <s v="Published"/>
    <n v="7.7"/>
    <n v="88"/>
    <n v="1046"/>
    <x v="3"/>
    <n v="53"/>
    <x v="1"/>
    <n v="-33.928064999999997"/>
    <n v="151.21383599999999"/>
  </r>
  <r>
    <s v="4517"/>
    <s v="Gorokan Public School"/>
    <s v="Gorokan"/>
    <s v="Central Coast (NSW)"/>
    <s v="Central Coast"/>
    <x v="0"/>
    <x v="0"/>
    <s v="Regional North"/>
    <x v="0"/>
    <x v="0"/>
    <s v="Coed"/>
    <n v="620"/>
    <n v="25"/>
    <s v="Published"/>
    <n v="155"/>
    <n v="11"/>
    <n v="913"/>
    <x v="2"/>
    <n v="139"/>
    <x v="3"/>
    <n v="-33.252454"/>
    <n v="151.51020500000001"/>
  </r>
  <r>
    <s v="4518"/>
    <s v="The Grange Public School"/>
    <s v="MINTO"/>
    <s v="Campbelltown (NSW)"/>
    <s v="Sydney - Outer South West"/>
    <x v="0"/>
    <x v="0"/>
    <s v="Metropolitan South and West"/>
    <x v="0"/>
    <x v="0"/>
    <s v="Coed"/>
    <n v="282"/>
    <n v="8"/>
    <s v="Published"/>
    <n v="22.56"/>
    <n v="69"/>
    <n v="981"/>
    <x v="2"/>
    <n v="108"/>
    <x v="1"/>
    <n v="-34.022050999999998"/>
    <n v="150.857358"/>
  </r>
  <r>
    <s v="4520"/>
    <s v="Bateau Bay Public School"/>
    <s v="BATEAU BAY"/>
    <s v="Central Coast (NSW)"/>
    <s v="Central Coast"/>
    <x v="0"/>
    <x v="0"/>
    <s v="Regional North"/>
    <x v="0"/>
    <x v="0"/>
    <s v="Coed"/>
    <n v="614"/>
    <n v="9"/>
    <s v="Published"/>
    <n v="55.26"/>
    <n v="4"/>
    <n v="1029"/>
    <x v="3"/>
    <n v="74"/>
    <x v="3"/>
    <n v="-33.391770999999999"/>
    <n v="151.47614300000001"/>
  </r>
  <r>
    <s v="4521"/>
    <s v="Metford Public School"/>
    <s v="Metford"/>
    <s v="Maitland"/>
    <s v="Hunter Valley exc Newcastle"/>
    <x v="0"/>
    <x v="0"/>
    <s v="Regional North and West"/>
    <x v="0"/>
    <x v="0"/>
    <s v="Coed"/>
    <n v="265"/>
    <n v="28"/>
    <s v="Published"/>
    <n v="74.2"/>
    <n v="11"/>
    <n v="887"/>
    <x v="1"/>
    <n v="139"/>
    <x v="1"/>
    <n v="-32.765067000000002"/>
    <n v="151.61271600000001"/>
  </r>
  <r>
    <s v="4522"/>
    <s v="Wamberal Public School"/>
    <s v="Wamberal"/>
    <s v="Central Coast (NSW)"/>
    <s v="Central Coast"/>
    <x v="0"/>
    <x v="0"/>
    <s v="Regional North"/>
    <x v="0"/>
    <x v="0"/>
    <s v="Coed"/>
    <n v="475"/>
    <n v="7"/>
    <s v="Published"/>
    <n v="33.25"/>
    <n v="8"/>
    <n v="1048"/>
    <x v="3"/>
    <n v="59"/>
    <x v="0"/>
    <n v="-33.412196999999999"/>
    <n v="151.44825800000001"/>
  </r>
  <r>
    <s v="4523"/>
    <s v="Springdale Heights Public School"/>
    <s v="Lavington"/>
    <s v="Albury"/>
    <s v="Murray"/>
    <x v="1"/>
    <x v="1"/>
    <s v="Rural South and West"/>
    <x v="0"/>
    <x v="0"/>
    <s v="Coed"/>
    <n v="223"/>
    <n v="17"/>
    <s v="Published"/>
    <n v="37.910000000000004"/>
    <n v="17"/>
    <n v="926"/>
    <x v="2"/>
    <n v="151"/>
    <x v="1"/>
    <n v="-36.031931999999998"/>
    <n v="146.94968399999999"/>
  </r>
  <r>
    <s v="4524"/>
    <s v="Hastings Public School"/>
    <s v="PORT MACQUARIE"/>
    <s v="Port Macquarie-Hastings"/>
    <s v="Mid North Coast"/>
    <x v="1"/>
    <x v="1"/>
    <s v="Regional North and West"/>
    <x v="0"/>
    <x v="0"/>
    <s v="Coed"/>
    <n v="526"/>
    <n v="12"/>
    <s v="Published"/>
    <n v="63.12"/>
    <n v="12"/>
    <n v="1019"/>
    <x v="3"/>
    <n v="73"/>
    <x v="0"/>
    <n v="-31.453116000000001"/>
    <n v="152.91820000000001"/>
  </r>
  <r>
    <s v="4525"/>
    <s v="Braddock Public School"/>
    <s v="Cranebrook"/>
    <s v="Penrith"/>
    <s v="Sydney - Outer West and Blue Mountains"/>
    <x v="0"/>
    <x v="0"/>
    <s v="Metropolitan North"/>
    <x v="0"/>
    <x v="0"/>
    <s v="Coed"/>
    <n v="332"/>
    <n v="29"/>
    <s v="Published"/>
    <n v="96.279999999999987"/>
    <n v="13"/>
    <n v="880"/>
    <x v="1"/>
    <n v="159"/>
    <x v="0"/>
    <n v="-33.722492000000003"/>
    <n v="150.708382"/>
  </r>
  <r>
    <s v="4526"/>
    <s v="Matthew Pearce Public School"/>
    <s v="Baulkham Hills"/>
    <s v="The Hills"/>
    <s v="Sydney - Baulkham Hills and Hawkesbury"/>
    <x v="0"/>
    <x v="0"/>
    <s v="Metropolitan North"/>
    <x v="0"/>
    <x v="0"/>
    <s v="Coed"/>
    <n v="1270"/>
    <m/>
    <s v="Suppressed"/>
    <s v=""/>
    <n v="91"/>
    <n v="1177"/>
    <x v="0"/>
    <n v="0"/>
    <x v="4"/>
    <n v="-33.758183000000002"/>
    <n v="150.96355399999999"/>
  </r>
  <r>
    <s v="4527"/>
    <s v="Clairgate Public School"/>
    <s v="St Clair"/>
    <s v="Penrith"/>
    <s v="Sydney - Outer West and Blue Mountains"/>
    <x v="0"/>
    <x v="0"/>
    <s v="Metropolitan South and West"/>
    <x v="0"/>
    <x v="0"/>
    <s v="Coed"/>
    <n v="409"/>
    <n v="10"/>
    <s v="Published"/>
    <n v="40.900000000000006"/>
    <n v="36"/>
    <n v="982"/>
    <x v="2"/>
    <n v="119"/>
    <x v="0"/>
    <n v="-33.796329"/>
    <n v="150.799228"/>
  </r>
  <r>
    <s v="4528"/>
    <s v="Kings Langley Public School"/>
    <s v="Kings Langley"/>
    <s v="Blacktown"/>
    <s v="Sydney - Blacktown"/>
    <x v="0"/>
    <x v="0"/>
    <s v="Metropolitan North"/>
    <x v="0"/>
    <x v="0"/>
    <s v="Coed"/>
    <n v="567"/>
    <n v="3"/>
    <s v="Published"/>
    <n v="17.009999999999998"/>
    <n v="34"/>
    <n v="1081"/>
    <x v="3"/>
    <n v="49"/>
    <x v="0"/>
    <n v="-33.745131000000001"/>
    <n v="150.92443299999999"/>
  </r>
  <r>
    <s v="4529"/>
    <s v="Glenwood Public School"/>
    <s v="Glenfield"/>
    <s v="Campbelltown (NSW)"/>
    <s v="Sydney - Outer South West"/>
    <x v="0"/>
    <x v="0"/>
    <s v="Metropolitan South and West"/>
    <x v="0"/>
    <x v="0"/>
    <s v="Coed"/>
    <n v="216"/>
    <n v="9"/>
    <s v="Published"/>
    <n v="19.439999999999998"/>
    <n v="57"/>
    <n v="988"/>
    <x v="2"/>
    <n v="112"/>
    <x v="1"/>
    <n v="-33.974542"/>
    <n v="150.90302800000001"/>
  </r>
  <r>
    <s v="4531"/>
    <s v="St Clair Public School"/>
    <s v="ST CLAIR"/>
    <s v="Penrith"/>
    <s v="Sydney - Outer West and Blue Mountains"/>
    <x v="0"/>
    <x v="0"/>
    <s v="Metropolitan South and West"/>
    <x v="0"/>
    <x v="0"/>
    <s v="Coed"/>
    <n v="325"/>
    <n v="8"/>
    <s v="Published"/>
    <n v="26"/>
    <n v="45"/>
    <n v="975"/>
    <x v="2"/>
    <n v="109"/>
    <x v="0"/>
    <n v="-33.796323999999998"/>
    <n v="150.78689900000001"/>
  </r>
  <r>
    <s v="4533"/>
    <s v="Tuncurry Public School"/>
    <s v="TUNCURRY"/>
    <s v="Mid-Coast"/>
    <s v="Mid North Coast"/>
    <x v="1"/>
    <x v="1"/>
    <s v="Regional North and West"/>
    <x v="0"/>
    <x v="0"/>
    <s v="Coed"/>
    <n v="366"/>
    <n v="21"/>
    <s v="Published"/>
    <n v="76.86"/>
    <n v="8"/>
    <n v="930"/>
    <x v="2"/>
    <n v="116"/>
    <x v="0"/>
    <n v="-32.171593000000001"/>
    <n v="152.49513400000001"/>
  </r>
  <r>
    <s v="4534"/>
    <s v="Orama Public School"/>
    <s v="Thora"/>
    <s v="Bellingen"/>
    <s v="Coffs Harbour - Grafton"/>
    <x v="2"/>
    <x v="2"/>
    <s v="Regional North and West"/>
    <x v="0"/>
    <x v="0"/>
    <s v="Coed"/>
    <n v="32"/>
    <m/>
    <s v="Suppressed"/>
    <s v=""/>
    <m/>
    <n v="983"/>
    <x v="2"/>
    <n v="111"/>
    <x v="2"/>
    <n v="-30.432500999999998"/>
    <n v="152.69181599999999"/>
  </r>
  <r>
    <s v="4535"/>
    <s v="Blairmount Public School"/>
    <s v="Blairmount"/>
    <s v="Campbelltown (NSW)"/>
    <s v="Sydney - Outer South West"/>
    <x v="0"/>
    <x v="0"/>
    <s v="Regional South and Connected Communities"/>
    <x v="0"/>
    <x v="0"/>
    <s v="Coed"/>
    <n v="450"/>
    <n v="10"/>
    <s v="Published"/>
    <n v="45"/>
    <n v="51"/>
    <n v="978"/>
    <x v="2"/>
    <n v="108"/>
    <x v="0"/>
    <n v="-34.048006999999998"/>
    <n v="150.80244400000001"/>
  </r>
  <r>
    <s v="4536"/>
    <s v="Bangor Public School"/>
    <s v="BANGOR"/>
    <s v="Sutherland"/>
    <s v="Sydney - Sutherland"/>
    <x v="0"/>
    <x v="0"/>
    <s v="Metropolitan South and West"/>
    <x v="0"/>
    <x v="0"/>
    <s v="Coed"/>
    <n v="503"/>
    <n v="2"/>
    <s v="Published"/>
    <n v="10.06"/>
    <n v="16"/>
    <n v="1077"/>
    <x v="3"/>
    <n v="54"/>
    <x v="0"/>
    <n v="-34.019534"/>
    <n v="151.02911800000001"/>
  </r>
  <r>
    <s v="4537"/>
    <s v="Rosemeadow Public School"/>
    <s v="Rosemeadow"/>
    <s v="Campbelltown (NSW)"/>
    <s v="Sydney - Outer South West"/>
    <x v="0"/>
    <x v="0"/>
    <s v="Regional South and Connected Communities"/>
    <x v="0"/>
    <x v="0"/>
    <s v="Coed"/>
    <n v="724"/>
    <n v="15"/>
    <s v="Published"/>
    <n v="108.6"/>
    <n v="40"/>
    <n v="945"/>
    <x v="2"/>
    <n v="127"/>
    <x v="3"/>
    <n v="-34.104647"/>
    <n v="150.79453699999999"/>
  </r>
  <r>
    <s v="4538"/>
    <s v="Bowen Public School"/>
    <s v="Orange"/>
    <s v="Orange"/>
    <s v="Central West"/>
    <x v="1"/>
    <x v="1"/>
    <s v="Rural South and West"/>
    <x v="0"/>
    <x v="0"/>
    <s v="Coed"/>
    <n v="217"/>
    <n v="57"/>
    <s v="Published"/>
    <n v="123.68999999999998"/>
    <n v="8"/>
    <n v="811"/>
    <x v="1"/>
    <n v="162"/>
    <x v="1"/>
    <n v="-33.280751000000002"/>
    <n v="149.117874"/>
  </r>
  <r>
    <s v="4539"/>
    <s v="Thomas Acres Public School"/>
    <s v="Ambarvale"/>
    <s v="Campbelltown (NSW)"/>
    <s v="Sydney - Outer South West"/>
    <x v="0"/>
    <x v="0"/>
    <s v="Regional South and Connected Communities"/>
    <x v="0"/>
    <x v="0"/>
    <s v="Coed"/>
    <n v="495"/>
    <n v="15"/>
    <s v="Published"/>
    <n v="74.25"/>
    <n v="38"/>
    <n v="942"/>
    <x v="2"/>
    <n v="134"/>
    <x v="0"/>
    <n v="-34.093620999999999"/>
    <n v="150.78924699999999"/>
  </r>
  <r>
    <s v="4541"/>
    <s v="Werrington County Public School"/>
    <s v="Werrington"/>
    <s v="Penrith"/>
    <s v="Sydney - Outer West and Blue Mountains"/>
    <x v="0"/>
    <x v="0"/>
    <s v="Metropolitan North"/>
    <x v="0"/>
    <x v="0"/>
    <s v="Coed"/>
    <n v="319"/>
    <n v="19"/>
    <s v="Published"/>
    <n v="60.61"/>
    <n v="16"/>
    <n v="961"/>
    <x v="2"/>
    <n v="117"/>
    <x v="0"/>
    <n v="-33.745130000000003"/>
    <n v="150.74755400000001"/>
  </r>
  <r>
    <s v="4542"/>
    <s v="Chittaway Bay Public School"/>
    <s v="CHITTAWAY BAY"/>
    <s v="Central Coast (NSW)"/>
    <s v="Central Coast"/>
    <x v="0"/>
    <x v="0"/>
    <s v="Regional North"/>
    <x v="0"/>
    <x v="0"/>
    <s v="Coed"/>
    <n v="479"/>
    <n v="14"/>
    <s v="Published"/>
    <n v="67.06"/>
    <n v="9"/>
    <n v="992"/>
    <x v="2"/>
    <n v="96"/>
    <x v="0"/>
    <n v="-33.325977999999999"/>
    <n v="151.43200999999999"/>
  </r>
  <r>
    <s v="4543"/>
    <s v="Wilkins Public School"/>
    <s v="Marrickville"/>
    <s v="Inner West"/>
    <s v="Sydney - City and Inner South"/>
    <x v="0"/>
    <x v="0"/>
    <s v="Metropolitan South"/>
    <x v="0"/>
    <x v="0"/>
    <s v="Coed"/>
    <n v="508"/>
    <n v="2"/>
    <s v="Published"/>
    <n v="10.16"/>
    <n v="43"/>
    <n v="1135"/>
    <x v="0"/>
    <n v="22"/>
    <x v="0"/>
    <n v="-33.901966999999999"/>
    <n v="151.15508600000001"/>
  </r>
  <r>
    <s v="4544"/>
    <s v="Jamisontown Public School"/>
    <s v="SOUTH PENRITH"/>
    <s v="Penrith"/>
    <s v="Sydney - Outer West and Blue Mountains"/>
    <x v="0"/>
    <x v="0"/>
    <s v="Metropolitan South and West"/>
    <x v="0"/>
    <x v="0"/>
    <s v="Coed"/>
    <n v="317"/>
    <n v="13"/>
    <s v="Published"/>
    <n v="41.21"/>
    <n v="22"/>
    <n v="980"/>
    <x v="2"/>
    <n v="110"/>
    <x v="0"/>
    <n v="-33.773060000000001"/>
    <n v="150.68308300000001"/>
  </r>
  <r>
    <s v="4545"/>
    <s v="Bonnyrigg Public School"/>
    <s v="BONNYRIGG"/>
    <s v="Fairfield"/>
    <s v="Sydney - South West"/>
    <x v="0"/>
    <x v="0"/>
    <s v="Metropolitan South and West"/>
    <x v="0"/>
    <x v="0"/>
    <s v="Coed"/>
    <n v="238"/>
    <n v="14"/>
    <s v="Published"/>
    <n v="33.32"/>
    <n v="81"/>
    <n v="900"/>
    <x v="2"/>
    <n v="163"/>
    <x v="1"/>
    <n v="-33.887728000000003"/>
    <n v="150.88896199999999"/>
  </r>
  <r>
    <s v="4546"/>
    <s v="Katoomba Public School"/>
    <s v="Katoomba"/>
    <s v="Blue Mountains"/>
    <s v="Sydney - Outer West and Blue Mountains"/>
    <x v="0"/>
    <x v="0"/>
    <s v="Regional North"/>
    <x v="0"/>
    <x v="0"/>
    <s v="Coed"/>
    <n v="210"/>
    <n v="8"/>
    <s v="Published"/>
    <n v="16.8"/>
    <n v="23"/>
    <n v="1035"/>
    <x v="3"/>
    <n v="63"/>
    <x v="1"/>
    <n v="-33.718645000000002"/>
    <n v="150.31370799999999"/>
  </r>
  <r>
    <s v="4547"/>
    <s v="Tanilba Bay Public School"/>
    <s v="Tanilba Bay"/>
    <s v="Port Stephens"/>
    <s v="Hunter Valley exc Newcastle"/>
    <x v="1"/>
    <x v="1"/>
    <s v="Regional North"/>
    <x v="0"/>
    <x v="0"/>
    <s v="Coed"/>
    <n v="354"/>
    <n v="29"/>
    <s v="Published"/>
    <n v="102.66"/>
    <n v="7"/>
    <n v="901"/>
    <x v="2"/>
    <n v="139"/>
    <x v="0"/>
    <n v="-32.730055"/>
    <n v="152.00584499999999"/>
  </r>
  <r>
    <s v="4548"/>
    <s v="Copacabana Public School"/>
    <s v="Copacabana"/>
    <s v="Central Coast (NSW)"/>
    <s v="Central Coast"/>
    <x v="0"/>
    <x v="0"/>
    <s v="Regional North"/>
    <x v="0"/>
    <x v="0"/>
    <s v="Coed"/>
    <n v="259"/>
    <n v="7"/>
    <s v="Published"/>
    <n v="18.130000000000003"/>
    <n v="15"/>
    <n v="1064"/>
    <x v="3"/>
    <n v="51"/>
    <x v="1"/>
    <n v="-33.485042"/>
    <n v="151.436848"/>
  </r>
  <r>
    <s v="4549"/>
    <s v="Orana Heights Public School"/>
    <s v="Dubbo"/>
    <s v="Dubbo"/>
    <s v="Far West and Orana"/>
    <x v="1"/>
    <x v="1"/>
    <s v="Regional North and West"/>
    <x v="0"/>
    <x v="0"/>
    <s v="Coed"/>
    <n v="614"/>
    <n v="46"/>
    <s v="Published"/>
    <n v="282.44"/>
    <n v="8"/>
    <n v="900"/>
    <x v="2"/>
    <n v="112"/>
    <x v="3"/>
    <n v="-32.252499999999998"/>
    <n v="148.62713199999999"/>
  </r>
  <r>
    <s v="4551"/>
    <s v="Plunkett Street Public School"/>
    <s v="Woolloomooloo"/>
    <s v="Sydney"/>
    <s v="Sydney - City and Inner South"/>
    <x v="0"/>
    <x v="0"/>
    <s v="Metropolitan South"/>
    <x v="0"/>
    <x v="0"/>
    <s v="Coed"/>
    <n v="73"/>
    <n v="27"/>
    <s v="Published"/>
    <n v="19.71"/>
    <n v="58"/>
    <n v="968"/>
    <x v="2"/>
    <n v="91"/>
    <x v="2"/>
    <n v="-33.870879000000002"/>
    <n v="151.22023999999999"/>
  </r>
  <r>
    <s v="4552"/>
    <s v="Manning Gardens Public School"/>
    <s v="Taree"/>
    <s v="Mid-Coast"/>
    <s v="Mid North Coast"/>
    <x v="1"/>
    <x v="1"/>
    <s v="Regional North and West"/>
    <x v="0"/>
    <x v="0"/>
    <s v="Coed"/>
    <n v="207"/>
    <n v="63"/>
    <s v="Published"/>
    <n v="130.41"/>
    <m/>
    <n v="724"/>
    <x v="1"/>
    <n v="199"/>
    <x v="1"/>
    <n v="-31.892305"/>
    <n v="152.459892"/>
  </r>
  <r>
    <s v="4553"/>
    <s v="Wiley Park Public School"/>
    <s v="Wiley Park"/>
    <s v="Canterbury-Bankstown"/>
    <s v="Sydney - Inner South West"/>
    <x v="0"/>
    <x v="0"/>
    <s v="Metropolitan South"/>
    <x v="0"/>
    <x v="0"/>
    <s v="Coed"/>
    <n v="550"/>
    <m/>
    <s v="Suppressed"/>
    <s v=""/>
    <n v="98"/>
    <n v="994"/>
    <x v="2"/>
    <n v="107"/>
    <x v="0"/>
    <n v="-33.924753000000003"/>
    <n v="151.06876099999999"/>
  </r>
  <r>
    <s v="4554"/>
    <s v="Prairievale Public School"/>
    <s v="Bossley Park"/>
    <s v="Fairfield"/>
    <s v="Sydney - South West"/>
    <x v="0"/>
    <x v="0"/>
    <s v="Metropolitan South and West"/>
    <x v="0"/>
    <x v="0"/>
    <s v="Coed"/>
    <n v="419"/>
    <n v="6"/>
    <s v="Published"/>
    <n v="25.14"/>
    <n v="91"/>
    <n v="894"/>
    <x v="1"/>
    <n v="173"/>
    <x v="0"/>
    <n v="-33.866464000000001"/>
    <n v="150.89089799999999"/>
  </r>
  <r>
    <s v="4555"/>
    <s v="Cudgegong Valley Public School"/>
    <s v="Mudgee"/>
    <s v="Mid-Western"/>
    <s v="Central West"/>
    <x v="1"/>
    <x v="1"/>
    <s v="Regional North and West"/>
    <x v="0"/>
    <x v="0"/>
    <s v="Coed"/>
    <n v="654"/>
    <n v="19"/>
    <s v="Published"/>
    <n v="124.26"/>
    <n v="4"/>
    <n v="951"/>
    <x v="2"/>
    <n v="105"/>
    <x v="3"/>
    <n v="-32.606538999999998"/>
    <n v="149.583789"/>
  </r>
  <r>
    <s v="4556"/>
    <s v="Wytaliba Public School"/>
    <s v="Glen Innes"/>
    <s v="Glen Innes Severn"/>
    <s v="New England and North West"/>
    <x v="2"/>
    <x v="2"/>
    <s v="Rural North"/>
    <x v="0"/>
    <x v="0"/>
    <s v="Coed"/>
    <n v="13"/>
    <m/>
    <s v="Suppressed"/>
    <s v=""/>
    <m/>
    <n v="923"/>
    <x v="2"/>
    <n v="137"/>
    <x v="2"/>
    <n v="-29.691603000000001"/>
    <n v="152.11035899999999"/>
  </r>
  <r>
    <s v="4557"/>
    <s v="Sandy Beach Public School"/>
    <s v="SANDY BEACH"/>
    <s v="Coffs Harbour"/>
    <s v="Coffs Harbour - Grafton"/>
    <x v="1"/>
    <x v="1"/>
    <s v="Rural North"/>
    <x v="0"/>
    <x v="0"/>
    <s v="Coed"/>
    <n v="336"/>
    <n v="16"/>
    <s v="Published"/>
    <n v="53.76"/>
    <n v="9"/>
    <n v="973"/>
    <x v="2"/>
    <n v="102"/>
    <x v="0"/>
    <n v="-30.153583999999999"/>
    <n v="153.18649600000001"/>
  </r>
  <r>
    <s v="4558"/>
    <s v="Eschol Park Public School"/>
    <s v="Eschol Park"/>
    <s v="Campbelltown (NSW)"/>
    <s v="Sydney - Outer South West"/>
    <x v="0"/>
    <x v="0"/>
    <s v="Metropolitan South and West"/>
    <x v="0"/>
    <x v="0"/>
    <s v="Coed"/>
    <n v="326"/>
    <n v="12"/>
    <s v="Published"/>
    <n v="39.119999999999997"/>
    <n v="40"/>
    <n v="979"/>
    <x v="2"/>
    <n v="102"/>
    <x v="0"/>
    <n v="-34.02834"/>
    <n v="150.81083799999999"/>
  </r>
  <r>
    <s v="4559"/>
    <s v="Blackwell Public School"/>
    <s v="St Clair"/>
    <s v="Penrith"/>
    <s v="Sydney - Outer West and Blue Mountains"/>
    <x v="0"/>
    <x v="0"/>
    <s v="Metropolitan South and West"/>
    <x v="0"/>
    <x v="0"/>
    <s v="Coed"/>
    <n v="480"/>
    <n v="8"/>
    <s v="Published"/>
    <n v="38.4"/>
    <n v="31"/>
    <n v="980"/>
    <x v="2"/>
    <n v="111"/>
    <x v="0"/>
    <n v="-33.806328000000001"/>
    <n v="150.783052"/>
  </r>
  <r>
    <s v="4560"/>
    <s v="Samuel Terry Public School"/>
    <s v="CRANEBROOK"/>
    <s v="Penrith"/>
    <s v="Sydney - Outer West and Blue Mountains"/>
    <x v="0"/>
    <x v="0"/>
    <s v="Metropolitan North"/>
    <x v="0"/>
    <x v="0"/>
    <s v="Coed"/>
    <n v="521"/>
    <n v="14"/>
    <s v="Published"/>
    <n v="72.940000000000012"/>
    <n v="12"/>
    <n v="980"/>
    <x v="2"/>
    <n v="107"/>
    <x v="0"/>
    <n v="-33.713307"/>
    <n v="150.70874499999999"/>
  </r>
  <r>
    <s v="4561"/>
    <s v="Rutherford Public School"/>
    <s v="Rutherford"/>
    <s v="Maitland"/>
    <s v="Hunter Valley exc Newcastle"/>
    <x v="0"/>
    <x v="0"/>
    <s v="Regional North and West"/>
    <x v="0"/>
    <x v="0"/>
    <s v="Coed"/>
    <n v="1007"/>
    <n v="24"/>
    <s v="Published"/>
    <n v="241.67999999999998"/>
    <n v="12"/>
    <n v="933"/>
    <x v="2"/>
    <n v="123"/>
    <x v="4"/>
    <n v="-32.710925000000003"/>
    <n v="151.52839"/>
  </r>
  <r>
    <s v="4562"/>
    <s v="Sunshine Bay Public School"/>
    <s v="Batehaven"/>
    <s v="Eurobodalla"/>
    <s v="Capital Region"/>
    <x v="1"/>
    <x v="1"/>
    <s v="Regional South and Connected Communities"/>
    <x v="0"/>
    <x v="0"/>
    <s v="Coed"/>
    <n v="203"/>
    <n v="27"/>
    <s v="Published"/>
    <n v="54.81"/>
    <n v="11"/>
    <n v="903"/>
    <x v="2"/>
    <n v="137"/>
    <x v="1"/>
    <n v="-35.740734000000003"/>
    <n v="150.20996099999999"/>
  </r>
  <r>
    <s v="4563"/>
    <s v="William Stimson Public School"/>
    <s v="Wetherill Park"/>
    <s v="Fairfield"/>
    <s v="Sydney - South West"/>
    <x v="0"/>
    <x v="0"/>
    <s v="Metropolitan South and West"/>
    <x v="0"/>
    <x v="0"/>
    <s v="Coed"/>
    <n v="459"/>
    <n v="3"/>
    <s v="Published"/>
    <n v="13.77"/>
    <n v="77"/>
    <n v="973"/>
    <x v="2"/>
    <n v="132"/>
    <x v="0"/>
    <n v="-33.854622999999997"/>
    <n v="150.90578199999999"/>
  </r>
  <r>
    <s v="4564"/>
    <s v="Wirreanda Public School"/>
    <s v="Medowie"/>
    <s v="Port Stephens"/>
    <s v="Hunter Valley exc Newcastle"/>
    <x v="1"/>
    <x v="1"/>
    <s v="Regional North"/>
    <x v="0"/>
    <x v="0"/>
    <s v="Coed"/>
    <n v="530"/>
    <n v="17"/>
    <s v="Published"/>
    <n v="90.100000000000009"/>
    <n v="5"/>
    <n v="988"/>
    <x v="2"/>
    <n v="101"/>
    <x v="0"/>
    <n v="-32.743910999999997"/>
    <n v="151.87521899999999"/>
  </r>
  <r>
    <s v="4565"/>
    <s v="Clare Public School"/>
    <s v="Clare"/>
    <s v="Balranald"/>
    <s v="Murray"/>
    <x v="3"/>
    <x v="3"/>
    <s v="Rural South and West"/>
    <x v="0"/>
    <x v="0"/>
    <s v="Coed"/>
    <n v="9"/>
    <n v="0"/>
    <s v="Published"/>
    <n v="0"/>
    <n v="0"/>
    <n v="1009"/>
    <x v="3"/>
    <n v="93"/>
    <x v="2"/>
    <n v="-33.401375520000002"/>
    <n v="143.94441979999999"/>
  </r>
  <r>
    <s v="4566"/>
    <s v="Brooke Avenue Public School"/>
    <s v="KILLARNEY VALE"/>
    <s v="Central Coast (NSW)"/>
    <s v="Central Coast"/>
    <x v="0"/>
    <x v="0"/>
    <s v="Regional North"/>
    <x v="0"/>
    <x v="0"/>
    <s v="Coed"/>
    <n v="420"/>
    <n v="30"/>
    <s v="Published"/>
    <n v="126"/>
    <n v="8"/>
    <n v="931"/>
    <x v="2"/>
    <n v="128"/>
    <x v="0"/>
    <n v="-33.376109999999997"/>
    <n v="151.46613300000001"/>
  </r>
  <r>
    <s v="4567"/>
    <s v="Governor Philip King Public School"/>
    <s v="EDENSOR PARK"/>
    <s v="Fairfield"/>
    <s v="Sydney - South West"/>
    <x v="0"/>
    <x v="0"/>
    <s v="Metropolitan South and West"/>
    <x v="0"/>
    <x v="0"/>
    <s v="Coed"/>
    <n v="568"/>
    <m/>
    <s v="Suppressed"/>
    <s v=""/>
    <n v="81"/>
    <n v="979"/>
    <x v="2"/>
    <n v="131"/>
    <x v="0"/>
    <n v="-33.873792999999999"/>
    <n v="150.879107"/>
  </r>
  <r>
    <s v="4568"/>
    <s v="Ellison Public School"/>
    <s v="Springwood"/>
    <s v="Blue Mountains"/>
    <s v="Sydney - Outer West and Blue Mountains"/>
    <x v="0"/>
    <x v="0"/>
    <s v="Regional North"/>
    <x v="0"/>
    <x v="0"/>
    <s v="Coed"/>
    <n v="283"/>
    <n v="4"/>
    <s v="Published"/>
    <n v="11.32"/>
    <n v="6"/>
    <n v="1051"/>
    <x v="3"/>
    <n v="67"/>
    <x v="1"/>
    <n v="-33.690350000000002"/>
    <n v="150.58532700000001"/>
  </r>
  <r>
    <s v="4569"/>
    <s v="Robert Townson Public School"/>
    <s v="Raby"/>
    <s v="Campbelltown (NSW)"/>
    <s v="Sydney - Outer South West"/>
    <x v="0"/>
    <x v="0"/>
    <s v="Metropolitan South and West"/>
    <x v="0"/>
    <x v="0"/>
    <s v="Coed"/>
    <n v="430"/>
    <n v="8"/>
    <s v="Published"/>
    <n v="34.4"/>
    <n v="52"/>
    <n v="988"/>
    <x v="2"/>
    <n v="107"/>
    <x v="0"/>
    <n v="-34.016173000000002"/>
    <n v="150.81889200000001"/>
  </r>
  <r>
    <s v="4571"/>
    <s v="Banks Public School"/>
    <s v="ST CLAIR"/>
    <s v="Penrith"/>
    <s v="Sydney - Outer West and Blue Mountains"/>
    <x v="0"/>
    <x v="0"/>
    <s v="Metropolitan South and West"/>
    <x v="0"/>
    <x v="0"/>
    <s v="Coed"/>
    <n v="417"/>
    <n v="8"/>
    <s v="Published"/>
    <n v="33.36"/>
    <n v="35"/>
    <n v="971"/>
    <x v="2"/>
    <n v="121"/>
    <x v="0"/>
    <n v="-33.793717000000001"/>
    <n v="150.773098"/>
  </r>
  <r>
    <s v="4572"/>
    <s v="John Purchase Public School"/>
    <s v="Cherrybrook"/>
    <s v="Hornsby"/>
    <s v="Sydney - Baulkham Hills and Hawkesbury"/>
    <x v="0"/>
    <x v="0"/>
    <s v="Metropolitan North"/>
    <x v="0"/>
    <x v="0"/>
    <s v="Coed"/>
    <n v="550"/>
    <m/>
    <s v="Suppressed"/>
    <s v=""/>
    <n v="80"/>
    <n v="1168"/>
    <x v="0"/>
    <n v="0"/>
    <x v="0"/>
    <n v="-33.718798"/>
    <n v="151.038895"/>
  </r>
  <r>
    <s v="4573"/>
    <s v="Tharawal Public School"/>
    <s v="Menai"/>
    <s v="Sutherland"/>
    <s v="Sydney - Sutherland"/>
    <x v="0"/>
    <x v="0"/>
    <s v="Metropolitan South and West"/>
    <x v="0"/>
    <x v="0"/>
    <s v="Coed"/>
    <n v="328"/>
    <n v="3"/>
    <s v="Published"/>
    <n v="9.84"/>
    <n v="24"/>
    <n v="1085"/>
    <x v="3"/>
    <n v="48"/>
    <x v="0"/>
    <n v="-34.003289000000002"/>
    <n v="151.02592899999999"/>
  </r>
  <r>
    <s v="4574"/>
    <s v="Samuel Gilbert Public School"/>
    <s v="Castle Hill"/>
    <s v="The Hills"/>
    <s v="Sydney - Baulkham Hills and Hawkesbury"/>
    <x v="0"/>
    <x v="0"/>
    <s v="Metropolitan North"/>
    <x v="0"/>
    <x v="0"/>
    <s v="Coed"/>
    <n v="643"/>
    <n v="2"/>
    <s v="Published"/>
    <n v="12.86"/>
    <n v="53"/>
    <n v="1128"/>
    <x v="0"/>
    <n v="18"/>
    <x v="3"/>
    <n v="-33.713106000000003"/>
    <n v="150.99202700000001"/>
  </r>
  <r>
    <s v="4575"/>
    <s v="Wingham Brush Public School"/>
    <s v="WINGHAM"/>
    <s v="Mid-Coast"/>
    <s v="Mid North Coast"/>
    <x v="1"/>
    <x v="1"/>
    <s v="Regional North and West"/>
    <x v="0"/>
    <x v="0"/>
    <s v="Coed"/>
    <n v="203"/>
    <n v="25"/>
    <s v="Published"/>
    <n v="50.75"/>
    <n v="3"/>
    <n v="895"/>
    <x v="1"/>
    <n v="146"/>
    <x v="1"/>
    <n v="-31.870239999999999"/>
    <n v="152.376982"/>
  </r>
  <r>
    <s v="4576"/>
    <s v="William Dean Public School"/>
    <s v="Dean Park"/>
    <s v="Blacktown"/>
    <s v="Sydney - Blacktown"/>
    <x v="0"/>
    <x v="0"/>
    <s v="Metropolitan North"/>
    <x v="0"/>
    <x v="0"/>
    <s v="Coed"/>
    <n v="382"/>
    <n v="6"/>
    <s v="Published"/>
    <n v="22.919999999999998"/>
    <n v="56"/>
    <n v="995"/>
    <x v="2"/>
    <n v="98"/>
    <x v="0"/>
    <n v="-33.734259000000002"/>
    <n v="150.85869299999999"/>
  </r>
  <r>
    <s v="4577"/>
    <s v="Minchinbury Public School"/>
    <s v="Minchinbury"/>
    <s v="Blacktown"/>
    <s v="Sydney - Blacktown"/>
    <x v="0"/>
    <x v="0"/>
    <s v="Metropolitan South and West"/>
    <x v="0"/>
    <x v="0"/>
    <s v="Coed"/>
    <n v="439"/>
    <n v="8"/>
    <s v="Published"/>
    <n v="35.119999999999997"/>
    <n v="50"/>
    <n v="975"/>
    <x v="2"/>
    <n v="108"/>
    <x v="0"/>
    <n v="-33.788620000000002"/>
    <n v="150.832427"/>
  </r>
  <r>
    <s v="4578"/>
    <s v="Teven-Tintenbar Public School"/>
    <s v="Tintenbar"/>
    <s v="Ballina"/>
    <s v="Richmond - Tweed"/>
    <x v="1"/>
    <x v="1"/>
    <s v="Rural North"/>
    <x v="0"/>
    <x v="0"/>
    <s v="Coed"/>
    <n v="133"/>
    <n v="5"/>
    <s v="Published"/>
    <n v="6.65"/>
    <n v="11"/>
    <n v="1057"/>
    <x v="3"/>
    <n v="67"/>
    <x v="1"/>
    <n v="-28.794805"/>
    <n v="153.50067100000001"/>
  </r>
  <r>
    <s v="4579"/>
    <s v="James Erskine Public School"/>
    <s v="Erskine Park"/>
    <s v="Penrith"/>
    <s v="Sydney - Outer West and Blue Mountains"/>
    <x v="0"/>
    <x v="0"/>
    <s v="Metropolitan South and West"/>
    <x v="0"/>
    <x v="0"/>
    <s v="Coed"/>
    <n v="486"/>
    <n v="9"/>
    <s v="Published"/>
    <n v="43.739999999999995"/>
    <n v="47"/>
    <n v="980"/>
    <x v="2"/>
    <n v="103"/>
    <x v="0"/>
    <n v="-33.805166999999997"/>
    <n v="150.80388400000001"/>
  </r>
  <r>
    <s v="4580"/>
    <s v="Kariong Public School"/>
    <s v="Kariong"/>
    <s v="Central Coast (NSW)"/>
    <s v="Central Coast"/>
    <x v="0"/>
    <x v="0"/>
    <s v="Regional North"/>
    <x v="0"/>
    <x v="0"/>
    <s v="Coed"/>
    <n v="502"/>
    <n v="10"/>
    <s v="Published"/>
    <n v="50.2"/>
    <n v="15"/>
    <n v="1007"/>
    <x v="3"/>
    <n v="91"/>
    <x v="0"/>
    <n v="-33.441014000000003"/>
    <n v="151.28963200000001"/>
  </r>
  <r>
    <s v="4581"/>
    <s v="Frank Partridge VC Public School"/>
    <s v="Nambucca Heads"/>
    <s v="Nambucca Valley"/>
    <s v="Mid North Coast"/>
    <x v="1"/>
    <x v="1"/>
    <s v="Regional North and West"/>
    <x v="0"/>
    <x v="0"/>
    <s v="Coed"/>
    <n v="217"/>
    <n v="41"/>
    <s v="Published"/>
    <n v="88.97"/>
    <n v="19"/>
    <n v="886"/>
    <x v="1"/>
    <n v="142"/>
    <x v="1"/>
    <n v="-30.641818000000001"/>
    <n v="152.98625699999999"/>
  </r>
  <r>
    <s v="4583"/>
    <s v="Edensor Park Public School"/>
    <s v="Edensor Park"/>
    <s v="Fairfield"/>
    <s v="Sydney - South West"/>
    <x v="0"/>
    <x v="0"/>
    <s v="Metropolitan South and West"/>
    <x v="0"/>
    <x v="0"/>
    <s v="Coed"/>
    <n v="286"/>
    <n v="3"/>
    <s v="Published"/>
    <n v="8.58"/>
    <n v="79"/>
    <n v="963"/>
    <x v="2"/>
    <n v="135"/>
    <x v="1"/>
    <n v="-33.882055999999999"/>
    <n v="150.87612100000001"/>
  </r>
  <r>
    <s v="4585"/>
    <s v="Bligh Park Public School"/>
    <s v="Bligh Park"/>
    <s v="Hawkesbury"/>
    <s v="Sydney - Outer West and Blue Mountains"/>
    <x v="0"/>
    <x v="0"/>
    <s v="Metropolitan North"/>
    <x v="0"/>
    <x v="0"/>
    <s v="Coed"/>
    <n v="283"/>
    <n v="18"/>
    <s v="Published"/>
    <n v="50.94"/>
    <n v="15"/>
    <n v="933"/>
    <x v="2"/>
    <n v="134"/>
    <x v="1"/>
    <n v="-33.639133000000001"/>
    <n v="150.79456500000001"/>
  </r>
  <r>
    <s v="4586"/>
    <s v="Sydney Distance Education Primary School"/>
    <s v="Surry Hills"/>
    <s v="Sydney"/>
    <s v="Sydney - City and Inner South"/>
    <x v="0"/>
    <x v="0"/>
    <s v="Metropolitan South"/>
    <x v="0"/>
    <x v="0"/>
    <s v="Coed"/>
    <n v="124"/>
    <m/>
    <s v="Suppressed"/>
    <s v=""/>
    <n v="30"/>
    <n v="1094"/>
    <x v="3"/>
    <n v="44"/>
    <x v="1"/>
    <n v="-33.886270000000003"/>
    <n v="151.212706"/>
  </r>
  <r>
    <s v="4587"/>
    <s v="Dubbo School of Distance Education"/>
    <s v="Dubbo"/>
    <s v="Dubbo"/>
    <s v="Far West and Orana"/>
    <x v="1"/>
    <x v="1"/>
    <s v="Regional North and West"/>
    <x v="1"/>
    <x v="0"/>
    <s v="Coed"/>
    <n v="182"/>
    <n v="34"/>
    <s v="Published"/>
    <n v="61.88"/>
    <m/>
    <n v="888"/>
    <x v="1"/>
    <n v="143"/>
    <x v="1"/>
    <n v="-32.242936999999998"/>
    <n v="148.63896700000001"/>
  </r>
  <r>
    <s v="4588"/>
    <s v="Northlakes Public School"/>
    <s v="SAN REMO"/>
    <s v="Central Coast (NSW)"/>
    <s v="Central Coast"/>
    <x v="0"/>
    <x v="0"/>
    <s v="Regional North"/>
    <x v="0"/>
    <x v="0"/>
    <s v="Coed"/>
    <n v="341"/>
    <n v="20"/>
    <s v="Published"/>
    <n v="68.2"/>
    <n v="8"/>
    <n v="905"/>
    <x v="2"/>
    <n v="146"/>
    <x v="0"/>
    <n v="-33.214542000000002"/>
    <n v="151.51478800000001"/>
  </r>
  <r>
    <s v="4589"/>
    <s v="Shoal Bay Public School"/>
    <s v="Shoal Bay"/>
    <s v="Port Stephens"/>
    <s v="Hunter Valley exc Newcastle"/>
    <x v="1"/>
    <x v="1"/>
    <s v="Regional North"/>
    <x v="0"/>
    <x v="0"/>
    <s v="Coed"/>
    <n v="237"/>
    <n v="16"/>
    <s v="Published"/>
    <n v="37.92"/>
    <n v="12"/>
    <n v="962"/>
    <x v="2"/>
    <n v="105"/>
    <x v="1"/>
    <n v="-32.729061999999999"/>
    <n v="152.17393300000001"/>
  </r>
  <r>
    <s v="4590"/>
    <s v="Hambledon Public School"/>
    <s v="Quakers Hill"/>
    <s v="Blacktown"/>
    <s v="Sydney - Blacktown"/>
    <x v="0"/>
    <x v="0"/>
    <s v="Metropolitan North"/>
    <x v="0"/>
    <x v="0"/>
    <s v="Coed"/>
    <n v="633"/>
    <n v="4"/>
    <s v="Published"/>
    <n v="25.32"/>
    <n v="65"/>
    <n v="1072"/>
    <x v="3"/>
    <n v="41"/>
    <x v="3"/>
    <n v="-33.716450000000002"/>
    <n v="150.88721100000001"/>
  </r>
  <r>
    <s v="4591"/>
    <s v="Glenmore Park Public School"/>
    <s v="Glenmore Park"/>
    <s v="Penrith"/>
    <s v="Sydney - Outer West and Blue Mountains"/>
    <x v="0"/>
    <x v="0"/>
    <s v="Metropolitan South and West"/>
    <x v="0"/>
    <x v="0"/>
    <s v="Coed"/>
    <n v="455"/>
    <n v="13"/>
    <s v="Published"/>
    <n v="59.15"/>
    <n v="23"/>
    <n v="994"/>
    <x v="2"/>
    <n v="98"/>
    <x v="0"/>
    <n v="-33.783388000000002"/>
    <n v="150.681117"/>
  </r>
  <r>
    <s v="4592"/>
    <s v="Vincentia Public School"/>
    <s v="Vincentia"/>
    <s v="Shoalhaven"/>
    <s v="Southern Highlands and Shoalhaven"/>
    <x v="1"/>
    <x v="1"/>
    <s v="Regional South and Connected Communities"/>
    <x v="0"/>
    <x v="0"/>
    <s v="Coed"/>
    <n v="251"/>
    <n v="8"/>
    <s v="Published"/>
    <n v="20.080000000000002"/>
    <n v="11"/>
    <n v="1012"/>
    <x v="3"/>
    <n v="82"/>
    <x v="1"/>
    <n v="-35.073352999999997"/>
    <n v="150.66954899999999"/>
  </r>
  <r>
    <s v="4593"/>
    <s v="Kearns Public School"/>
    <s v="Kearns"/>
    <s v="Campbelltown (NSW)"/>
    <s v="Sydney - Outer South West"/>
    <x v="0"/>
    <x v="0"/>
    <s v="Metropolitan South and West"/>
    <x v="0"/>
    <x v="0"/>
    <s v="Coed"/>
    <n v="178"/>
    <n v="7"/>
    <s v="Published"/>
    <n v="12.46"/>
    <n v="48"/>
    <n v="985"/>
    <x v="2"/>
    <n v="105"/>
    <x v="1"/>
    <n v="-34.021486000000003"/>
    <n v="150.80444600000001"/>
  </r>
  <r>
    <s v="4594"/>
    <s v="Bonnyrigg Heights Public School"/>
    <s v="Bonnyrigg Heights"/>
    <s v="Fairfield"/>
    <s v="Sydney - South West"/>
    <x v="0"/>
    <x v="0"/>
    <s v="Metropolitan South and West"/>
    <x v="0"/>
    <x v="0"/>
    <s v="Coed"/>
    <n v="769"/>
    <n v="1"/>
    <s v="Published"/>
    <n v="7.69"/>
    <n v="89"/>
    <n v="989"/>
    <x v="2"/>
    <n v="120"/>
    <x v="3"/>
    <n v="-33.88935"/>
    <n v="150.867681"/>
  </r>
  <r>
    <s v="4597"/>
    <s v="Mount Annan Public School"/>
    <s v="Mount Annan"/>
    <s v="Camden"/>
    <s v="Sydney - Outer South West"/>
    <x v="0"/>
    <x v="0"/>
    <s v="Regional South and Connected Communities"/>
    <x v="0"/>
    <x v="0"/>
    <s v="Coed"/>
    <n v="653"/>
    <n v="7"/>
    <s v="Published"/>
    <n v="45.71"/>
    <n v="27"/>
    <n v="1005"/>
    <x v="3"/>
    <n v="100"/>
    <x v="3"/>
    <n v="-34.061714000000002"/>
    <n v="150.76049699999999"/>
  </r>
  <r>
    <s v="4598"/>
    <s v="Hassall Grove Public School"/>
    <s v="Hassall Grove"/>
    <s v="Blacktown"/>
    <s v="Sydney - Blacktown"/>
    <x v="0"/>
    <x v="0"/>
    <s v="Metropolitan North"/>
    <x v="0"/>
    <x v="0"/>
    <s v="Coed"/>
    <n v="623"/>
    <n v="12"/>
    <s v="Published"/>
    <n v="74.759999999999991"/>
    <n v="50"/>
    <n v="959"/>
    <x v="2"/>
    <n v="124"/>
    <x v="3"/>
    <n v="-33.735480000000003"/>
    <n v="150.838504"/>
  </r>
  <r>
    <s v="4599"/>
    <s v="Barnier Public School"/>
    <s v="QUAKERS HILL"/>
    <s v="Blacktown"/>
    <s v="Sydney - Blacktown"/>
    <x v="0"/>
    <x v="0"/>
    <s v="Metropolitan North"/>
    <x v="0"/>
    <x v="0"/>
    <s v="Coed"/>
    <n v="788"/>
    <n v="3"/>
    <s v="Published"/>
    <n v="23.64"/>
    <n v="65"/>
    <n v="1078"/>
    <x v="3"/>
    <n v="41"/>
    <x v="3"/>
    <n v="-33.720509999999997"/>
    <n v="150.901824"/>
  </r>
  <r>
    <s v="4600"/>
    <s v="Maryland Public School"/>
    <s v="Maryland"/>
    <s v="Newcastle"/>
    <s v="Newcastle and Lake Macquarie"/>
    <x v="0"/>
    <x v="0"/>
    <s v="Regional North"/>
    <x v="0"/>
    <x v="0"/>
    <s v="Coed"/>
    <n v="368"/>
    <n v="15"/>
    <s v="Published"/>
    <n v="55.199999999999996"/>
    <n v="25"/>
    <n v="996"/>
    <x v="2"/>
    <n v="90"/>
    <x v="0"/>
    <n v="-32.881427000000002"/>
    <n v="151.65880799999999"/>
  </r>
  <r>
    <s v="4601"/>
    <s v="Aldavilla Public School"/>
    <s v="Yarravel"/>
    <s v="Kempsey"/>
    <s v="Mid North Coast"/>
    <x v="1"/>
    <x v="1"/>
    <s v="Regional North and West"/>
    <x v="0"/>
    <x v="0"/>
    <s v="Coed"/>
    <n v="263"/>
    <n v="38"/>
    <s v="Published"/>
    <n v="99.94"/>
    <n v="3"/>
    <n v="896"/>
    <x v="1"/>
    <n v="129"/>
    <x v="1"/>
    <n v="-31.055771"/>
    <n v="152.78697199999999"/>
  </r>
  <r>
    <s v="4602"/>
    <s v="William Bayldon Public School"/>
    <s v="Sawtell"/>
    <s v="Coffs Harbour"/>
    <s v="Coffs Harbour - Grafton"/>
    <x v="1"/>
    <x v="1"/>
    <s v="Regional North and West"/>
    <x v="0"/>
    <x v="0"/>
    <s v="Coed"/>
    <n v="159"/>
    <n v="54"/>
    <s v="Published"/>
    <n v="85.86"/>
    <n v="5"/>
    <n v="812"/>
    <x v="1"/>
    <n v="177"/>
    <x v="1"/>
    <n v="-30.363714000000002"/>
    <n v="153.08034799999999"/>
  </r>
  <r>
    <s v="4603"/>
    <s v="St Helens Park Public School"/>
    <s v="St Helens Park"/>
    <s v="Campbelltown (NSW)"/>
    <s v="Sydney - Outer South West"/>
    <x v="0"/>
    <x v="0"/>
    <s v="Regional South and Connected Communities"/>
    <x v="0"/>
    <x v="0"/>
    <s v="Coed"/>
    <n v="363"/>
    <n v="15"/>
    <s v="Published"/>
    <n v="54.449999999999996"/>
    <n v="32"/>
    <n v="968"/>
    <x v="2"/>
    <n v="114"/>
    <x v="0"/>
    <n v="-34.110232000000003"/>
    <n v="150.804035"/>
  </r>
  <r>
    <s v="4604"/>
    <s v="Oakhill Drive Public School"/>
    <s v="Castle Hill"/>
    <s v="Hornsby"/>
    <s v="Sydney - Baulkham Hills and Hawkesbury"/>
    <x v="0"/>
    <x v="0"/>
    <s v="Metropolitan North"/>
    <x v="0"/>
    <x v="0"/>
    <s v="Coed"/>
    <n v="756"/>
    <n v="0"/>
    <s v="Published"/>
    <n v="0"/>
    <n v="80"/>
    <n v="1152"/>
    <x v="0"/>
    <n v="3"/>
    <x v="3"/>
    <n v="-33.721563000000003"/>
    <n v="151.022997"/>
  </r>
  <r>
    <s v="4605"/>
    <s v="Alfords Point Public School"/>
    <s v="Alfords Point"/>
    <s v="Sutherland"/>
    <s v="Sydney - Sutherland"/>
    <x v="0"/>
    <x v="0"/>
    <s v="Metropolitan South and West"/>
    <x v="0"/>
    <x v="0"/>
    <s v="Coed"/>
    <n v="165"/>
    <n v="5"/>
    <s v="Published"/>
    <n v="8.25"/>
    <n v="49"/>
    <n v="1037"/>
    <x v="3"/>
    <n v="75"/>
    <x v="1"/>
    <n v="-33.992403000000003"/>
    <n v="151.02399"/>
  </r>
  <r>
    <s v="4606"/>
    <s v="Mullaway Public School"/>
    <s v="Mullaway"/>
    <s v="Coffs Harbour"/>
    <s v="Coffs Harbour - Grafton"/>
    <x v="1"/>
    <x v="1"/>
    <s v="Rural North"/>
    <x v="0"/>
    <x v="0"/>
    <s v="Coed"/>
    <n v="266"/>
    <n v="8"/>
    <s v="Published"/>
    <n v="21.28"/>
    <n v="9"/>
    <n v="1033"/>
    <x v="3"/>
    <n v="63"/>
    <x v="1"/>
    <n v="-30.077957999999999"/>
    <n v="153.19018299999999"/>
  </r>
  <r>
    <s v="4607"/>
    <s v="Centaur Public School"/>
    <s v="BANORA POINT"/>
    <s v="Tweed"/>
    <s v="Richmond - Tweed"/>
    <x v="0"/>
    <x v="0"/>
    <s v="Rural North"/>
    <x v="0"/>
    <x v="0"/>
    <s v="Coed"/>
    <n v="424"/>
    <n v="12"/>
    <s v="Published"/>
    <n v="50.879999999999995"/>
    <n v="15"/>
    <n v="975"/>
    <x v="2"/>
    <n v="111"/>
    <x v="0"/>
    <n v="-28.215705"/>
    <n v="153.52676199999999"/>
  </r>
  <r>
    <s v="4608"/>
    <s v="Glendenning Public School"/>
    <s v="Glendenning"/>
    <s v="Blacktown"/>
    <s v="Sydney - Blacktown"/>
    <x v="0"/>
    <x v="0"/>
    <s v="Metropolitan North"/>
    <x v="0"/>
    <x v="0"/>
    <s v="Coed"/>
    <n v="440"/>
    <n v="7"/>
    <s v="Published"/>
    <n v="30.800000000000004"/>
    <n v="77"/>
    <n v="1025"/>
    <x v="3"/>
    <n v="71"/>
    <x v="0"/>
    <n v="-33.742229999999999"/>
    <n v="150.85263800000001"/>
  </r>
  <r>
    <s v="4609"/>
    <s v="Grahamstown Public School"/>
    <s v="Raymond Terrace"/>
    <s v="Port Stephens"/>
    <s v="Hunter Valley exc Newcastle"/>
    <x v="0"/>
    <x v="0"/>
    <s v="Regional North"/>
    <x v="0"/>
    <x v="0"/>
    <s v="Coed"/>
    <n v="253"/>
    <n v="20"/>
    <s v="Published"/>
    <n v="50.6"/>
    <n v="5"/>
    <n v="912"/>
    <x v="2"/>
    <n v="147"/>
    <x v="1"/>
    <n v="-32.759082999999997"/>
    <n v="151.77447699999999"/>
  </r>
  <r>
    <s v="4610"/>
    <s v="Mount Terry Public School"/>
    <s v="Albion Park"/>
    <s v="Shellharbour"/>
    <s v="Illawarra"/>
    <x v="0"/>
    <x v="0"/>
    <s v="Regional South and Connected Communities"/>
    <x v="0"/>
    <x v="0"/>
    <s v="Coed"/>
    <n v="635"/>
    <n v="9"/>
    <s v="Published"/>
    <n v="57.15"/>
    <n v="7"/>
    <n v="982"/>
    <x v="2"/>
    <n v="105"/>
    <x v="3"/>
    <n v="-34.591636000000001"/>
    <n v="150.77993499999999"/>
  </r>
  <r>
    <s v="4611"/>
    <s v="Hallidays Point Public School"/>
    <s v="DIAMOND BEACH"/>
    <s v="Mid-Coast"/>
    <s v="Mid North Coast"/>
    <x v="1"/>
    <x v="1"/>
    <s v="Regional North and West"/>
    <x v="0"/>
    <x v="0"/>
    <s v="Coed"/>
    <n v="302"/>
    <n v="10"/>
    <s v="Published"/>
    <n v="30.200000000000003"/>
    <n v="7"/>
    <n v="1021"/>
    <x v="3"/>
    <n v="78"/>
    <x v="0"/>
    <n v="-32.041384999999998"/>
    <n v="152.537553"/>
  </r>
  <r>
    <s v="4612"/>
    <s v="Broulee Public School"/>
    <s v="Broulee"/>
    <s v="Eurobodalla"/>
    <s v="Capital Region"/>
    <x v="1"/>
    <x v="1"/>
    <s v="Regional South and Connected Communities"/>
    <x v="0"/>
    <x v="0"/>
    <s v="Coed"/>
    <n v="246"/>
    <n v="14"/>
    <s v="Published"/>
    <n v="34.440000000000005"/>
    <n v="8"/>
    <n v="996"/>
    <x v="2"/>
    <n v="85"/>
    <x v="1"/>
    <n v="-35.845579999999998"/>
    <n v="150.171898"/>
  </r>
  <r>
    <s v="4613"/>
    <s v="Hinchinbrook Public School"/>
    <s v="Hinchinbrook"/>
    <s v="Liverpool"/>
    <s v="Sydney - South West"/>
    <x v="0"/>
    <x v="0"/>
    <s v="Metropolitan South and West"/>
    <x v="0"/>
    <x v="0"/>
    <s v="Coed"/>
    <n v="487"/>
    <n v="3"/>
    <s v="Published"/>
    <n v="14.61"/>
    <n v="82"/>
    <n v="959"/>
    <x v="2"/>
    <n v="146"/>
    <x v="0"/>
    <n v="-33.912985999999997"/>
    <n v="150.85892000000001"/>
  </r>
  <r>
    <s v="4614"/>
    <s v="Windsor Park Public School"/>
    <s v="BLIGH PARK"/>
    <s v="Hawkesbury"/>
    <s v="Sydney - Outer West and Blue Mountains"/>
    <x v="0"/>
    <x v="0"/>
    <s v="Metropolitan North"/>
    <x v="0"/>
    <x v="0"/>
    <s v="Coed"/>
    <n v="231"/>
    <n v="18"/>
    <s v="Published"/>
    <n v="41.58"/>
    <n v="5"/>
    <n v="949"/>
    <x v="2"/>
    <n v="116"/>
    <x v="1"/>
    <n v="-33.640641000000002"/>
    <n v="150.813492"/>
  </r>
  <r>
    <s v="4615"/>
    <s v="Caddies Creek Public School"/>
    <s v="GLENWOOD"/>
    <s v="Blacktown"/>
    <s v="Sydney - Blacktown"/>
    <x v="0"/>
    <x v="0"/>
    <s v="Metropolitan North"/>
    <x v="0"/>
    <x v="0"/>
    <s v="Coed"/>
    <n v="868"/>
    <m/>
    <s v="Suppressed"/>
    <s v=""/>
    <n v="80"/>
    <n v="1120"/>
    <x v="0"/>
    <n v="15"/>
    <x v="3"/>
    <n v="-33.736255"/>
    <n v="150.92622700000001"/>
  </r>
  <r>
    <s v="4616"/>
    <s v="Buninyong Public School"/>
    <s v="Dubbo"/>
    <s v="Dubbo"/>
    <s v="Far West and Orana"/>
    <x v="1"/>
    <x v="1"/>
    <s v="Regional North and West"/>
    <x v="0"/>
    <x v="0"/>
    <s v="Coed"/>
    <n v="436"/>
    <n v="61"/>
    <s v="Published"/>
    <n v="265.95999999999998"/>
    <n v="5"/>
    <n v="787"/>
    <x v="1"/>
    <n v="167"/>
    <x v="0"/>
    <n v="-32.243188000000004"/>
    <n v="148.63938099999999"/>
  </r>
  <r>
    <s v="4617"/>
    <s v="Tacking Point Public School"/>
    <s v="Port Macquarie"/>
    <s v="Port Macquarie-Hastings"/>
    <s v="Mid North Coast"/>
    <x v="1"/>
    <x v="1"/>
    <s v="Regional North and West"/>
    <x v="0"/>
    <x v="0"/>
    <s v="Coed"/>
    <n v="594"/>
    <n v="8"/>
    <s v="Published"/>
    <n v="47.52"/>
    <n v="15"/>
    <n v="1054"/>
    <x v="3"/>
    <n v="60"/>
    <x v="0"/>
    <n v="-31.472138000000001"/>
    <n v="152.92641800000001"/>
  </r>
  <r>
    <s v="4618"/>
    <s v="North Nowra Public School"/>
    <s v="NORTH NOWRA"/>
    <s v="Shoalhaven"/>
    <s v="Southern Highlands and Shoalhaven"/>
    <x v="1"/>
    <x v="1"/>
    <s v="Regional South and Connected Communities"/>
    <x v="0"/>
    <x v="0"/>
    <s v="Coed"/>
    <n v="223"/>
    <n v="32"/>
    <s v="Published"/>
    <n v="71.36"/>
    <n v="6"/>
    <n v="908"/>
    <x v="2"/>
    <n v="137"/>
    <x v="1"/>
    <n v="-34.855556999999997"/>
    <n v="150.57715999999999"/>
  </r>
  <r>
    <s v="4619"/>
    <s v="Henry Fulton Public School"/>
    <s v="Cranebrook"/>
    <s v="Penrith"/>
    <s v="Sydney - Outer West and Blue Mountains"/>
    <x v="0"/>
    <x v="0"/>
    <s v="Metropolitan North"/>
    <x v="0"/>
    <x v="0"/>
    <s v="Coed"/>
    <n v="219"/>
    <n v="7"/>
    <s v="Published"/>
    <n v="15.330000000000002"/>
    <n v="14"/>
    <n v="998"/>
    <x v="2"/>
    <n v="100"/>
    <x v="1"/>
    <n v="-33.704729999999998"/>
    <n v="150.709665"/>
  </r>
  <r>
    <s v="4620"/>
    <s v="Glendore Public School"/>
    <s v="Maryland"/>
    <s v="Newcastle"/>
    <s v="Newcastle and Lake Macquarie"/>
    <x v="0"/>
    <x v="0"/>
    <s v="Regional North"/>
    <x v="0"/>
    <x v="0"/>
    <s v="Coed"/>
    <n v="609"/>
    <n v="9"/>
    <s v="Published"/>
    <n v="54.809999999999995"/>
    <n v="28"/>
    <n v="1019"/>
    <x v="3"/>
    <n v="80"/>
    <x v="3"/>
    <n v="-32.873640999999999"/>
    <n v="151.64971199999999"/>
  </r>
  <r>
    <s v="4621"/>
    <s v="Narellan Vale Public School"/>
    <s v="Narellan Vale"/>
    <s v="Camden"/>
    <s v="Sydney - Outer South West"/>
    <x v="0"/>
    <x v="0"/>
    <s v="Regional South and Connected Communities"/>
    <x v="0"/>
    <x v="0"/>
    <s v="Coed"/>
    <n v="619"/>
    <n v="7"/>
    <s v="Published"/>
    <n v="43.330000000000005"/>
    <n v="26"/>
    <n v="1006"/>
    <x v="3"/>
    <n v="96"/>
    <x v="3"/>
    <n v="-34.056128999999999"/>
    <n v="150.74471800000001"/>
  </r>
  <r>
    <s v="4622"/>
    <s v="Claremont Meadows Public School"/>
    <s v="Claremont Meadows"/>
    <s v="Penrith"/>
    <s v="Sydney - Outer West and Blue Mountains"/>
    <x v="0"/>
    <x v="0"/>
    <s v="Metropolitan North"/>
    <x v="0"/>
    <x v="0"/>
    <s v="Coed"/>
    <n v="687"/>
    <n v="8"/>
    <s v="Published"/>
    <n v="54.96"/>
    <n v="39"/>
    <n v="1012"/>
    <x v="3"/>
    <n v="85"/>
    <x v="3"/>
    <n v="-33.774177999999999"/>
    <n v="150.74701400000001"/>
  </r>
  <r>
    <s v="4623"/>
    <s v="Blue Haven Public School"/>
    <s v="Blue Haven"/>
    <s v="Central Coast (NSW)"/>
    <s v="Central Coast"/>
    <x v="0"/>
    <x v="0"/>
    <s v="Regional North"/>
    <x v="0"/>
    <x v="0"/>
    <s v="Coed"/>
    <n v="637"/>
    <n v="24"/>
    <s v="Published"/>
    <n v="152.88"/>
    <n v="7"/>
    <n v="927"/>
    <x v="2"/>
    <n v="130"/>
    <x v="3"/>
    <n v="-33.212499000000001"/>
    <n v="151.502826"/>
  </r>
  <r>
    <s v="4624"/>
    <s v="Greenway Park Public School"/>
    <s v="Carnes Hill"/>
    <s v="Liverpool"/>
    <s v="Sydney - South West"/>
    <x v="0"/>
    <x v="0"/>
    <s v="Metropolitan South and West"/>
    <x v="0"/>
    <x v="0"/>
    <s v="Coed"/>
    <n v="620"/>
    <n v="1"/>
    <s v="Published"/>
    <n v="6.2"/>
    <n v="76"/>
    <n v="1011"/>
    <x v="3"/>
    <n v="104"/>
    <x v="3"/>
    <n v="-33.938001"/>
    <n v="150.83755400000001"/>
  </r>
  <r>
    <s v="4625"/>
    <s v="Currans Hill Public School"/>
    <s v="Currans Hill"/>
    <s v="Camden"/>
    <s v="Sydney - Outer South West"/>
    <x v="0"/>
    <x v="0"/>
    <s v="Regional South and Connected Communities"/>
    <x v="0"/>
    <x v="0"/>
    <s v="Coed"/>
    <n v="545"/>
    <n v="12"/>
    <s v="Published"/>
    <n v="65.399999999999991"/>
    <n v="29"/>
    <n v="981"/>
    <x v="2"/>
    <n v="108"/>
    <x v="0"/>
    <n v="-34.047849999999997"/>
    <n v="150.76919699999999"/>
  </r>
  <r>
    <s v="4626"/>
    <s v="Callala Public School"/>
    <s v="Callala Bay"/>
    <s v="Shoalhaven"/>
    <s v="Southern Highlands and Shoalhaven"/>
    <x v="1"/>
    <x v="1"/>
    <s v="Regional South and Connected Communities"/>
    <x v="0"/>
    <x v="0"/>
    <s v="Coed"/>
    <n v="151"/>
    <n v="19"/>
    <s v="Published"/>
    <n v="28.69"/>
    <n v="8"/>
    <n v="971"/>
    <x v="2"/>
    <n v="95"/>
    <x v="1"/>
    <n v="-34.995950999999998"/>
    <n v="150.714405"/>
  </r>
  <r>
    <s v="4627"/>
    <s v="Newington Public School"/>
    <s v="Newington"/>
    <s v="Parramatta"/>
    <s v="Sydney - Parramatta"/>
    <x v="0"/>
    <x v="0"/>
    <s v="Metropolitan South"/>
    <x v="0"/>
    <x v="0"/>
    <s v="Coed"/>
    <n v="665"/>
    <n v="0"/>
    <s v="Published"/>
    <n v="0"/>
    <n v="84"/>
    <n v="1104"/>
    <x v="0"/>
    <n v="29"/>
    <x v="3"/>
    <n v="-33.841151000000004"/>
    <n v="151.055228"/>
  </r>
  <r>
    <s v="4628"/>
    <s v="Harrington Park Public School"/>
    <s v="HARRINGTON PARK"/>
    <s v="Camden"/>
    <s v="Sydney - Outer South West"/>
    <x v="0"/>
    <x v="0"/>
    <s v="Regional South and Connected Communities"/>
    <x v="0"/>
    <x v="0"/>
    <s v="Coed"/>
    <n v="731"/>
    <n v="6"/>
    <s v="Published"/>
    <n v="43.86"/>
    <n v="36"/>
    <n v="1035"/>
    <x v="3"/>
    <n v="81"/>
    <x v="3"/>
    <n v="-34.027144999999997"/>
    <n v="150.738527"/>
  </r>
  <r>
    <s v="4630"/>
    <s v="Beaumont Hills Public School"/>
    <s v="Beaumont Hills"/>
    <s v="The Hills"/>
    <s v="Sydney - Baulkham Hills and Hawkesbury"/>
    <x v="0"/>
    <x v="0"/>
    <s v="Metropolitan North"/>
    <x v="0"/>
    <x v="0"/>
    <s v="Coed"/>
    <n v="466"/>
    <m/>
    <s v="Suppressed"/>
    <s v=""/>
    <n v="55"/>
    <n v="1107"/>
    <x v="0"/>
    <n v="29"/>
    <x v="0"/>
    <n v="-33.697808999999999"/>
    <n v="150.94565900000001"/>
  </r>
  <r>
    <s v="4631"/>
    <s v="Surveyors Creek Public School"/>
    <s v="Glenmore Park"/>
    <s v="Penrith"/>
    <s v="Sydney - Outer West and Blue Mountains"/>
    <x v="0"/>
    <x v="0"/>
    <s v="Metropolitan South and West"/>
    <x v="0"/>
    <x v="0"/>
    <s v="Coed"/>
    <n v="424"/>
    <n v="8"/>
    <s v="Published"/>
    <n v="33.92"/>
    <n v="19"/>
    <n v="1007"/>
    <x v="3"/>
    <n v="90"/>
    <x v="0"/>
    <n v="-33.787277000000003"/>
    <n v="150.68917300000001"/>
  </r>
  <r>
    <s v="4632"/>
    <s v="Bogangar Public School"/>
    <s v="Bogangar"/>
    <s v="Tweed"/>
    <s v="Richmond - Tweed"/>
    <x v="0"/>
    <x v="0"/>
    <s v="Rural North"/>
    <x v="0"/>
    <x v="0"/>
    <s v="Coed"/>
    <n v="325"/>
    <n v="9"/>
    <s v="Published"/>
    <n v="29.25"/>
    <n v="11"/>
    <n v="1040"/>
    <x v="3"/>
    <n v="63"/>
    <x v="0"/>
    <n v="-28.338166000000001"/>
    <n v="153.57218900000001"/>
  </r>
  <r>
    <s v="4633"/>
    <s v="Jerrabomberra Public School"/>
    <s v="Jerrabomberra"/>
    <s v="Queanbeyan-Palerang"/>
    <s v="Capital Region"/>
    <x v="0"/>
    <x v="0"/>
    <s v="Rural South and West"/>
    <x v="0"/>
    <x v="0"/>
    <s v="Coed"/>
    <n v="865"/>
    <n v="4"/>
    <s v="Published"/>
    <n v="34.6"/>
    <n v="21"/>
    <n v="1107"/>
    <x v="0"/>
    <n v="40"/>
    <x v="3"/>
    <n v="-35.386090000000003"/>
    <n v="149.19846999999999"/>
  </r>
  <r>
    <s v="4634"/>
    <s v="Dalmeny Public School"/>
    <s v="Prestons"/>
    <s v="Liverpool"/>
    <s v="Sydney - South West"/>
    <x v="0"/>
    <x v="0"/>
    <s v="Metropolitan South and West"/>
    <x v="0"/>
    <x v="0"/>
    <s v="Coed"/>
    <n v="671"/>
    <n v="3"/>
    <s v="Published"/>
    <n v="20.13"/>
    <n v="74"/>
    <n v="1012"/>
    <x v="3"/>
    <n v="97"/>
    <x v="3"/>
    <n v="-33.947296999999999"/>
    <n v="150.87139300000001"/>
  </r>
  <r>
    <s v="4635"/>
    <s v="Cecil Hills Public School"/>
    <s v="Cecil Hills"/>
    <s v="Liverpool"/>
    <s v="Sydney - South West"/>
    <x v="0"/>
    <x v="0"/>
    <s v="Metropolitan South and West"/>
    <x v="0"/>
    <x v="0"/>
    <s v="Coed"/>
    <n v="721"/>
    <n v="1"/>
    <s v="Published"/>
    <n v="7.21"/>
    <n v="77"/>
    <n v="1017"/>
    <x v="3"/>
    <n v="98"/>
    <x v="3"/>
    <n v="-33.888596999999997"/>
    <n v="150.851731"/>
  </r>
  <r>
    <s v="4637"/>
    <s v="Woongarrah Public School"/>
    <s v="Woongarrah"/>
    <s v="Central Coast (NSW)"/>
    <s v="Central Coast"/>
    <x v="0"/>
    <x v="0"/>
    <s v="Regional North"/>
    <x v="0"/>
    <x v="0"/>
    <s v="Coed"/>
    <n v="385"/>
    <n v="12"/>
    <s v="Published"/>
    <n v="46.199999999999996"/>
    <n v="11"/>
    <n v="984"/>
    <x v="2"/>
    <n v="103"/>
    <x v="0"/>
    <n v="-33.242434000000003"/>
    <n v="151.48413300000001"/>
  </r>
  <r>
    <s v="4638"/>
    <s v="Ironbark Ridge Public School"/>
    <s v="Rouse Hill"/>
    <s v="The Hills"/>
    <s v="Sydney - Baulkham Hills and Hawkesbury"/>
    <x v="0"/>
    <x v="0"/>
    <s v="Metropolitan North"/>
    <x v="0"/>
    <x v="0"/>
    <s v="Coed"/>
    <n v="754"/>
    <n v="1"/>
    <s v="Published"/>
    <n v="7.54"/>
    <n v="78"/>
    <n v="1156"/>
    <x v="0"/>
    <n v="5"/>
    <x v="3"/>
    <n v="-33.687370999999999"/>
    <n v="150.93325899999999"/>
  </r>
  <r>
    <s v="4639"/>
    <s v="Kellyville Ridge Public School"/>
    <s v="Kellyville Ridge"/>
    <s v="Blacktown"/>
    <s v="Sydney - Blacktown"/>
    <x v="0"/>
    <x v="0"/>
    <s v="Metropolitan North"/>
    <x v="0"/>
    <x v="0"/>
    <s v="Coed"/>
    <n v="671"/>
    <n v="1"/>
    <s v="Published"/>
    <n v="6.71"/>
    <n v="71"/>
    <n v="1107"/>
    <x v="0"/>
    <n v="25"/>
    <x v="3"/>
    <n v="-33.705413"/>
    <n v="150.92400499999999"/>
  </r>
  <r>
    <s v="4640"/>
    <s v="Sherwood Ridge Public School"/>
    <s v="Kellyville"/>
    <s v="The Hills"/>
    <s v="Sydney - Baulkham Hills and Hawkesbury"/>
    <x v="0"/>
    <x v="0"/>
    <s v="Metropolitan North"/>
    <x v="0"/>
    <x v="0"/>
    <s v="Coed"/>
    <n v="584"/>
    <n v="0"/>
    <s v="Published"/>
    <n v="0"/>
    <n v="61"/>
    <n v="1114"/>
    <x v="0"/>
    <n v="30"/>
    <x v="0"/>
    <n v="-33.706671999999998"/>
    <n v="150.97558699999999"/>
  </r>
  <r>
    <s v="4641"/>
    <s v="Shell Cove Public School"/>
    <s v="Shell Cove"/>
    <s v="Shellharbour"/>
    <s v="Illawarra"/>
    <x v="0"/>
    <x v="0"/>
    <s v="Regional South and Connected Communities"/>
    <x v="0"/>
    <x v="0"/>
    <s v="Coed"/>
    <n v="463"/>
    <n v="7"/>
    <s v="Published"/>
    <n v="32.410000000000004"/>
    <n v="20"/>
    <n v="1049"/>
    <x v="3"/>
    <n v="67"/>
    <x v="0"/>
    <n v="-34.595621850000001"/>
    <n v="150.85416749999999"/>
  </r>
  <r>
    <s v="4642"/>
    <s v="Ashtonfield Public School"/>
    <s v="Ashtonfield"/>
    <s v="Maitland"/>
    <s v="Hunter Valley exc Newcastle"/>
    <x v="0"/>
    <x v="0"/>
    <s v="Regional North and West"/>
    <x v="0"/>
    <x v="0"/>
    <s v="Coed"/>
    <n v="514"/>
    <n v="13"/>
    <s v="Published"/>
    <n v="66.820000000000007"/>
    <n v="21"/>
    <n v="1008"/>
    <x v="3"/>
    <n v="88"/>
    <x v="0"/>
    <n v="-32.772441999999998"/>
    <n v="151.600798"/>
  </r>
  <r>
    <s v="4643"/>
    <s v="North East Public School of Distance Education"/>
    <s v="Port Macquarie"/>
    <s v="Port Macquarie-Hastings"/>
    <s v="Mid North Coast"/>
    <x v="1"/>
    <x v="1"/>
    <s v="Regional North and West"/>
    <x v="0"/>
    <x v="0"/>
    <s v="Coed"/>
    <n v="45"/>
    <n v="18"/>
    <s v="Published"/>
    <n v="8.1"/>
    <m/>
    <n v="979"/>
    <x v="2"/>
    <n v="97"/>
    <x v="2"/>
    <n v="-31.429895769129399"/>
    <n v="152.91306188457162"/>
  </r>
  <r>
    <s v="4644"/>
    <s v="Bourke-Walgett School of Distance Education"/>
    <s v="Bourke"/>
    <s v="Bourke"/>
    <s v="Far West and Orana"/>
    <x v="4"/>
    <x v="4"/>
    <s v="Rural North"/>
    <x v="0"/>
    <x v="0"/>
    <s v="Coed"/>
    <n v="47"/>
    <n v="13"/>
    <s v="Published"/>
    <n v="6.11"/>
    <m/>
    <n v="993"/>
    <x v="2"/>
    <n v="63"/>
    <x v="2"/>
    <n v="-30.093640000000001"/>
    <n v="145.94946400000001"/>
  </r>
  <r>
    <s v="4645"/>
    <s v="Ropes Crossing Public School"/>
    <s v="ROPES CROSSING"/>
    <s v="Blacktown"/>
    <s v="Sydney - Blacktown"/>
    <x v="0"/>
    <x v="0"/>
    <s v="Metropolitan North"/>
    <x v="0"/>
    <x v="0"/>
    <s v="Coed"/>
    <n v="789"/>
    <n v="7"/>
    <s v="Published"/>
    <n v="55.230000000000004"/>
    <n v="64"/>
    <n v="1019"/>
    <x v="3"/>
    <n v="79"/>
    <x v="3"/>
    <n v="-33.7334423"/>
    <n v="150.7830912"/>
  </r>
  <r>
    <s v="4646"/>
    <s v="Elderslie Public School"/>
    <s v="Elderslie"/>
    <s v="Camden"/>
    <s v="Sydney - Outer South West"/>
    <x v="0"/>
    <x v="0"/>
    <s v="Regional South and Connected Communities"/>
    <x v="0"/>
    <x v="0"/>
    <s v="Coed"/>
    <n v="539"/>
    <n v="8"/>
    <s v="Published"/>
    <n v="43.12"/>
    <n v="18"/>
    <n v="1011"/>
    <x v="3"/>
    <n v="98"/>
    <x v="0"/>
    <n v="-34.054473000000002"/>
    <n v="150.72177300000001"/>
  </r>
  <r>
    <s v="4647"/>
    <s v="Middleton Grange Public School"/>
    <s v="Middleton Grange"/>
    <s v="Liverpool"/>
    <s v="Sydney - South West"/>
    <x v="0"/>
    <x v="0"/>
    <s v="Metropolitan South and West"/>
    <x v="0"/>
    <x v="0"/>
    <s v="Coed"/>
    <n v="465"/>
    <n v="3"/>
    <s v="Published"/>
    <n v="13.95"/>
    <n v="70"/>
    <n v="1010"/>
    <x v="3"/>
    <n v="101"/>
    <x v="0"/>
    <n v="-33.917335000000001"/>
    <n v="150.84819899999999"/>
  </r>
  <r>
    <s v="4648"/>
    <s v="John Palmer Public School"/>
    <s v="The Ponds"/>
    <s v="Blacktown"/>
    <s v="Sydney - Blacktown"/>
    <x v="0"/>
    <x v="0"/>
    <s v="Metropolitan North"/>
    <x v="0"/>
    <x v="0"/>
    <s v="Coed"/>
    <n v="950"/>
    <n v="2"/>
    <s v="Published"/>
    <n v="19"/>
    <n v="68"/>
    <n v="1125"/>
    <x v="0"/>
    <n v="20"/>
    <x v="3"/>
    <n v="-33.707397"/>
    <n v="150.91152500000001"/>
  </r>
  <r>
    <s v="4649"/>
    <s v="Tullimbar Public School"/>
    <s v="Tullimbar Village"/>
    <s v="Shellharbour"/>
    <s v="Illawarra"/>
    <x v="0"/>
    <x v="0"/>
    <s v="Regional South and Connected Communities"/>
    <x v="0"/>
    <x v="0"/>
    <s v="Coed"/>
    <n v="483"/>
    <n v="7"/>
    <s v="Published"/>
    <n v="33.81"/>
    <n v="11"/>
    <n v="1005"/>
    <x v="3"/>
    <n v="86"/>
    <x v="0"/>
    <n v="-34.578570769999999"/>
    <n v="150.75525279999999"/>
  </r>
  <r>
    <s v="4650"/>
    <s v="Wilton Public School"/>
    <s v="WILTON"/>
    <s v="Wollondilly"/>
    <s v="Sydney - Outer South West"/>
    <x v="1"/>
    <x v="1"/>
    <s v="Regional South and Connected Communities"/>
    <x v="0"/>
    <x v="0"/>
    <s v="Coed"/>
    <n v="666"/>
    <n v="6"/>
    <s v="Published"/>
    <n v="39.96"/>
    <n v="11"/>
    <n v="1018"/>
    <x v="3"/>
    <n v="87"/>
    <x v="3"/>
    <n v="-34.228678000000002"/>
    <n v="150.684833"/>
  </r>
  <r>
    <s v="4651"/>
    <s v="Oran Park Public School"/>
    <s v="Oran Park"/>
    <s v="Camden"/>
    <s v="Sydney - South West"/>
    <x v="0"/>
    <x v="0"/>
    <s v="Regional South and Connected Communities"/>
    <x v="0"/>
    <x v="0"/>
    <s v="Coed"/>
    <n v="1407"/>
    <n v="4"/>
    <s v="Published"/>
    <n v="56.28"/>
    <n v="63"/>
    <n v="1027"/>
    <x v="3"/>
    <n v="78"/>
    <x v="4"/>
    <n v="-33.997280000000003"/>
    <n v="150.73484999999999"/>
  </r>
  <r>
    <s v="4652"/>
    <s v="Marie Bashir Public School"/>
    <s v="STRATHFIELD"/>
    <s v="Strathfield"/>
    <s v="Sydney - Inner West"/>
    <x v="0"/>
    <x v="0"/>
    <s v="Metropolitan South"/>
    <x v="0"/>
    <x v="0"/>
    <s v="Coed"/>
    <n v="424"/>
    <m/>
    <s v="Suppressed"/>
    <s v=""/>
    <n v="85"/>
    <n v="1104"/>
    <x v="0"/>
    <n v="35"/>
    <x v="0"/>
    <n v="-33.875168000000002"/>
    <n v="151.07942399999999"/>
  </r>
  <r>
    <s v="4653"/>
    <s v="Riverbank Public School"/>
    <s v="THE PONDS"/>
    <s v="Blacktown"/>
    <s v="Sydney - Blacktown"/>
    <x v="0"/>
    <x v="0"/>
    <s v="Metropolitan North"/>
    <x v="0"/>
    <x v="0"/>
    <s v="Coed"/>
    <n v="2030"/>
    <n v="0"/>
    <s v="Published"/>
    <n v="0"/>
    <n v="90"/>
    <n v="1141"/>
    <x v="0"/>
    <n v="2"/>
    <x v="4"/>
    <n v="-33.703958999999998"/>
    <n v="150.89952500000001"/>
  </r>
  <r>
    <s v="4654"/>
    <s v="Lake Cathie Public School"/>
    <s v="LAKE CATHIE"/>
    <s v="Port Macquarie-Hastings"/>
    <s v="Mid North Coast"/>
    <x v="1"/>
    <x v="1"/>
    <s v="Regional North and West"/>
    <x v="0"/>
    <x v="0"/>
    <s v="Coed"/>
    <n v="395"/>
    <n v="14"/>
    <s v="Published"/>
    <n v="55.300000000000004"/>
    <n v="6"/>
    <n v="1007"/>
    <x v="3"/>
    <n v="78"/>
    <x v="0"/>
    <n v="-31.568200000000001"/>
    <n v="152.8278"/>
  </r>
  <r>
    <s v="4655"/>
    <s v="Victoria Avenue Public School"/>
    <s v="CONCORD WEST"/>
    <s v="Canada Bay"/>
    <s v="Sydney - Inner West"/>
    <x v="0"/>
    <x v="0"/>
    <s v="Metropolitan South"/>
    <x v="0"/>
    <x v="0"/>
    <s v="Coed"/>
    <n v="340"/>
    <m/>
    <s v="Suppressed"/>
    <s v=""/>
    <n v="82"/>
    <n v="1071"/>
    <x v="3"/>
    <n v="36"/>
    <x v="0"/>
    <n v="-33.847748000000003"/>
    <n v="151.08337900000001"/>
  </r>
  <r>
    <s v="4656"/>
    <s v="Anzac Park Public School"/>
    <s v="CAMMERAY"/>
    <s v="North Sydney"/>
    <s v="Sydney - North Sydney and Hornsby"/>
    <x v="0"/>
    <x v="0"/>
    <s v="Metropolitan North"/>
    <x v="0"/>
    <x v="0"/>
    <s v="Coed"/>
    <n v="720"/>
    <m/>
    <s v="Suppressed"/>
    <s v=""/>
    <n v="51"/>
    <n v="1147"/>
    <x v="0"/>
    <n v="7"/>
    <x v="3"/>
    <n v="-33.826566"/>
    <n v="151.21073100000001"/>
  </r>
  <r>
    <s v="4657"/>
    <s v="Spring Farm Public School"/>
    <s v="Spring Farm"/>
    <s v="Camden"/>
    <s v="Sydney - Outer South West"/>
    <x v="0"/>
    <x v="0"/>
    <s v="Regional South and Connected Communities"/>
    <x v="0"/>
    <x v="0"/>
    <s v="Coed"/>
    <n v="866"/>
    <n v="9"/>
    <s v="Published"/>
    <n v="77.94"/>
    <n v="28"/>
    <n v="1009"/>
    <x v="3"/>
    <n v="91"/>
    <x v="3"/>
    <n v="-34.069637999999998"/>
    <n v="150.714957"/>
  </r>
  <r>
    <s v="4658"/>
    <s v="Lindfield College"/>
    <s v="LINDFIELD"/>
    <s v="Ku-ring-gai"/>
    <s v="Sydney - North Sydney and Hornsby"/>
    <x v="0"/>
    <x v="0"/>
    <s v="Metropolitan North"/>
    <x v="1"/>
    <x v="0"/>
    <s v="Coed"/>
    <n v="801.5"/>
    <n v="1"/>
    <s v="Published"/>
    <n v="8.0150000000000006"/>
    <n v="45"/>
    <n v="1152"/>
    <x v="0"/>
    <n v="5"/>
    <x v="3"/>
    <n v="-33.790061999999999"/>
    <n v="151.16050899999999"/>
  </r>
  <r>
    <s v="4659"/>
    <s v="Southern Cross School of Distance Education"/>
    <s v="East Ballina"/>
    <s v="Ballina"/>
    <s v="Richmond - Tweed"/>
    <x v="1"/>
    <x v="1"/>
    <s v="Rural North"/>
    <x v="4"/>
    <x v="0"/>
    <s v="Coed"/>
    <n v="77.2"/>
    <n v="33"/>
    <s v="Published"/>
    <n v="25.476000000000003"/>
    <n v="11"/>
    <n v="896"/>
    <x v="1"/>
    <n v="156"/>
    <x v="2"/>
    <n v="-28.849756419999999"/>
    <n v="153.5858174"/>
  </r>
  <r>
    <s v="4660"/>
    <s v="Bayanami Public School"/>
    <s v="PARRAMATTA"/>
    <s v="Parramatta"/>
    <s v="Sydney - Parramatta"/>
    <x v="0"/>
    <x v="0"/>
    <s v="Metropolitan South"/>
    <x v="0"/>
    <x v="0"/>
    <s v="Coed"/>
    <n v="663"/>
    <n v="1"/>
    <s v="Published"/>
    <n v="6.63"/>
    <n v="92"/>
    <n v="1108"/>
    <x v="0"/>
    <n v="22"/>
    <x v="3"/>
    <n v="-33.809930000000001"/>
    <n v="151.00126399999999"/>
  </r>
  <r>
    <s v="4661"/>
    <s v="Finigan School of Distance Education"/>
    <s v="Queanbeyan"/>
    <s v="Queanbeyan-Palerang"/>
    <s v="Capital Region"/>
    <x v="0"/>
    <x v="0"/>
    <s v="Rural South and West"/>
    <x v="1"/>
    <x v="0"/>
    <s v="Coed"/>
    <n v="82.9"/>
    <n v="10"/>
    <s v="Published"/>
    <n v="8.2900000000000009"/>
    <n v="19"/>
    <n v="1067"/>
    <x v="3"/>
    <n v="66"/>
    <x v="2"/>
    <n v="-35.354008999999998"/>
    <n v="149.22151199999999"/>
  </r>
  <r>
    <s v="4662"/>
    <s v="Wentworth Point Public School"/>
    <s v="WENTWORTH POINT"/>
    <s v="Parramatta"/>
    <s v="Sydney - Parramatta"/>
    <x v="0"/>
    <x v="0"/>
    <s v="Metropolitan South"/>
    <x v="0"/>
    <x v="0"/>
    <s v="Coed"/>
    <n v="672"/>
    <m/>
    <s v="Suppressed"/>
    <s v=""/>
    <n v="89"/>
    <n v="1045"/>
    <x v="3"/>
    <n v="82"/>
    <x v="3"/>
    <n v="-33.823709000000001"/>
    <n v="151.08011300000001"/>
  </r>
  <r>
    <s v="4663"/>
    <s v="Bella Vista Public School"/>
    <s v="BELLA VISTA"/>
    <s v="The Hills"/>
    <s v="Sydney - Baulkham Hills and Hawkesbury"/>
    <x v="0"/>
    <x v="0"/>
    <s v="Metropolitan North"/>
    <x v="0"/>
    <x v="0"/>
    <s v="Coed"/>
    <n v="1104"/>
    <m/>
    <s v="Suppressed"/>
    <s v=""/>
    <n v="77"/>
    <n v="1147"/>
    <x v="0"/>
    <n v="4"/>
    <x v="4"/>
    <n v="-33.726556000000002"/>
    <n v="150.95499100000001"/>
  </r>
  <r>
    <s v="4664"/>
    <s v="North Kellyville Public School"/>
    <s v="NORTH KELLYVILLE"/>
    <s v="The Hills"/>
    <s v="Sydney - Baulkham Hills and Hawkesbury"/>
    <x v="0"/>
    <x v="0"/>
    <s v="Metropolitan North"/>
    <x v="0"/>
    <x v="0"/>
    <s v="Coed"/>
    <n v="1068"/>
    <m/>
    <s v="Suppressed"/>
    <s v=""/>
    <n v="69"/>
    <n v="1112"/>
    <x v="0"/>
    <n v="22"/>
    <x v="4"/>
    <n v="-33.691336999999997"/>
    <n v="150.95505900000001"/>
  </r>
  <r>
    <s v="4667"/>
    <s v="Gledswood Hills Public School"/>
    <s v="GLEDSWOOD HILLS"/>
    <s v="Camden"/>
    <s v="Sydney - South West"/>
    <x v="0"/>
    <x v="0"/>
    <s v="Regional South and Connected Communities"/>
    <x v="0"/>
    <x v="0"/>
    <s v="Coed"/>
    <n v="976"/>
    <n v="3"/>
    <s v="Published"/>
    <n v="29.279999999999998"/>
    <n v="51"/>
    <n v="1038"/>
    <x v="3"/>
    <n v="73"/>
    <x v="3"/>
    <n v="-34.012230000000002"/>
    <n v="150.776555"/>
  </r>
  <r>
    <s v="4668"/>
    <s v="Smalls Road Public School"/>
    <s v="RYDE"/>
    <s v="Ryde"/>
    <s v="Sydney - Ryde"/>
    <x v="0"/>
    <x v="0"/>
    <s v="Metropolitan North"/>
    <x v="0"/>
    <x v="0"/>
    <s v="Coed"/>
    <n v="494"/>
    <n v="2"/>
    <s v="Published"/>
    <n v="9.8800000000000008"/>
    <n v="63"/>
    <n v="1114"/>
    <x v="0"/>
    <n v="26"/>
    <x v="0"/>
    <n v="-33.799393000000002"/>
    <n v="151.109465"/>
  </r>
  <r>
    <s v="4669"/>
    <s v="Jordan Springs Public School"/>
    <s v="JORDAN SPRINGS"/>
    <s v="Penrith"/>
    <s v="Sydney - Outer West and Blue Mountains"/>
    <x v="0"/>
    <x v="0"/>
    <s v="Metropolitan North"/>
    <x v="0"/>
    <x v="0"/>
    <s v="Coed"/>
    <n v="1119"/>
    <n v="9"/>
    <s v="Published"/>
    <n v="100.71"/>
    <n v="46"/>
    <n v="1017"/>
    <x v="3"/>
    <n v="74"/>
    <x v="4"/>
    <n v="-33.724924000000001"/>
    <n v="150.725931"/>
  </r>
  <r>
    <s v="4670"/>
    <s v="Galungara Public School"/>
    <s v="SCHOFIELDS"/>
    <s v="Blacktown"/>
    <s v="Sydney - Blacktown"/>
    <x v="0"/>
    <x v="0"/>
    <s v="Metropolitan North"/>
    <x v="0"/>
    <x v="0"/>
    <s v="Coed"/>
    <n v="882"/>
    <n v="2"/>
    <s v="Published"/>
    <n v="17.64"/>
    <n v="85"/>
    <n v="1106"/>
    <x v="0"/>
    <n v="18"/>
    <x v="3"/>
    <n v="-33.700355000000002"/>
    <n v="150.880515"/>
  </r>
  <r>
    <s v="4671"/>
    <s v="Barramurra Public School"/>
    <s v="Oran Park"/>
    <s v="Camden"/>
    <s v="Sydney - South West"/>
    <x v="0"/>
    <x v="0"/>
    <s v="Regional South and Connected Communities"/>
    <x v="0"/>
    <x v="0"/>
    <s v="Coed"/>
    <n v="1182"/>
    <n v="4"/>
    <s v="Published"/>
    <n v="47.28"/>
    <n v="61"/>
    <n v="1044"/>
    <x v="3"/>
    <n v="66"/>
    <x v="4"/>
    <n v="-34.006959000000002"/>
    <n v="150.74903800000001"/>
  </r>
  <r>
    <s v="4672"/>
    <s v="Denham Court Public School"/>
    <s v="Denham Court"/>
    <s v="Campbelltown (NSW)"/>
    <s v="Sydney - Outer South West"/>
    <x v="0"/>
    <x v="0"/>
    <s v="Metropolitan South and West"/>
    <x v="0"/>
    <x v="0"/>
    <s v="Coed"/>
    <n v="826"/>
    <n v="2"/>
    <s v="Published"/>
    <n v="16.52"/>
    <n v="88"/>
    <n v="1068"/>
    <x v="3"/>
    <n v="49"/>
    <x v="3"/>
    <n v="-33.982500000000002"/>
    <n v="150.81540000000001"/>
  </r>
  <r>
    <s v="4673"/>
    <s v="Northbourne Public School"/>
    <s v="Marsden Park"/>
    <s v="Blacktown"/>
    <s v="Sydney - Blacktown"/>
    <x v="0"/>
    <x v="0"/>
    <s v="Metropolitan North"/>
    <x v="0"/>
    <x v="0"/>
    <s v="Coed"/>
    <n v="1711"/>
    <n v="1"/>
    <s v="Published"/>
    <n v="17.11"/>
    <n v="85"/>
    <n v="1095"/>
    <x v="3"/>
    <n v="25"/>
    <x v="4"/>
    <n v="-33.689086600000003"/>
    <n v="150.8186977"/>
  </r>
  <r>
    <s v="4674"/>
    <s v="Estella Public School"/>
    <s v="Wagga Wagga"/>
    <s v="Wagga Wagga"/>
    <s v="Riverina"/>
    <x v="1"/>
    <x v="1"/>
    <s v="Rural South and West"/>
    <x v="0"/>
    <x v="0"/>
    <s v="Coed"/>
    <n v="402"/>
    <n v="10"/>
    <s v="Published"/>
    <n v="40.200000000000003"/>
    <n v="29"/>
    <n v="1019"/>
    <x v="3"/>
    <n v="74"/>
    <x v="0"/>
    <n v="-35.067399999999999"/>
    <n v="147.35300000000001"/>
  </r>
  <r>
    <s v="4675"/>
    <s v="Porters Creek Public School"/>
    <s v="Warnervale"/>
    <s v="Central Coast (NSW)"/>
    <s v="Central Coast"/>
    <x v="0"/>
    <x v="0"/>
    <s v="Regional North"/>
    <x v="0"/>
    <x v="0"/>
    <s v="Coed"/>
    <n v="317"/>
    <n v="15"/>
    <s v="Published"/>
    <n v="47.55"/>
    <n v="21"/>
    <n v="988"/>
    <x v="2"/>
    <n v="92"/>
    <x v="0"/>
    <n v="-33.249772999999998"/>
    <n v="151.455534"/>
  </r>
  <r>
    <s v="4677"/>
    <s v="Nangamay Public School"/>
    <s v="GLENMORE PARK"/>
    <s v="Penrith"/>
    <s v="Sydney - Outer West and Blue Mountains"/>
    <x v="0"/>
    <x v="0"/>
    <s v="Metropolitan South and West"/>
    <x v="0"/>
    <x v="0"/>
    <s v="Coed"/>
    <n v="413"/>
    <n v="4"/>
    <s v="Published"/>
    <n v="16.52"/>
    <n v="35"/>
    <n v="1050"/>
    <x v="3"/>
    <n v="67"/>
    <x v="0"/>
    <n v="-33.803002999999997"/>
    <n v="150.68161900000001"/>
  </r>
  <r>
    <s v="4678"/>
    <s v="Ngarala Public School"/>
    <s v="EPPING"/>
    <s v="Parramatta"/>
    <s v="Sydney - Ryde"/>
    <x v="0"/>
    <x v="0"/>
    <s v="Metropolitan North"/>
    <x v="0"/>
    <x v="0"/>
    <s v="Coed"/>
    <n v="380"/>
    <m/>
    <s v="Suppressed"/>
    <s v=""/>
    <n v="88"/>
    <n v="1118"/>
    <x v="0"/>
    <n v="22"/>
    <x v="0"/>
    <n v="-33.781059999999997"/>
    <n v="151.06919199999999"/>
  </r>
  <r>
    <s v="4679"/>
    <s v="Edmondson Park Public School"/>
    <s v="Edmondson Park"/>
    <s v="Liverpool"/>
    <s v="Sydney - South West"/>
    <x v="0"/>
    <x v="0"/>
    <s v="Metropolitan South and West"/>
    <x v="0"/>
    <x v="0"/>
    <s v="Coed"/>
    <n v="897"/>
    <n v="1"/>
    <s v="Published"/>
    <n v="8.9700000000000006"/>
    <n v="81"/>
    <n v="1077"/>
    <x v="3"/>
    <n v="48"/>
    <x v="3"/>
    <n v="-33.965316000000001"/>
    <n v="150.852675"/>
  </r>
  <r>
    <s v="4680"/>
    <s v="Googong Public School"/>
    <s v="Googong"/>
    <s v="Queanbeyan-Palerang"/>
    <s v="Capital Region"/>
    <x v="0"/>
    <x v="0"/>
    <s v="Rural South and West"/>
    <x v="0"/>
    <x v="0"/>
    <s v="Coed"/>
    <n v="782"/>
    <n v="3"/>
    <s v="Published"/>
    <n v="23.46"/>
    <n v="31"/>
    <n v="1078"/>
    <x v="3"/>
    <n v="49"/>
    <x v="3"/>
    <n v="-35.423014000000002"/>
    <n v="149.23821899999999"/>
  </r>
  <r>
    <s v="4681"/>
    <s v="Green Square Public School"/>
    <s v="Zetlands"/>
    <s v="Sydney"/>
    <s v="Sydney - City and Inner South"/>
    <x v="0"/>
    <x v="0"/>
    <s v="Metropolitan South"/>
    <x v="0"/>
    <x v="0"/>
    <s v="Coed"/>
    <n v="107"/>
    <m/>
    <s v="Suppressed"/>
    <s v=""/>
    <n v="75"/>
    <n v="1122"/>
    <x v="0"/>
    <n v="0"/>
    <x v="1"/>
    <n v="-33.908383000000001"/>
    <n v="151.20668000000001"/>
  </r>
  <r>
    <s v="4682"/>
    <s v="Gregory Hills Public School"/>
    <s v="Gregory Hills"/>
    <s v="Camden"/>
    <s v="Sydney - South West"/>
    <x v="0"/>
    <x v="0"/>
    <s v="Regional South and Connected Communities"/>
    <x v="0"/>
    <x v="0"/>
    <s v="Coed"/>
    <n v="647"/>
    <n v="4"/>
    <s v="Published"/>
    <n v="25.88"/>
    <n v="67"/>
    <n v="1028"/>
    <x v="3"/>
    <n v="74"/>
    <x v="3"/>
    <n v="-34.024999999999999"/>
    <n v="150.78"/>
  </r>
  <r>
    <s v="4683"/>
    <s v="Murrumbateman Public School"/>
    <s v="Murrumbateman"/>
    <s v="Yass Valley"/>
    <s v="Capital Region"/>
    <x v="1"/>
    <x v="1"/>
    <s v="Regional South and Connected Communities"/>
    <x v="0"/>
    <x v="0"/>
    <s v="Coed"/>
    <n v="171"/>
    <n v="5"/>
    <s v="Published"/>
    <n v="8.5500000000000007"/>
    <n v="12"/>
    <n v="1056"/>
    <x v="3"/>
    <n v="54"/>
    <x v="1"/>
    <n v="-34.966475099999997"/>
    <n v="149.03028800000001"/>
  </r>
  <r>
    <s v="4686"/>
    <s v="Tallawong Public School"/>
    <s v="Rouse Hill"/>
    <s v="Blacktown"/>
    <s v="Sydney - Blacktown"/>
    <x v="0"/>
    <x v="0"/>
    <s v="Metropolitan North"/>
    <x v="0"/>
    <x v="0"/>
    <s v="Coed"/>
    <n v="121"/>
    <m/>
    <s v="Suppressed"/>
    <s v=""/>
    <n v="76"/>
    <n v="1083"/>
    <x v="3"/>
    <n v="35"/>
    <x v="1"/>
    <n v="-33.686799999999998"/>
    <n v="150.8991"/>
  </r>
  <r>
    <s v="4687"/>
    <s v="Gulyangarri Public School"/>
    <s v="Liverpool"/>
    <s v="Liverpool"/>
    <s v="Sydney - South West"/>
    <x v="0"/>
    <x v="0"/>
    <s v="Metropolitan South and West"/>
    <x v="0"/>
    <x v="0"/>
    <s v="Coed"/>
    <n v="267"/>
    <m/>
    <s v="Suppressed"/>
    <s v=""/>
    <n v="86"/>
    <n v="959"/>
    <x v="2"/>
    <n v="118"/>
    <x v="1"/>
    <n v="-33.917847999999999"/>
    <n v="150.932241"/>
  </r>
  <r>
    <s v="4689"/>
    <s v="Melonba Public School"/>
    <s v="MELONBA"/>
    <s v="Blacktown"/>
    <s v="Sydney - Blacktown"/>
    <x v="0"/>
    <x v="0"/>
    <s v="Metropolitan North"/>
    <x v="0"/>
    <x v="0"/>
    <s v="Coed"/>
    <n v="776"/>
    <m/>
    <s v="Suppressed"/>
    <s v=""/>
    <n v="92"/>
    <n v="1098"/>
    <x v="3"/>
    <n v="18"/>
    <x v="3"/>
    <n v="-33.699759"/>
    <n v="150.803617"/>
  </r>
  <r>
    <s v="4690"/>
    <s v="Jindabyne Public School"/>
    <s v="Jindabyne"/>
    <s v="Snowy Monaro"/>
    <s v="Capital Region"/>
    <x v="2"/>
    <x v="2"/>
    <s v="Rural South and West"/>
    <x v="0"/>
    <x v="0"/>
    <s v="Coed"/>
    <n v="283"/>
    <n v="6"/>
    <s v="Published"/>
    <n v="16.98"/>
    <n v="8"/>
    <n v="1032"/>
    <x v="3"/>
    <n v="71"/>
    <x v="1"/>
    <n v="-36.430199999999999"/>
    <n v="148.61089999999999"/>
  </r>
  <r>
    <s v="4691"/>
    <s v="Nirimba Fields Public School"/>
    <s v="Nirimba Fields"/>
    <s v="Blacktown"/>
    <s v="Sydney - Blacktown"/>
    <x v="0"/>
    <x v="0"/>
    <s v="Metropolitan North"/>
    <x v="0"/>
    <x v="0"/>
    <s v="Coed"/>
    <n v="210"/>
    <m/>
    <s v="Suppressed"/>
    <s v=""/>
    <n v="94"/>
    <n v="1126"/>
    <x v="0"/>
    <n v="1"/>
    <x v="1"/>
    <n v="-33.714599999999997"/>
    <n v="150.87280000000001"/>
  </r>
  <r>
    <s v="4694"/>
    <s v="Box Hill Public School"/>
    <s v="Box Hill"/>
    <s v="The Hills"/>
    <s v="Sydney - Baulkham Hills and Hawkesbury"/>
    <x v="0"/>
    <x v="0"/>
    <s v="Metropolitan North"/>
    <x v="0"/>
    <x v="0"/>
    <s v="Coed"/>
    <n v="271"/>
    <m/>
    <s v="Suppressed"/>
    <s v=""/>
    <n v="91"/>
    <n v="1123"/>
    <x v="0"/>
    <n v="2"/>
    <x v="1"/>
    <n v="-33.642270000000003"/>
    <n v="150.892123"/>
  </r>
  <r>
    <s v="5103"/>
    <s v="Arncliffe West Infants School"/>
    <s v="Arncliffe"/>
    <s v="Bayside (NSW)"/>
    <s v="Sydney - Inner South West"/>
    <x v="0"/>
    <x v="0"/>
    <s v="Metropolitan South"/>
    <x v="3"/>
    <x v="0"/>
    <s v="Coed"/>
    <n v="86"/>
    <n v="0"/>
    <s v="Published"/>
    <n v="0"/>
    <n v="92"/>
    <n v="1058"/>
    <x v="3"/>
    <n v="48"/>
    <x v="2"/>
    <n v="-33.931832"/>
    <n v="151.14516"/>
  </r>
  <r>
    <s v="5104"/>
    <s v="Australia Street Infants School"/>
    <s v="Newtown"/>
    <s v="Inner West"/>
    <s v="Sydney - City and Inner South"/>
    <x v="0"/>
    <x v="0"/>
    <s v="Metropolitan South"/>
    <x v="3"/>
    <x v="0"/>
    <s v="Coed"/>
    <n v="104"/>
    <n v="0"/>
    <s v="Published"/>
    <n v="0"/>
    <n v="30"/>
    <n v="1143"/>
    <x v="0"/>
    <n v="2"/>
    <x v="1"/>
    <n v="-33.895783000000002"/>
    <n v="151.17760699999999"/>
  </r>
  <r>
    <s v="5109"/>
    <s v="Canterbury South Public School"/>
    <s v="Canterbury"/>
    <s v="Canterbury-Bankstown"/>
    <s v="Sydney - Inner South West"/>
    <x v="0"/>
    <x v="0"/>
    <s v="Metropolitan South"/>
    <x v="0"/>
    <x v="0"/>
    <s v="Coed"/>
    <n v="269"/>
    <n v="3"/>
    <s v="Published"/>
    <n v="8.07"/>
    <n v="61"/>
    <n v="1038"/>
    <x v="3"/>
    <n v="75"/>
    <x v="1"/>
    <n v="-33.917776000000003"/>
    <n v="151.11601300000001"/>
  </r>
  <r>
    <s v="5112"/>
    <s v="Taverners Hill Infants School"/>
    <s v="Petersham"/>
    <s v="Inner West"/>
    <s v="Sydney - City and Inner South"/>
    <x v="0"/>
    <x v="0"/>
    <s v="Metropolitan South"/>
    <x v="3"/>
    <x v="0"/>
    <s v="Coed"/>
    <n v="20"/>
    <m/>
    <s v="Suppressed"/>
    <s v=""/>
    <n v="29"/>
    <n v="1129"/>
    <x v="0"/>
    <n v="15"/>
    <x v="2"/>
    <n v="-33.888955000000003"/>
    <n v="151.15719899999999"/>
  </r>
  <r>
    <s v="5114"/>
    <s v="Ferncourt Public School"/>
    <s v="Marrickville"/>
    <s v="Inner West"/>
    <s v="Sydney - City and Inner South"/>
    <x v="0"/>
    <x v="0"/>
    <s v="Metropolitan South"/>
    <x v="0"/>
    <x v="0"/>
    <s v="Coed"/>
    <n v="285"/>
    <n v="2"/>
    <s v="Published"/>
    <n v="5.7"/>
    <n v="36"/>
    <n v="1125"/>
    <x v="0"/>
    <n v="18"/>
    <x v="1"/>
    <n v="-33.921393000000002"/>
    <n v="151.15149700000001"/>
  </r>
  <r>
    <s v="5116"/>
    <s v="Glen Innes West Infants School"/>
    <s v="Glen Innes"/>
    <s v="Glen Innes Severn"/>
    <s v="New England and North West"/>
    <x v="1"/>
    <x v="1"/>
    <s v="Rural North"/>
    <x v="3"/>
    <x v="0"/>
    <s v="Coed"/>
    <n v="19"/>
    <n v="32"/>
    <s v="Published"/>
    <n v="6.08"/>
    <m/>
    <n v="898"/>
    <x v="1"/>
    <n v="153"/>
    <x v="2"/>
    <n v="-29.738734000000001"/>
    <n v="151.723882"/>
  </r>
  <r>
    <s v="5118"/>
    <s v="Harcourt Public School"/>
    <s v="Campsie"/>
    <s v="Canterbury-Bankstown"/>
    <s v="Sydney - Inner South West"/>
    <x v="0"/>
    <x v="0"/>
    <s v="Metropolitan South"/>
    <x v="0"/>
    <x v="0"/>
    <s v="Coed"/>
    <n v="373"/>
    <m/>
    <s v="Suppressed"/>
    <s v=""/>
    <n v="87"/>
    <n v="1033"/>
    <x v="3"/>
    <n v="73"/>
    <x v="0"/>
    <n v="-33.908969999999997"/>
    <n v="151.09580299999999"/>
  </r>
  <r>
    <s v="5120"/>
    <s v="Yeo Park Infants School"/>
    <s v="Ashfield"/>
    <s v="Inner West"/>
    <s v="Sydney - Inner West"/>
    <x v="0"/>
    <x v="0"/>
    <s v="Metropolitan South"/>
    <x v="3"/>
    <x v="0"/>
    <s v="Coed"/>
    <n v="48"/>
    <m/>
    <s v="Suppressed"/>
    <s v=""/>
    <n v="52"/>
    <n v="1144"/>
    <x v="0"/>
    <n v="0"/>
    <x v="2"/>
    <n v="-33.902692000000002"/>
    <n v="151.130055"/>
  </r>
  <r>
    <s v="5126"/>
    <s v="Merrylands East Public School"/>
    <s v="Merrylands"/>
    <s v="Cumberland"/>
    <s v="Sydney - Parramatta"/>
    <x v="0"/>
    <x v="0"/>
    <s v="Metropolitan South"/>
    <x v="0"/>
    <x v="0"/>
    <s v="Coed"/>
    <n v="347"/>
    <m/>
    <s v="Suppressed"/>
    <s v=""/>
    <n v="92"/>
    <n v="955"/>
    <x v="2"/>
    <n v="137"/>
    <x v="0"/>
    <n v="-33.841954000000001"/>
    <n v="150.98929000000001"/>
  </r>
  <r>
    <s v="5128"/>
    <s v="Nillo Infants School"/>
    <s v="LORN"/>
    <s v="Maitland"/>
    <s v="Hunter Valley exc Newcastle"/>
    <x v="0"/>
    <x v="0"/>
    <s v="Regional North and West"/>
    <x v="3"/>
    <x v="0"/>
    <s v="Coed"/>
    <n v="52"/>
    <m/>
    <s v="Suppressed"/>
    <s v=""/>
    <m/>
    <n v="1076"/>
    <x v="3"/>
    <n v="48"/>
    <x v="2"/>
    <n v="-32.727541000000002"/>
    <n v="151.55961099999999"/>
  </r>
  <r>
    <s v="5132"/>
    <s v="Russell Lea Public School"/>
    <s v="Russell Lea"/>
    <s v="Canada Bay"/>
    <s v="Sydney - Inner West"/>
    <x v="0"/>
    <x v="0"/>
    <s v="Metropolitan South"/>
    <x v="0"/>
    <x v="0"/>
    <s v="Coed"/>
    <n v="428"/>
    <m/>
    <s v="Suppressed"/>
    <s v=""/>
    <n v="39"/>
    <n v="1140"/>
    <x v="0"/>
    <n v="17"/>
    <x v="0"/>
    <n v="-33.861418"/>
    <n v="151.142572"/>
  </r>
  <r>
    <s v="5133"/>
    <s v="Stanford Merthyr Infants School"/>
    <s v="Stanford Merthyr"/>
    <s v="Cessnock"/>
    <s v="Hunter Valley exc Newcastle"/>
    <x v="0"/>
    <x v="0"/>
    <s v="Regional North"/>
    <x v="3"/>
    <x v="0"/>
    <s v="Coed"/>
    <n v="54"/>
    <n v="20"/>
    <s v="Published"/>
    <n v="10.8"/>
    <m/>
    <n v="950"/>
    <x v="2"/>
    <n v="122"/>
    <x v="2"/>
    <n v="-32.823422999999998"/>
    <n v="151.49543800000001"/>
  </r>
  <r>
    <s v="5141"/>
    <s v="Kyeemagh Public School"/>
    <s v="KYEEMAGH"/>
    <s v="Bayside (NSW)"/>
    <s v="Sydney - Inner South West"/>
    <x v="0"/>
    <x v="0"/>
    <s v="Metropolitan South"/>
    <x v="0"/>
    <x v="0"/>
    <s v="Coed"/>
    <n v="204"/>
    <m/>
    <s v="Suppressed"/>
    <s v=""/>
    <n v="58"/>
    <n v="1057"/>
    <x v="3"/>
    <n v="65"/>
    <x v="1"/>
    <n v="-33.949019999999997"/>
    <n v="151.162305"/>
  </r>
  <r>
    <s v="5148"/>
    <s v="Bardwell Park Infants School"/>
    <s v="Bardwell Park"/>
    <s v="Bayside (NSW)"/>
    <s v="Sydney - Inner South West"/>
    <x v="0"/>
    <x v="0"/>
    <s v="Metropolitan South"/>
    <x v="3"/>
    <x v="0"/>
    <s v="Coed"/>
    <n v="33"/>
    <n v="0"/>
    <s v="Published"/>
    <n v="0"/>
    <n v="47"/>
    <n v="1088"/>
    <x v="3"/>
    <n v="39"/>
    <x v="2"/>
    <n v="-33.933427999999999"/>
    <n v="151.12555"/>
  </r>
  <r>
    <s v="5166"/>
    <s v="Casino West Public School"/>
    <s v="Casino"/>
    <s v="Richmond Valley"/>
    <s v="Richmond - Tweed"/>
    <x v="1"/>
    <x v="1"/>
    <s v="Rural North"/>
    <x v="0"/>
    <x v="0"/>
    <s v="Coed"/>
    <n v="157"/>
    <n v="63"/>
    <s v="Published"/>
    <n v="98.91"/>
    <n v="8"/>
    <n v="756"/>
    <x v="1"/>
    <n v="194"/>
    <x v="1"/>
    <n v="-28.854780000000002"/>
    <n v="153.036779"/>
  </r>
  <r>
    <s v="5188"/>
    <s v="Sefton Infants School"/>
    <s v="Sefton"/>
    <s v="Canterbury-Bankstown"/>
    <s v="Sydney - Parramatta"/>
    <x v="0"/>
    <x v="0"/>
    <s v="Metropolitan South"/>
    <x v="3"/>
    <x v="0"/>
    <s v="Coed"/>
    <n v="93"/>
    <m/>
    <s v="Suppressed"/>
    <s v=""/>
    <n v="94"/>
    <n v="1027"/>
    <x v="3"/>
    <n v="90"/>
    <x v="2"/>
    <n v="-33.889237000000001"/>
    <n v="151.00958800000001"/>
  </r>
  <r>
    <s v="5191"/>
    <s v="Hornsby South Public School"/>
    <s v="Hornsby"/>
    <s v="Hornsby"/>
    <s v="Sydney - North Sydney and Hornsby"/>
    <x v="0"/>
    <x v="0"/>
    <s v="Metropolitan North"/>
    <x v="0"/>
    <x v="0"/>
    <s v="Coed"/>
    <n v="534"/>
    <m/>
    <s v="Suppressed"/>
    <s v=""/>
    <n v="73"/>
    <n v="1110"/>
    <x v="0"/>
    <n v="22"/>
    <x v="0"/>
    <n v="-33.713498999999999"/>
    <n v="151.09514799999999"/>
  </r>
  <r>
    <s v="5195"/>
    <s v="Hurstville Grove Infants School"/>
    <s v="Penshurst"/>
    <s v="Georges River"/>
    <s v="Sydney - Inner South West"/>
    <x v="0"/>
    <x v="0"/>
    <s v="Metropolitan South"/>
    <x v="3"/>
    <x v="0"/>
    <s v="Coed"/>
    <n v="59"/>
    <m/>
    <s v="Suppressed"/>
    <s v=""/>
    <n v="52"/>
    <n v="1097"/>
    <x v="3"/>
    <n v="26"/>
    <x v="2"/>
    <n v="-33.973128000000003"/>
    <n v="151.09053599999999"/>
  </r>
  <r>
    <s v="5212"/>
    <s v="Beauty Point Public School"/>
    <s v="Mosman"/>
    <s v="Mosman"/>
    <s v="Sydney - North Sydney and Hornsby"/>
    <x v="0"/>
    <x v="0"/>
    <s v="Metropolitan North"/>
    <x v="0"/>
    <x v="0"/>
    <s v="Coed"/>
    <n v="205"/>
    <n v="0"/>
    <s v="Published"/>
    <n v="0"/>
    <n v="48"/>
    <n v="1154"/>
    <x v="0"/>
    <n v="7"/>
    <x v="1"/>
    <n v="-33.812007999999999"/>
    <n v="151.241883"/>
  </r>
  <r>
    <s v="5220"/>
    <s v="Lansvale Public School"/>
    <s v="CANLEY VALE"/>
    <s v="Fairfield"/>
    <s v="Sydney - South West"/>
    <x v="0"/>
    <x v="0"/>
    <s v="Metropolitan South and West"/>
    <x v="0"/>
    <x v="0"/>
    <s v="Coed"/>
    <n v="524"/>
    <m/>
    <s v="Suppressed"/>
    <s v=""/>
    <n v="95"/>
    <n v="934"/>
    <x v="2"/>
    <n v="140"/>
    <x v="0"/>
    <n v="-33.890976999999999"/>
    <n v="150.95355499999999"/>
  </r>
  <r>
    <s v="5236"/>
    <s v="Granville East Public School"/>
    <s v="Granville"/>
    <s v="Cumberland"/>
    <s v="Sydney - Parramatta"/>
    <x v="0"/>
    <x v="0"/>
    <s v="Metropolitan South"/>
    <x v="0"/>
    <x v="0"/>
    <s v="Coed"/>
    <n v="259"/>
    <n v="3"/>
    <s v="Published"/>
    <n v="7.77"/>
    <n v="95"/>
    <n v="923"/>
    <x v="2"/>
    <n v="165"/>
    <x v="1"/>
    <n v="-33.848269999999999"/>
    <n v="151.00998100000001"/>
  </r>
  <r>
    <s v="5238"/>
    <s v="Westlawn Public School"/>
    <s v="Grafton"/>
    <s v="Clarence Valley"/>
    <s v="Coffs Harbour - Grafton"/>
    <x v="1"/>
    <x v="1"/>
    <s v="Rural North"/>
    <x v="0"/>
    <x v="0"/>
    <s v="Coed"/>
    <n v="467"/>
    <n v="21"/>
    <s v="Published"/>
    <n v="98.07"/>
    <n v="4"/>
    <n v="940"/>
    <x v="2"/>
    <n v="113"/>
    <x v="0"/>
    <n v="-29.670687000000001"/>
    <n v="152.92987299999999"/>
  </r>
  <r>
    <s v="5241"/>
    <s v="Mount Lewis Infants School"/>
    <s v="Greenacre"/>
    <s v="Canterbury-Bankstown"/>
    <s v="Sydney - Inner South West"/>
    <x v="0"/>
    <x v="0"/>
    <s v="Metropolitan South"/>
    <x v="3"/>
    <x v="0"/>
    <s v="Coed"/>
    <n v="173"/>
    <n v="0"/>
    <s v="Published"/>
    <n v="0"/>
    <n v="86"/>
    <n v="1047"/>
    <x v="3"/>
    <n v="82"/>
    <x v="1"/>
    <n v="-33.916083999999998"/>
    <n v="151.04975999999999"/>
  </r>
  <r>
    <s v="5242"/>
    <s v="Mulyan Public School"/>
    <s v="Cowra"/>
    <s v="Cowra"/>
    <s v="Central West"/>
    <x v="1"/>
    <x v="1"/>
    <s v="Rural South and West"/>
    <x v="0"/>
    <x v="0"/>
    <s v="Coed"/>
    <n v="336"/>
    <n v="31"/>
    <s v="Published"/>
    <n v="104.16"/>
    <n v="3"/>
    <n v="896"/>
    <x v="1"/>
    <n v="135"/>
    <x v="0"/>
    <n v="-33.822374000000003"/>
    <n v="148.68726599999999"/>
  </r>
  <r>
    <s v="5246"/>
    <s v="Bankstown South Infants School"/>
    <s v="Bankstown"/>
    <s v="Canterbury-Bankstown"/>
    <s v="Sydney - Inner South West"/>
    <x v="0"/>
    <x v="0"/>
    <s v="Metropolitan South and West"/>
    <x v="3"/>
    <x v="0"/>
    <s v="Coed"/>
    <n v="141"/>
    <m/>
    <s v="Suppressed"/>
    <s v=""/>
    <n v="96"/>
    <n v="999"/>
    <x v="2"/>
    <n v="123"/>
    <x v="1"/>
    <n v="-33.931229999999999"/>
    <n v="151.03840199999999"/>
  </r>
  <r>
    <s v="5247"/>
    <s v="New Lambton Heights Infants School"/>
    <s v="NEW LAMBTON HEIGHTS"/>
    <s v="Newcastle"/>
    <s v="Newcastle and Lake Macquarie"/>
    <x v="0"/>
    <x v="0"/>
    <s v="Regional North"/>
    <x v="3"/>
    <x v="0"/>
    <s v="Coed"/>
    <n v="55"/>
    <m/>
    <s v="Suppressed"/>
    <s v=""/>
    <n v="23"/>
    <n v="1100"/>
    <x v="0"/>
    <n v="16"/>
    <x v="2"/>
    <n v="-32.934854999999999"/>
    <n v="151.68802700000001"/>
  </r>
  <r>
    <s v="5251"/>
    <s v="Homebush West Public School"/>
    <s v="HOMEBUSH WEST"/>
    <s v="Strathfield"/>
    <s v="Sydney - Inner West"/>
    <x v="0"/>
    <x v="0"/>
    <s v="Metropolitan South"/>
    <x v="0"/>
    <x v="0"/>
    <s v="Coed"/>
    <n v="424"/>
    <m/>
    <s v="Suppressed"/>
    <s v=""/>
    <n v="92"/>
    <n v="1069"/>
    <x v="3"/>
    <n v="41"/>
    <x v="0"/>
    <n v="-33.866461000000001"/>
    <n v="151.06671"/>
  </r>
  <r>
    <s v="5260"/>
    <s v="Cardiff North Public School"/>
    <s v="Cardiff"/>
    <s v="Lake Macquarie"/>
    <s v="Newcastle and Lake Macquarie"/>
    <x v="0"/>
    <x v="0"/>
    <s v="Regional North"/>
    <x v="0"/>
    <x v="0"/>
    <s v="Coed"/>
    <n v="149"/>
    <n v="10"/>
    <s v="Published"/>
    <n v="14.9"/>
    <n v="6"/>
    <n v="1014"/>
    <x v="3"/>
    <n v="90"/>
    <x v="1"/>
    <n v="-32.937812000000001"/>
    <n v="151.66572300000001"/>
  </r>
  <r>
    <s v="5265"/>
    <s v="Bletchington Public School"/>
    <s v="Orange"/>
    <s v="Orange"/>
    <s v="Central West"/>
    <x v="1"/>
    <x v="1"/>
    <s v="Rural South and West"/>
    <x v="0"/>
    <x v="0"/>
    <s v="Coed"/>
    <n v="503"/>
    <n v="20"/>
    <s v="Published"/>
    <n v="100.60000000000001"/>
    <n v="12"/>
    <n v="938"/>
    <x v="2"/>
    <n v="118"/>
    <x v="0"/>
    <n v="-33.268526000000001"/>
    <n v="149.10356999999999"/>
  </r>
  <r>
    <s v="5272"/>
    <s v="Heathcote East Public School"/>
    <s v="Heathcote"/>
    <s v="Sutherland"/>
    <s v="Sydney - Sutherland"/>
    <x v="0"/>
    <x v="0"/>
    <s v="Metropolitan South and West"/>
    <x v="0"/>
    <x v="0"/>
    <s v="Coed"/>
    <n v="106"/>
    <m/>
    <s v="Suppressed"/>
    <s v=""/>
    <n v="11"/>
    <n v="1072"/>
    <x v="3"/>
    <n v="57"/>
    <x v="1"/>
    <n v="-34.082070999999999"/>
    <n v="151.02025900000001"/>
  </r>
  <r>
    <s v="5302"/>
    <s v="School of the Air"/>
    <s v="Broken Hill"/>
    <s v="Broken Hill"/>
    <s v="Far West and Orana"/>
    <x v="2"/>
    <x v="2"/>
    <s v="Rural South and West"/>
    <x v="0"/>
    <x v="0"/>
    <s v="Coed"/>
    <n v="120"/>
    <n v="8"/>
    <s v="Published"/>
    <n v="9.6"/>
    <m/>
    <n v="985"/>
    <x v="2"/>
    <n v="78"/>
    <x v="1"/>
    <n v="-31.945381999999999"/>
    <n v="141.47200000000001"/>
  </r>
  <r>
    <s v="5401"/>
    <s v="Glenfield Park School"/>
    <s v="Glenfield"/>
    <s v="Campbelltown (NSW)"/>
    <s v="Sydney - Outer South West"/>
    <x v="0"/>
    <x v="0"/>
    <s v="Metropolitan South and West"/>
    <x v="2"/>
    <x v="0"/>
    <s v="Coed"/>
    <n v="63"/>
    <n v="24"/>
    <s v="Published"/>
    <n v="15.12"/>
    <n v="24"/>
    <n v="896"/>
    <x v="1"/>
    <n v="178"/>
    <x v="2"/>
    <n v="-33.967931"/>
    <n v="150.878601"/>
  </r>
  <r>
    <s v="5405"/>
    <s v="Fisher Road School"/>
    <s v="Dee Why"/>
    <s v="Northern Beaches"/>
    <s v="Sydney - Northern Beaches"/>
    <x v="0"/>
    <x v="0"/>
    <s v="Metropolitan North"/>
    <x v="2"/>
    <x v="0"/>
    <s v="Coed"/>
    <n v="62"/>
    <m/>
    <s v="Suppressed"/>
    <s v=""/>
    <n v="59"/>
    <n v="1050"/>
    <x v="3"/>
    <n v="63"/>
    <x v="2"/>
    <n v="-33.746130999999998"/>
    <n v="151.28746599999999"/>
  </r>
  <r>
    <s v="5407"/>
    <s v="Cromehurst School"/>
    <s v="Lindfield"/>
    <s v="Ku-ring-gai"/>
    <s v="Sydney - North Sydney and Hornsby"/>
    <x v="0"/>
    <x v="0"/>
    <s v="Metropolitan North"/>
    <x v="2"/>
    <x v="0"/>
    <s v="Coed"/>
    <n v="60"/>
    <m/>
    <s v="Suppressed"/>
    <s v=""/>
    <n v="61"/>
    <n v="1098"/>
    <x v="3"/>
    <n v="27"/>
    <x v="2"/>
    <n v="-33.773952000000001"/>
    <n v="151.17220699999999"/>
  </r>
  <r>
    <s v="5411"/>
    <s v="Rowland Hassall School"/>
    <s v="CHESTER HILL"/>
    <s v="Canterbury-Bankstown"/>
    <s v="Sydney - Parramatta"/>
    <x v="0"/>
    <x v="0"/>
    <s v="Metropolitan South"/>
    <x v="2"/>
    <x v="0"/>
    <s v="Coed"/>
    <n v="63"/>
    <n v="21"/>
    <s v="Published"/>
    <n v="13.229999999999999"/>
    <n v="61"/>
    <n v="889"/>
    <x v="1"/>
    <n v="190"/>
    <x v="2"/>
    <n v="-33.867714999999997"/>
    <n v="150.98901799999999"/>
  </r>
  <r>
    <s v="5423"/>
    <s v="John Brotchie Nursery School"/>
    <s v="Botany"/>
    <s v="Bayside (NSW)"/>
    <s v="Sydney - City and Inner South"/>
    <x v="0"/>
    <x v="0"/>
    <s v="Metropolitan South"/>
    <x v="5"/>
    <x v="0"/>
    <s v="Coed"/>
    <m/>
    <m/>
    <s v="Suppressed"/>
    <s v=""/>
    <m/>
    <m/>
    <x v="4"/>
    <n v="26"/>
    <x v="5"/>
    <n v="-33.942627000000002"/>
    <n v="151.19613799999999"/>
  </r>
  <r>
    <s v="5428"/>
    <s v="Field of Mars Environmental Education Centre"/>
    <s v="East Ryde"/>
    <s v="Ryde"/>
    <s v="Sydney - Ryde"/>
    <x v="0"/>
    <x v="0"/>
    <s v="Metropolitan North"/>
    <x v="6"/>
    <x v="0"/>
    <s v="Coed"/>
    <m/>
    <m/>
    <s v="Suppressed"/>
    <s v=""/>
    <m/>
    <m/>
    <x v="4"/>
    <m/>
    <x v="5"/>
    <n v="-33.816091999999998"/>
    <n v="151.13284899999999"/>
  </r>
  <r>
    <s v="5429"/>
    <s v="Camden Park Environmental Education Centre"/>
    <s v="Menangle"/>
    <s v="Wollondilly"/>
    <s v="Sydney - Outer South West"/>
    <x v="0"/>
    <x v="0"/>
    <s v="Regional South and Connected Communities"/>
    <x v="6"/>
    <x v="0"/>
    <s v="Coed"/>
    <m/>
    <m/>
    <s v="Suppressed"/>
    <s v=""/>
    <m/>
    <m/>
    <x v="4"/>
    <m/>
    <x v="5"/>
    <n v="-34.120004000000002"/>
    <n v="150.70968500000001"/>
  </r>
  <r>
    <s v="5430"/>
    <s v="Georges River Environmental Education Centre"/>
    <s v="Chipping Norton"/>
    <s v="Liverpool"/>
    <s v="Sydney - South West"/>
    <x v="0"/>
    <x v="0"/>
    <s v="Metropolitan South and West"/>
    <x v="6"/>
    <x v="0"/>
    <s v="Coed"/>
    <m/>
    <m/>
    <s v="Suppressed"/>
    <s v=""/>
    <m/>
    <m/>
    <x v="4"/>
    <m/>
    <x v="5"/>
    <n v="-33.910277999999998"/>
    <n v="150.961511"/>
  </r>
  <r>
    <s v="5453"/>
    <s v="Putland School"/>
    <s v="Werrington"/>
    <s v="Penrith"/>
    <s v="Sydney - Outer West and Blue Mountains"/>
    <x v="0"/>
    <x v="0"/>
    <s v="Metropolitan North"/>
    <x v="2"/>
    <x v="0"/>
    <s v="Coed"/>
    <n v="65"/>
    <n v="34"/>
    <s v="Published"/>
    <n v="22.1"/>
    <n v="32"/>
    <n v="871"/>
    <x v="1"/>
    <n v="178"/>
    <x v="2"/>
    <n v="-33.764296999999999"/>
    <n v="150.75038499999999"/>
  </r>
  <r>
    <s v="5454"/>
    <s v="Dorchester School"/>
    <s v="Campbelltown"/>
    <s v="Campbelltown (NSW)"/>
    <s v="Sydney - Outer South West"/>
    <x v="0"/>
    <x v="0"/>
    <s v="Regional South and Connected Communities"/>
    <x v="2"/>
    <x v="0"/>
    <s v="Coed"/>
    <n v="19"/>
    <n v="37"/>
    <s v="Published"/>
    <n v="7.03"/>
    <m/>
    <n v="871"/>
    <x v="1"/>
    <n v="208"/>
    <x v="2"/>
    <n v="-34.088473999999998"/>
    <n v="150.82633100000001"/>
  </r>
  <r>
    <s v="5456"/>
    <s v="Girrakool School"/>
    <s v="Kariong"/>
    <s v="Central Coast (NSW)"/>
    <s v="Central Coast"/>
    <x v="0"/>
    <x v="0"/>
    <s v="Regional North"/>
    <x v="2"/>
    <x v="0"/>
    <s v="Boys"/>
    <n v="54"/>
    <n v="63"/>
    <s v="Published"/>
    <n v="34.020000000000003"/>
    <m/>
    <n v="826"/>
    <x v="1"/>
    <n v="172"/>
    <x v="2"/>
    <n v="-33.423699999999997"/>
    <n v="151.29599999999999"/>
  </r>
  <r>
    <s v="5458"/>
    <s v="Awabakal Environmental Education Centre"/>
    <s v="SHORTLAND"/>
    <s v="Newcastle"/>
    <s v="Newcastle and Lake Macquarie"/>
    <x v="0"/>
    <x v="0"/>
    <s v="Regional North"/>
    <x v="6"/>
    <x v="0"/>
    <s v="Coed"/>
    <m/>
    <m/>
    <s v="Suppressed"/>
    <s v=""/>
    <m/>
    <m/>
    <x v="4"/>
    <m/>
    <x v="5"/>
    <n v="-32.876106999999998"/>
    <n v="151.69613200000001"/>
  </r>
  <r>
    <s v="5459"/>
    <s v="Tallowood School"/>
    <s v="Kellyville"/>
    <s v="The Hills"/>
    <s v="Sydney - Baulkham Hills and Hawkesbury"/>
    <x v="0"/>
    <x v="0"/>
    <s v="Metropolitan North"/>
    <x v="2"/>
    <x v="0"/>
    <s v="Coed"/>
    <n v="98"/>
    <m/>
    <s v="Suppressed"/>
    <s v=""/>
    <n v="55"/>
    <n v="1034"/>
    <x v="3"/>
    <n v="88"/>
    <x v="2"/>
    <n v="-33.707053999999999"/>
    <n v="150.95217"/>
  </r>
  <r>
    <s v="5460"/>
    <s v="Yudi Gunyi School"/>
    <s v="Waterloo"/>
    <s v="Sydney"/>
    <s v="Sydney - City and Inner South"/>
    <x v="0"/>
    <x v="0"/>
    <s v="Metropolitan South"/>
    <x v="2"/>
    <x v="0"/>
    <s v="Coed"/>
    <n v="29"/>
    <n v="52"/>
    <s v="Published"/>
    <n v="15.08"/>
    <m/>
    <n v="890"/>
    <x v="1"/>
    <n v="160"/>
    <x v="2"/>
    <n v="-33.904024999999997"/>
    <n v="151.20310799999999"/>
  </r>
  <r>
    <s v="5504"/>
    <s v="Royal Far West School"/>
    <s v="MANLY"/>
    <s v="Northern Beaches"/>
    <s v="Sydney - Northern Beaches"/>
    <x v="0"/>
    <x v="0"/>
    <s v="Metropolitan North"/>
    <x v="2"/>
    <x v="0"/>
    <s v="Coed"/>
    <m/>
    <m/>
    <s v="Suppressed"/>
    <s v=""/>
    <m/>
    <m/>
    <x v="4"/>
    <n v="150"/>
    <x v="5"/>
    <n v="-33.798518999999999"/>
    <n v="151.288476"/>
  </r>
  <r>
    <s v="5508"/>
    <s v="Beverley Park School"/>
    <s v="Campbelltown"/>
    <s v="Campbelltown (NSW)"/>
    <s v="Sydney - Outer South West"/>
    <x v="0"/>
    <x v="0"/>
    <s v="Regional South and Connected Communities"/>
    <x v="2"/>
    <x v="0"/>
    <s v="Coed"/>
    <n v="59"/>
    <n v="12"/>
    <s v="Published"/>
    <n v="7.08"/>
    <n v="47"/>
    <n v="967"/>
    <x v="2"/>
    <n v="129"/>
    <x v="2"/>
    <n v="-34.062207999999998"/>
    <n v="150.824219"/>
  </r>
  <r>
    <s v="5511"/>
    <s v="Newcastle Senior School"/>
    <s v="WARATAH"/>
    <s v="Newcastle"/>
    <s v="Newcastle and Lake Macquarie"/>
    <x v="0"/>
    <x v="0"/>
    <s v="Regional North"/>
    <x v="2"/>
    <x v="0"/>
    <s v="Coed"/>
    <n v="37"/>
    <n v="22"/>
    <s v="Published"/>
    <n v="8.14"/>
    <n v="19"/>
    <n v="960"/>
    <x v="2"/>
    <n v="125"/>
    <x v="2"/>
    <n v="-32.909171000000001"/>
    <n v="151.723388"/>
  </r>
  <r>
    <s v="5513"/>
    <s v="St George Hospital School"/>
    <s v="Kogarah"/>
    <s v="Georges River"/>
    <s v="Sydney - Inner South West"/>
    <x v="0"/>
    <x v="0"/>
    <s v="Metropolitan South"/>
    <x v="2"/>
    <x v="0"/>
    <s v="Coed"/>
    <m/>
    <m/>
    <s v="Suppressed"/>
    <s v=""/>
    <m/>
    <m/>
    <x v="4"/>
    <n v="100"/>
    <x v="5"/>
    <n v="-33.966709999999999"/>
    <n v="151.13399000000001"/>
  </r>
  <r>
    <s v="5515"/>
    <s v="Stewart House School"/>
    <s v="Harbord"/>
    <s v="Northern Beaches"/>
    <s v="Sydney - Northern Beaches"/>
    <x v="0"/>
    <x v="0"/>
    <s v="Metropolitan North"/>
    <x v="2"/>
    <x v="0"/>
    <s v="Coed"/>
    <m/>
    <m/>
    <s v="Suppressed"/>
    <s v=""/>
    <m/>
    <m/>
    <x v="4"/>
    <n v="150"/>
    <x v="5"/>
    <n v="-33.773490000000002"/>
    <n v="151.29131000000001"/>
  </r>
  <r>
    <s v="5516"/>
    <s v="Centennial Park School"/>
    <s v="Randwick"/>
    <s v="Randwick"/>
    <s v="Sydney - Eastern Suburbs"/>
    <x v="0"/>
    <x v="0"/>
    <s v="Metropolitan South"/>
    <x v="2"/>
    <x v="0"/>
    <s v="Coed"/>
    <n v="53"/>
    <m/>
    <s v="Suppressed"/>
    <s v=""/>
    <m/>
    <n v="1055"/>
    <x v="3"/>
    <n v="69"/>
    <x v="2"/>
    <n v="-33.910564000000001"/>
    <n v="151.24318400000001"/>
  </r>
  <r>
    <s v="5527"/>
    <s v="St George School"/>
    <s v="Kogarah"/>
    <s v="Bayside (NSW)"/>
    <s v="Sydney - Inner South West"/>
    <x v="0"/>
    <x v="0"/>
    <s v="Metropolitan South"/>
    <x v="2"/>
    <x v="0"/>
    <s v="Coed"/>
    <n v="64"/>
    <m/>
    <s v="Suppressed"/>
    <s v=""/>
    <n v="39"/>
    <n v="1055"/>
    <x v="3"/>
    <n v="79"/>
    <x v="2"/>
    <n v="-33.969054999999997"/>
    <n v="151.13753199999999"/>
  </r>
  <r>
    <s v="5529"/>
    <s v="Broderick Gillawarna School"/>
    <s v="Revesby"/>
    <s v="Canterbury-Bankstown"/>
    <s v="Sydney - Inner South West"/>
    <x v="0"/>
    <x v="0"/>
    <s v="Metropolitan South and West"/>
    <x v="2"/>
    <x v="0"/>
    <s v="Coed"/>
    <n v="100"/>
    <m/>
    <s v="Suppressed"/>
    <s v=""/>
    <n v="83"/>
    <n v="1005"/>
    <x v="3"/>
    <n v="114"/>
    <x v="1"/>
    <n v="-33.942492999999999"/>
    <n v="151.015897"/>
  </r>
  <r>
    <s v="5538"/>
    <s v="Arndell School"/>
    <s v="North Ryde"/>
    <s v="Ryde"/>
    <s v="Sydney - Ryde"/>
    <x v="0"/>
    <x v="0"/>
    <s v="Metropolitan North"/>
    <x v="2"/>
    <x v="0"/>
    <s v="Coed"/>
    <n v="17"/>
    <m/>
    <s v="Suppressed"/>
    <s v=""/>
    <m/>
    <n v="1011"/>
    <x v="3"/>
    <n v="99"/>
    <x v="2"/>
    <n v="-33.803223000000003"/>
    <n v="151.12553500000001"/>
  </r>
  <r>
    <s v="5540"/>
    <s v="Bridge Road School"/>
    <s v="Camperdown"/>
    <s v="Inner West"/>
    <s v="Sydney - City and Inner South"/>
    <x v="0"/>
    <x v="0"/>
    <s v="Metropolitan South"/>
    <x v="2"/>
    <x v="0"/>
    <s v="Coed"/>
    <n v="37"/>
    <n v="30"/>
    <s v="Published"/>
    <n v="11.1"/>
    <m/>
    <n v="977"/>
    <x v="2"/>
    <n v="108"/>
    <x v="2"/>
    <n v="-33.887445"/>
    <n v="151.175254"/>
  </r>
  <r>
    <s v="5543"/>
    <s v="Royal Prince Alfred Hospital School"/>
    <s v="CAMPERDOWN"/>
    <s v="Sydney"/>
    <s v="Sydney - City and Inner South"/>
    <x v="0"/>
    <x v="0"/>
    <s v="Metropolitan South"/>
    <x v="2"/>
    <x v="0"/>
    <s v="Coed"/>
    <m/>
    <m/>
    <s v="Suppressed"/>
    <s v=""/>
    <m/>
    <m/>
    <x v="4"/>
    <n v="100"/>
    <x v="5"/>
    <n v="-33.889313999999999"/>
    <n v="151.18024500000001"/>
  </r>
  <r>
    <s v="5544"/>
    <s v="Royal North Shore Hospital School"/>
    <s v="St Leonards"/>
    <s v="Willoughby"/>
    <s v="Sydney - North Sydney and Hornsby"/>
    <x v="0"/>
    <x v="0"/>
    <s v="Metropolitan North"/>
    <x v="2"/>
    <x v="0"/>
    <s v="Coed"/>
    <m/>
    <m/>
    <s v="Suppressed"/>
    <s v=""/>
    <m/>
    <m/>
    <x v="4"/>
    <n v="100"/>
    <x v="5"/>
    <n v="-33.820684999999997"/>
    <n v="151.19078999999999"/>
  </r>
  <r>
    <s v="5545"/>
    <s v="Sydney Childrens Hospital School"/>
    <s v="Randwick"/>
    <s v="Randwick"/>
    <s v="Sydney - Eastern Suburbs"/>
    <x v="0"/>
    <x v="0"/>
    <s v="Metropolitan South"/>
    <x v="2"/>
    <x v="0"/>
    <s v="Coed"/>
    <m/>
    <m/>
    <s v="Suppressed"/>
    <s v=""/>
    <m/>
    <m/>
    <x v="4"/>
    <n v="100"/>
    <x v="5"/>
    <n v="-33.919052999999998"/>
    <n v="151.23906700000001"/>
  </r>
  <r>
    <s v="5546"/>
    <s v="Sutherland Hospital School"/>
    <s v="Caringbah"/>
    <s v="Sutherland"/>
    <s v="Sydney - Sutherland"/>
    <x v="0"/>
    <x v="0"/>
    <s v="Metropolitan South and West"/>
    <x v="2"/>
    <x v="0"/>
    <s v="Coed"/>
    <m/>
    <m/>
    <s v="Suppressed"/>
    <s v=""/>
    <m/>
    <m/>
    <x v="4"/>
    <n v="100"/>
    <x v="5"/>
    <n v="-34.038034000000003"/>
    <n v="151.114597"/>
  </r>
  <r>
    <s v="5548"/>
    <s v="Bankstown Hospital School"/>
    <s v="Bankstown"/>
    <s v="Canterbury-Bankstown"/>
    <s v="Sydney - Inner South West"/>
    <x v="0"/>
    <x v="0"/>
    <s v="Metropolitan South and West"/>
    <x v="2"/>
    <x v="0"/>
    <s v="Coed"/>
    <m/>
    <m/>
    <s v="Suppressed"/>
    <s v=""/>
    <m/>
    <m/>
    <x v="4"/>
    <n v="100"/>
    <x v="5"/>
    <n v="-33.933446000000004"/>
    <n v="151.02106900000001"/>
  </r>
  <r>
    <s v="5550"/>
    <s v="Willans Hill School"/>
    <s v="Wagga Wagga"/>
    <s v="Wagga Wagga"/>
    <s v="Riverina"/>
    <x v="1"/>
    <x v="1"/>
    <s v="Rural South and West"/>
    <x v="2"/>
    <x v="0"/>
    <s v="Coed"/>
    <n v="71"/>
    <n v="25"/>
    <s v="Published"/>
    <n v="17.75"/>
    <n v="23"/>
    <n v="929"/>
    <x v="2"/>
    <n v="151"/>
    <x v="2"/>
    <n v="-35.126266000000001"/>
    <n v="147.369416"/>
  </r>
  <r>
    <s v="5551"/>
    <s v="Illawarra Hospital School"/>
    <s v="Wollongong"/>
    <s v="Wollongong"/>
    <s v="Illawarra"/>
    <x v="0"/>
    <x v="0"/>
    <s v="Regional South and Connected Communities"/>
    <x v="2"/>
    <x v="0"/>
    <s v="Coed"/>
    <m/>
    <m/>
    <s v="Suppressed"/>
    <s v=""/>
    <m/>
    <m/>
    <x v="4"/>
    <n v="100"/>
    <x v="5"/>
    <n v="-34.424793000000001"/>
    <n v="150.88393500000001"/>
  </r>
  <r>
    <s v="5556"/>
    <s v="Liverpool Hospital School"/>
    <s v="Liverpool"/>
    <s v="Liverpool"/>
    <s v="Sydney - South West"/>
    <x v="0"/>
    <x v="0"/>
    <s v="Metropolitan South and West"/>
    <x v="2"/>
    <x v="0"/>
    <s v="Coed"/>
    <m/>
    <m/>
    <s v="Suppressed"/>
    <s v=""/>
    <m/>
    <m/>
    <x v="4"/>
    <n v="100"/>
    <x v="5"/>
    <n v="-33.919911999999997"/>
    <n v="150.931084"/>
  </r>
  <r>
    <s v="5558"/>
    <s v="John Hunter Hospital School"/>
    <s v="New Lambton Heights"/>
    <s v="Newcastle"/>
    <s v="Newcastle and Lake Macquarie"/>
    <x v="0"/>
    <x v="0"/>
    <s v="Regional North"/>
    <x v="2"/>
    <x v="0"/>
    <s v="Coed"/>
    <m/>
    <m/>
    <s v="Suppressed"/>
    <s v=""/>
    <m/>
    <m/>
    <x v="4"/>
    <n v="100"/>
    <x v="5"/>
    <n v="-32.921377999999997"/>
    <n v="151.69739799999999"/>
  </r>
  <r>
    <s v="5559"/>
    <s v="Redbank School"/>
    <s v="Westmead"/>
    <s v="Parramatta"/>
    <s v="Sydney - Parramatta"/>
    <x v="0"/>
    <x v="0"/>
    <s v="Metropolitan South"/>
    <x v="2"/>
    <x v="0"/>
    <s v="Coed"/>
    <n v="46"/>
    <n v="13"/>
    <s v="Published"/>
    <n v="5.98"/>
    <n v="42"/>
    <n v="1001"/>
    <x v="3"/>
    <n v="116"/>
    <x v="2"/>
    <n v="-33.800809000000001"/>
    <n v="150.98765900000001"/>
  </r>
  <r>
    <s v="5562"/>
    <s v="Fowler Road School"/>
    <s v="Merrylands"/>
    <s v="Cumberland"/>
    <s v="Sydney - Parramatta"/>
    <x v="0"/>
    <x v="0"/>
    <s v="Metropolitan South"/>
    <x v="2"/>
    <x v="0"/>
    <s v="Coed"/>
    <n v="55"/>
    <n v="24"/>
    <s v="Published"/>
    <n v="13.2"/>
    <m/>
    <n v="895"/>
    <x v="1"/>
    <n v="181"/>
    <x v="2"/>
    <n v="-33.841496999999997"/>
    <n v="150.97553300000001"/>
  </r>
  <r>
    <s v="5563"/>
    <s v="Passfield Park School"/>
    <s v="Minto"/>
    <s v="Campbelltown (NSW)"/>
    <s v="Sydney - Outer South West"/>
    <x v="0"/>
    <x v="0"/>
    <s v="Metropolitan South and West"/>
    <x v="2"/>
    <x v="0"/>
    <s v="Coed"/>
    <n v="98"/>
    <m/>
    <s v="Suppressed"/>
    <s v=""/>
    <n v="75"/>
    <n v="1019"/>
    <x v="3"/>
    <n v="97"/>
    <x v="2"/>
    <n v="-34.023862000000001"/>
    <n v="150.85090700000001"/>
  </r>
  <r>
    <s v="5568"/>
    <s v="Wangee Park School"/>
    <s v="Campsie"/>
    <s v="Canterbury-Bankstown"/>
    <s v="Sydney - Inner South West"/>
    <x v="0"/>
    <x v="0"/>
    <s v="Metropolitan South"/>
    <x v="2"/>
    <x v="0"/>
    <s v="Coed"/>
    <n v="51"/>
    <m/>
    <s v="Suppressed"/>
    <s v=""/>
    <n v="82"/>
    <n v="1011"/>
    <x v="3"/>
    <n v="112"/>
    <x v="2"/>
    <n v="-33.908248"/>
    <n v="151.09588099999999"/>
  </r>
  <r>
    <s v="5569"/>
    <s v="Bullimbal School"/>
    <s v="SOUTH TAMWORTH"/>
    <s v="Tamworth"/>
    <s v="New England and North West"/>
    <x v="1"/>
    <x v="1"/>
    <s v="Rural North"/>
    <x v="2"/>
    <x v="0"/>
    <s v="Coed"/>
    <n v="70"/>
    <n v="46"/>
    <s v="Published"/>
    <n v="32.200000000000003"/>
    <m/>
    <n v="870"/>
    <x v="1"/>
    <n v="165"/>
    <x v="2"/>
    <n v="-31.10651"/>
    <n v="150.91970000000001"/>
  </r>
  <r>
    <s v="5573"/>
    <s v="Caldera School"/>
    <s v="TWEED HEADS SOUTH"/>
    <s v="Tweed"/>
    <s v="Richmond - Tweed"/>
    <x v="0"/>
    <x v="0"/>
    <s v="Rural North"/>
    <x v="2"/>
    <x v="0"/>
    <s v="Coed"/>
    <n v="24"/>
    <n v="33"/>
    <s v="Published"/>
    <n v="7.92"/>
    <n v="0"/>
    <n v="936"/>
    <x v="2"/>
    <n v="155"/>
    <x v="2"/>
    <n v="-28.207695999999999"/>
    <n v="153.53877700000001"/>
  </r>
  <r>
    <s v="5574"/>
    <s v="Casuarina School"/>
    <s v="Riverstone"/>
    <s v="Blacktown"/>
    <s v="Sydney - Blacktown"/>
    <x v="0"/>
    <x v="0"/>
    <s v="Metropolitan North"/>
    <x v="2"/>
    <x v="0"/>
    <s v="Coed"/>
    <n v="40"/>
    <n v="30"/>
    <s v="Published"/>
    <n v="12"/>
    <n v="0"/>
    <n v="912"/>
    <x v="2"/>
    <n v="190"/>
    <x v="2"/>
    <n v="-33.677515999999997"/>
    <n v="150.86634599999999"/>
  </r>
  <r>
    <s v="5575"/>
    <s v="Cook School"/>
    <s v="Loftus"/>
    <s v="Sutherland"/>
    <s v="Sydney - Sutherland"/>
    <x v="0"/>
    <x v="0"/>
    <s v="Metropolitan South and West"/>
    <x v="2"/>
    <x v="0"/>
    <s v="Coed"/>
    <n v="66"/>
    <n v="14"/>
    <s v="Published"/>
    <n v="9.24"/>
    <m/>
    <n v="956"/>
    <x v="2"/>
    <n v="115"/>
    <x v="2"/>
    <n v="-34.041708999999997"/>
    <n v="151.05254500000001"/>
  </r>
  <r>
    <s v="5576"/>
    <s v="Highlands School"/>
    <s v="RENWICK"/>
    <s v="Wingecarribee"/>
    <s v="Southern Highlands and Shoalhaven"/>
    <x v="1"/>
    <x v="1"/>
    <s v="Regional South and Connected Communities"/>
    <x v="2"/>
    <x v="0"/>
    <s v="Coed"/>
    <n v="37"/>
    <n v="27"/>
    <s v="Published"/>
    <n v="9.99"/>
    <m/>
    <n v="860"/>
    <x v="1"/>
    <n v="162"/>
    <x v="2"/>
    <n v="-34.455041999999999"/>
    <n v="150.477057"/>
  </r>
  <r>
    <s v="5577"/>
    <s v="Mian School"/>
    <s v="DUBBO"/>
    <s v="Dubbo"/>
    <s v="Far West and Orana"/>
    <x v="1"/>
    <x v="1"/>
    <s v="Regional North and West"/>
    <x v="2"/>
    <x v="0"/>
    <s v="Coed"/>
    <n v="24"/>
    <n v="83"/>
    <s v="Published"/>
    <n v="19.919999999999998"/>
    <m/>
    <n v="706"/>
    <x v="1"/>
    <n v="238"/>
    <x v="2"/>
    <n v="-32.251353000000002"/>
    <n v="148.60655499999999"/>
  </r>
  <r>
    <s v="5578"/>
    <s v="Naremburn School"/>
    <s v="Naremburn"/>
    <s v="Willoughby"/>
    <s v="Sydney - North Sydney and Hornsby"/>
    <x v="0"/>
    <x v="0"/>
    <s v="Metropolitan North"/>
    <x v="2"/>
    <x v="0"/>
    <s v="Coed"/>
    <n v="30"/>
    <m/>
    <s v="Suppressed"/>
    <s v=""/>
    <n v="36"/>
    <n v="1075"/>
    <x v="3"/>
    <n v="57"/>
    <x v="2"/>
    <n v="-33.819372000000001"/>
    <n v="151.200343"/>
  </r>
  <r>
    <s v="5579"/>
    <s v="The Beach School"/>
    <s v="Allambie"/>
    <s v="Northern Beaches"/>
    <s v="Sydney - Northern Beaches"/>
    <x v="0"/>
    <x v="0"/>
    <s v="Metropolitan North"/>
    <x v="2"/>
    <x v="0"/>
    <s v="Coed"/>
    <n v="35"/>
    <m/>
    <s v="Suppressed"/>
    <s v=""/>
    <m/>
    <n v="1039"/>
    <x v="3"/>
    <n v="81"/>
    <x v="2"/>
    <n v="-33.772010999999999"/>
    <n v="151.26248799999999"/>
  </r>
  <r>
    <s v="5580"/>
    <s v="Parry School"/>
    <s v="Tamworth"/>
    <s v="Tamworth"/>
    <s v="New England and North West"/>
    <x v="1"/>
    <x v="1"/>
    <s v="Rural North"/>
    <x v="2"/>
    <x v="0"/>
    <s v="Coed"/>
    <n v="20"/>
    <n v="90"/>
    <s v="Published"/>
    <n v="18"/>
    <m/>
    <n v="753"/>
    <x v="1"/>
    <n v="177"/>
    <x v="2"/>
    <n v="-31.10651"/>
    <n v="150.9211"/>
  </r>
  <r>
    <s v="5581"/>
    <s v="Karningul School"/>
    <s v="Regents Park"/>
    <s v="Canterbury-Bankstown"/>
    <s v="Sydney - Parramatta"/>
    <x v="0"/>
    <x v="0"/>
    <s v="Metropolitan South"/>
    <x v="2"/>
    <x v="0"/>
    <s v="Coed"/>
    <n v="20"/>
    <m/>
    <s v="Suppressed"/>
    <s v=""/>
    <m/>
    <n v="919"/>
    <x v="2"/>
    <n v="172"/>
    <x v="2"/>
    <n v="-33.885010000000001"/>
    <n v="151.02380400000001"/>
  </r>
  <r>
    <s v="5582"/>
    <s v="Wakefield School"/>
    <s v="Wakefield"/>
    <s v="Lake Macquarie"/>
    <s v="Newcastle and Lake Macquarie"/>
    <x v="0"/>
    <x v="0"/>
    <s v="Regional North"/>
    <x v="2"/>
    <x v="0"/>
    <s v="Coed"/>
    <n v="31"/>
    <n v="35"/>
    <s v="Published"/>
    <n v="10.85"/>
    <m/>
    <n v="869"/>
    <x v="1"/>
    <n v="207"/>
    <x v="2"/>
    <n v="-32.956712000000003"/>
    <n v="151.56442999999999"/>
  </r>
  <r>
    <s v="5583"/>
    <s v="Verona School"/>
    <s v="Fairfield East"/>
    <s v="Fairfield"/>
    <s v="Sydney - Parramatta"/>
    <x v="0"/>
    <x v="0"/>
    <s v="Metropolitan South"/>
    <x v="2"/>
    <x v="0"/>
    <s v="Coed"/>
    <n v="89"/>
    <n v="27"/>
    <s v="Published"/>
    <n v="24.03"/>
    <n v="36"/>
    <n v="889"/>
    <x v="1"/>
    <n v="173"/>
    <x v="2"/>
    <n v="-33.868234999999999"/>
    <n v="150.9709"/>
  </r>
  <r>
    <s v="5606"/>
    <s v="Cairnsfoot School"/>
    <s v="BRIGHTON-LE-SANDS"/>
    <s v="Bayside (NSW)"/>
    <s v="Sydney - Inner South West"/>
    <x v="0"/>
    <x v="0"/>
    <s v="Metropolitan South"/>
    <x v="2"/>
    <x v="0"/>
    <s v="Coed"/>
    <n v="99"/>
    <m/>
    <s v="Suppressed"/>
    <s v=""/>
    <n v="77"/>
    <n v="1036"/>
    <x v="3"/>
    <n v="92"/>
    <x v="2"/>
    <n v="-33.954569999999997"/>
    <n v="151.15216799999999"/>
  </r>
  <r>
    <s v="5609"/>
    <s v="Woniora Road School"/>
    <s v="Hurstville"/>
    <s v="Georges River"/>
    <s v="Sydney - Inner South West"/>
    <x v="0"/>
    <x v="0"/>
    <s v="Metropolitan South"/>
    <x v="2"/>
    <x v="0"/>
    <s v="Coed"/>
    <n v="46"/>
    <n v="15"/>
    <s v="Published"/>
    <n v="6.8999999999999995"/>
    <n v="39"/>
    <n v="999"/>
    <x v="2"/>
    <n v="100"/>
    <x v="2"/>
    <n v="-33.971003000000003"/>
    <n v="151.103173"/>
  </r>
  <r>
    <s v="5610"/>
    <s v="Carenne School"/>
    <s v="Bathurst"/>
    <s v="Bathurst"/>
    <s v="Central West"/>
    <x v="1"/>
    <x v="1"/>
    <s v="Regional North and West"/>
    <x v="2"/>
    <x v="0"/>
    <s v="Coed"/>
    <n v="97"/>
    <n v="26"/>
    <s v="Published"/>
    <n v="25.220000000000002"/>
    <n v="6"/>
    <n v="908"/>
    <x v="2"/>
    <n v="150"/>
    <x v="2"/>
    <n v="-33.426015"/>
    <n v="149.565755"/>
  </r>
  <r>
    <s v="5614"/>
    <s v="William Rose School"/>
    <s v="Seven Hills"/>
    <s v="Blacktown"/>
    <s v="Sydney - Blacktown"/>
    <x v="0"/>
    <x v="0"/>
    <s v="Metropolitan South and West"/>
    <x v="2"/>
    <x v="0"/>
    <s v="Coed"/>
    <n v="86"/>
    <n v="8"/>
    <s v="Published"/>
    <n v="6.88"/>
    <n v="75"/>
    <n v="1009"/>
    <x v="3"/>
    <n v="90"/>
    <x v="2"/>
    <n v="-33.769095"/>
    <n v="150.93749299999999"/>
  </r>
  <r>
    <s v="5616"/>
    <s v="Minerva School"/>
    <s v="Sutherland"/>
    <s v="Sutherland"/>
    <s v="Sydney - Sutherland"/>
    <x v="0"/>
    <x v="0"/>
    <s v="Metropolitan South and West"/>
    <x v="2"/>
    <x v="0"/>
    <s v="Coed"/>
    <n v="47"/>
    <m/>
    <s v="Suppressed"/>
    <s v=""/>
    <n v="32"/>
    <n v="1039"/>
    <x v="3"/>
    <n v="82"/>
    <x v="2"/>
    <n v="-34.034965"/>
    <n v="151.058739"/>
  </r>
  <r>
    <s v="5621"/>
    <s v="Kurrambee School"/>
    <s v="Werrington"/>
    <s v="Penrith"/>
    <s v="Sydney - Outer West and Blue Mountains"/>
    <x v="0"/>
    <x v="0"/>
    <s v="Metropolitan North"/>
    <x v="2"/>
    <x v="0"/>
    <s v="Coed"/>
    <n v="104"/>
    <n v="15"/>
    <s v="Published"/>
    <n v="15.6"/>
    <n v="34"/>
    <n v="946"/>
    <x v="2"/>
    <n v="142"/>
    <x v="1"/>
    <n v="-33.766354999999997"/>
    <n v="150.75711799999999"/>
  </r>
  <r>
    <s v="5625"/>
    <s v="Anson Street School"/>
    <s v="Orange"/>
    <s v="Orange"/>
    <s v="Central West"/>
    <x v="1"/>
    <x v="1"/>
    <s v="Rural South and West"/>
    <x v="2"/>
    <x v="0"/>
    <s v="Coed"/>
    <n v="134"/>
    <n v="27"/>
    <s v="Published"/>
    <n v="36.18"/>
    <n v="9"/>
    <n v="882"/>
    <x v="1"/>
    <n v="159"/>
    <x v="1"/>
    <n v="-33.296478"/>
    <n v="149.097489"/>
  </r>
  <r>
    <s v="5627"/>
    <s v="Glenvale School"/>
    <s v="Narara"/>
    <s v="Central Coast (NSW)"/>
    <s v="Central Coast"/>
    <x v="0"/>
    <x v="0"/>
    <s v="Regional North"/>
    <x v="2"/>
    <x v="0"/>
    <s v="Coed"/>
    <n v="159"/>
    <n v="11"/>
    <s v="Published"/>
    <n v="17.489999999999998"/>
    <n v="11"/>
    <n v="963"/>
    <x v="2"/>
    <n v="141"/>
    <x v="1"/>
    <n v="-33.406579999999998"/>
    <n v="151.33572899999999"/>
  </r>
  <r>
    <s v="5630"/>
    <s v="Mainsbridge School"/>
    <s v="Warwick Farm"/>
    <s v="Liverpool"/>
    <s v="Sydney - South West"/>
    <x v="0"/>
    <x v="0"/>
    <s v="Metropolitan South and West"/>
    <x v="2"/>
    <x v="0"/>
    <s v="Coed"/>
    <n v="125"/>
    <m/>
    <s v="Suppressed"/>
    <s v=""/>
    <n v="82"/>
    <n v="949"/>
    <x v="2"/>
    <n v="176"/>
    <x v="1"/>
    <n v="-33.909640000000003"/>
    <n v="150.92823300000001"/>
  </r>
  <r>
    <s v="5631"/>
    <s v="Wairoa School"/>
    <s v="Bondi Beach"/>
    <s v="Waverley"/>
    <s v="Sydney - Eastern Suburbs"/>
    <x v="0"/>
    <x v="0"/>
    <s v="Metropolitan South"/>
    <x v="2"/>
    <x v="0"/>
    <s v="Coed"/>
    <n v="75"/>
    <n v="16"/>
    <s v="Published"/>
    <n v="12"/>
    <n v="67"/>
    <n v="1025"/>
    <x v="3"/>
    <n v="75"/>
    <x v="2"/>
    <n v="-33.886631999999999"/>
    <n v="151.27849599999999"/>
  </r>
  <r>
    <s v="5632"/>
    <s v="Lawrence Hargrave School"/>
    <s v="Warwick Farm"/>
    <s v="Liverpool"/>
    <s v="Sydney - South West"/>
    <x v="0"/>
    <x v="0"/>
    <s v="Metropolitan South and West"/>
    <x v="2"/>
    <x v="0"/>
    <s v="Coed"/>
    <n v="59"/>
    <n v="41"/>
    <s v="Published"/>
    <n v="24.189999999999998"/>
    <n v="44"/>
    <n v="862"/>
    <x v="1"/>
    <n v="200"/>
    <x v="2"/>
    <n v="-33.908214999999998"/>
    <n v="150.93535499999999"/>
  </r>
  <r>
    <s v="5633"/>
    <s v="Holroyd School"/>
    <s v="Merrylands"/>
    <s v="Cumberland"/>
    <s v="Sydney - Parramatta"/>
    <x v="0"/>
    <x v="0"/>
    <s v="Metropolitan South"/>
    <x v="2"/>
    <x v="0"/>
    <s v="Coed"/>
    <n v="189"/>
    <m/>
    <s v="Suppressed"/>
    <s v=""/>
    <n v="88"/>
    <n v="983"/>
    <x v="2"/>
    <n v="134"/>
    <x v="1"/>
    <n v="-33.828906000000003"/>
    <n v="150.98166399999999"/>
  </r>
  <r>
    <s v="5634"/>
    <s v="The Crescent School"/>
    <s v="Goulburn"/>
    <s v="Goulburn Mulwaree"/>
    <s v="Capital Region"/>
    <x v="1"/>
    <x v="1"/>
    <s v="Regional South and Connected Communities"/>
    <x v="2"/>
    <x v="0"/>
    <s v="Coed"/>
    <n v="77"/>
    <n v="18"/>
    <s v="Published"/>
    <n v="13.86"/>
    <m/>
    <n v="911"/>
    <x v="2"/>
    <n v="158"/>
    <x v="2"/>
    <n v="-34.744593000000002"/>
    <n v="149.71054899999999"/>
  </r>
  <r>
    <s v="5637"/>
    <s v="Coreen School"/>
    <s v="Blacktown"/>
    <s v="Blacktown"/>
    <s v="Sydney - Blacktown"/>
    <x v="0"/>
    <x v="0"/>
    <s v="Metropolitan South and West"/>
    <x v="2"/>
    <x v="0"/>
    <s v="Coed"/>
    <n v="56"/>
    <n v="45"/>
    <s v="Published"/>
    <n v="25.2"/>
    <m/>
    <n v="845"/>
    <x v="1"/>
    <n v="208"/>
    <x v="2"/>
    <n v="-33.773150000000001"/>
    <n v="150.91103899999999"/>
  </r>
  <r>
    <s v="5642"/>
    <s v="Halinda School"/>
    <s v="Whalan"/>
    <s v="Blacktown"/>
    <s v="Sydney - Blacktown"/>
    <x v="0"/>
    <x v="0"/>
    <s v="Metropolitan North"/>
    <x v="2"/>
    <x v="0"/>
    <s v="Coed"/>
    <n v="114"/>
    <n v="17"/>
    <s v="Published"/>
    <n v="19.380000000000003"/>
    <n v="51"/>
    <n v="955"/>
    <x v="2"/>
    <n v="134"/>
    <x v="1"/>
    <n v="-33.75902"/>
    <n v="150.80706499999999"/>
  </r>
  <r>
    <s v="5643"/>
    <s v="Niland School"/>
    <s v="Blackett"/>
    <s v="Blacktown"/>
    <s v="Sydney - Blacktown"/>
    <x v="0"/>
    <x v="0"/>
    <s v="Metropolitan North"/>
    <x v="2"/>
    <x v="0"/>
    <s v="Coed"/>
    <n v="34"/>
    <n v="35"/>
    <s v="Published"/>
    <n v="11.899999999999999"/>
    <m/>
    <n v="801"/>
    <x v="1"/>
    <n v="209"/>
    <x v="2"/>
    <n v="-33.736790999999997"/>
    <n v="150.813357"/>
  </r>
  <r>
    <s v="5644"/>
    <s v="Para Meadows School"/>
    <s v="North Wollongong"/>
    <s v="Wollongong"/>
    <s v="Illawarra"/>
    <x v="0"/>
    <x v="0"/>
    <s v="Regional South and Connected Communities"/>
    <x v="2"/>
    <x v="0"/>
    <s v="Coed"/>
    <n v="113"/>
    <n v="19"/>
    <s v="Published"/>
    <n v="21.47"/>
    <n v="23"/>
    <n v="945"/>
    <x v="2"/>
    <n v="145"/>
    <x v="1"/>
    <n v="-34.411195999999997"/>
    <n v="150.88860500000001"/>
  </r>
  <r>
    <s v="5647"/>
    <s v="Bates Drive School"/>
    <s v="Kareela"/>
    <s v="Sutherland"/>
    <s v="Sydney - Sutherland"/>
    <x v="0"/>
    <x v="0"/>
    <s v="Metropolitan South and West"/>
    <x v="2"/>
    <x v="0"/>
    <s v="Coed"/>
    <n v="62"/>
    <m/>
    <s v="Suppressed"/>
    <s v=""/>
    <n v="37"/>
    <n v="1018"/>
    <x v="3"/>
    <n v="94"/>
    <x v="2"/>
    <n v="-34.022243000000003"/>
    <n v="151.08527000000001"/>
  </r>
  <r>
    <s v="5650"/>
    <s v="Palm Avenue School"/>
    <s v="Westmead"/>
    <s v="Parramatta"/>
    <s v="Sydney - Parramatta"/>
    <x v="0"/>
    <x v="0"/>
    <s v="Metropolitan South"/>
    <x v="2"/>
    <x v="0"/>
    <s v="Coed"/>
    <m/>
    <m/>
    <s v="Suppressed"/>
    <s v=""/>
    <m/>
    <m/>
    <x v="4"/>
    <m/>
    <x v="5"/>
    <n v="-33.802574960000001"/>
    <n v="150.98518580000001"/>
  </r>
  <r>
    <s v="5652"/>
    <s v="Caroline Chisholm School"/>
    <s v="Padstow"/>
    <s v="Canterbury-Bankstown"/>
    <s v="Sydney - Inner South West"/>
    <x v="0"/>
    <x v="0"/>
    <s v="Metropolitan South and West"/>
    <x v="2"/>
    <x v="0"/>
    <s v="Coed"/>
    <n v="104"/>
    <m/>
    <s v="Suppressed"/>
    <s v=""/>
    <n v="86"/>
    <n v="1004"/>
    <x v="3"/>
    <n v="109"/>
    <x v="1"/>
    <n v="-33.936107999999997"/>
    <n v="151.02520999999999"/>
  </r>
  <r>
    <s v="5653"/>
    <s v="Wewak Street School"/>
    <s v="North Albury"/>
    <s v="Albury"/>
    <s v="Murray"/>
    <x v="1"/>
    <x v="1"/>
    <s v="Rural South and West"/>
    <x v="2"/>
    <x v="0"/>
    <s v="Coed"/>
    <n v="67"/>
    <n v="19"/>
    <s v="Published"/>
    <n v="12.73"/>
    <n v="13"/>
    <n v="930"/>
    <x v="2"/>
    <n v="140"/>
    <x v="2"/>
    <n v="-36.058450999999998"/>
    <n v="146.929575"/>
  </r>
  <r>
    <s v="5654"/>
    <s v="Rivendell School"/>
    <s v="Concord West"/>
    <s v="Canada Bay"/>
    <s v="Sydney - Inner West"/>
    <x v="0"/>
    <x v="0"/>
    <s v="Metropolitan South"/>
    <x v="2"/>
    <x v="0"/>
    <s v="Coed"/>
    <n v="65"/>
    <m/>
    <s v="Suppressed"/>
    <s v=""/>
    <n v="36"/>
    <n v="1095"/>
    <x v="3"/>
    <n v="58"/>
    <x v="2"/>
    <n v="-33.832948000000002"/>
    <n v="151.09845000000001"/>
  </r>
  <r>
    <s v="5655"/>
    <s v="Clarke Road School"/>
    <s v="Hornsby"/>
    <s v="Hornsby"/>
    <s v="Sydney - North Sydney and Hornsby"/>
    <x v="0"/>
    <x v="0"/>
    <s v="Metropolitan North"/>
    <x v="2"/>
    <x v="0"/>
    <s v="Coed"/>
    <n v="61"/>
    <n v="0"/>
    <s v="Published"/>
    <n v="0"/>
    <n v="62"/>
    <n v="1063"/>
    <x v="3"/>
    <n v="47"/>
    <x v="2"/>
    <n v="-33.712071999999999"/>
    <n v="151.09564700000001"/>
  </r>
  <r>
    <s v="5656"/>
    <s v="Arranounbai School"/>
    <s v="Frenchs Forest"/>
    <s v="Northern Beaches"/>
    <s v="Sydney - Northern Beaches"/>
    <x v="0"/>
    <x v="0"/>
    <s v="Metropolitan North"/>
    <x v="2"/>
    <x v="0"/>
    <s v="Coed"/>
    <n v="34"/>
    <n v="0"/>
    <s v="Published"/>
    <n v="0"/>
    <n v="57"/>
    <n v="1073"/>
    <x v="3"/>
    <n v="52"/>
    <x v="2"/>
    <n v="-33.756784000000003"/>
    <n v="151.24129099999999"/>
  </r>
  <r>
    <s v="5666"/>
    <s v="Peterborough School"/>
    <s v="WARILLA"/>
    <s v="Shellharbour"/>
    <s v="Illawarra"/>
    <x v="0"/>
    <x v="0"/>
    <s v="Regional South and Connected Communities"/>
    <x v="2"/>
    <x v="0"/>
    <s v="Coed"/>
    <n v="115"/>
    <n v="16"/>
    <s v="Published"/>
    <n v="18.400000000000002"/>
    <n v="15"/>
    <n v="938"/>
    <x v="2"/>
    <n v="163"/>
    <x v="1"/>
    <n v="-34.555992000000003"/>
    <n v="150.854963"/>
  </r>
  <r>
    <s v="5667"/>
    <s v="Wooglemai Environmental Education Centre"/>
    <s v="Oakdale"/>
    <s v="Wollondilly"/>
    <s v="Sydney - Outer South West"/>
    <x v="1"/>
    <x v="1"/>
    <s v="Regional South and Connected Communities"/>
    <x v="6"/>
    <x v="0"/>
    <s v="Coed"/>
    <m/>
    <m/>
    <s v="Suppressed"/>
    <s v=""/>
    <m/>
    <m/>
    <x v="4"/>
    <m/>
    <x v="5"/>
    <n v="-34.134566999999997"/>
    <n v="150.49916200000001"/>
  </r>
  <r>
    <s v="5670"/>
    <s v="Karonga School"/>
    <s v="Epping"/>
    <s v="Parramatta"/>
    <s v="Sydney - Ryde"/>
    <x v="0"/>
    <x v="0"/>
    <s v="Metropolitan North"/>
    <x v="2"/>
    <x v="0"/>
    <s v="Coed"/>
    <n v="89"/>
    <n v="8"/>
    <s v="Published"/>
    <n v="7.12"/>
    <n v="71"/>
    <n v="1030"/>
    <x v="3"/>
    <n v="101"/>
    <x v="2"/>
    <n v="-33.770806"/>
    <n v="151.06064000000001"/>
  </r>
  <r>
    <s v="5674"/>
    <s v="Snowy Valleys School"/>
    <s v="Tumut"/>
    <s v="Snowy Valleys"/>
    <s v="Riverina"/>
    <x v="1"/>
    <x v="1"/>
    <s v="Rural South and West"/>
    <x v="2"/>
    <x v="0"/>
    <s v="Coed"/>
    <n v="30"/>
    <n v="33"/>
    <s v="Published"/>
    <n v="9.9"/>
    <n v="0"/>
    <n v="869"/>
    <x v="1"/>
    <n v="180"/>
    <x v="2"/>
    <n v="-35.303287259999998"/>
    <n v="148.2210355"/>
  </r>
  <r>
    <s v="5675"/>
    <s v="Sir Eric Woodward Memorial School"/>
    <s v="St Ives"/>
    <s v="Ku-ring-gai"/>
    <s v="Sydney - North Sydney and Hornsby"/>
    <x v="0"/>
    <x v="0"/>
    <s v="Metropolitan North"/>
    <x v="2"/>
    <x v="0"/>
    <s v="Coed"/>
    <n v="75"/>
    <n v="9"/>
    <s v="Published"/>
    <n v="6.75"/>
    <n v="40"/>
    <n v="983"/>
    <x v="2"/>
    <n v="129"/>
    <x v="2"/>
    <n v="-33.719579000000003"/>
    <n v="151.179755"/>
  </r>
  <r>
    <s v="5679"/>
    <s v="Bournda Environmental Education Centre"/>
    <s v="Kalaru"/>
    <s v="Bega Valley"/>
    <s v="Capital Region"/>
    <x v="2"/>
    <x v="2"/>
    <s v="Regional South and Connected Communities"/>
    <x v="6"/>
    <x v="0"/>
    <s v="Coed"/>
    <m/>
    <m/>
    <s v="Suppressed"/>
    <s v=""/>
    <m/>
    <m/>
    <x v="4"/>
    <m/>
    <x v="5"/>
    <n v="-36.790799999999997"/>
    <n v="149.92712"/>
  </r>
  <r>
    <s v="5680"/>
    <s v="Thalgarrah Environmental Education Centre"/>
    <s v="Armidale"/>
    <s v="Armidale"/>
    <s v="New England and North West"/>
    <x v="2"/>
    <x v="2"/>
    <s v="Rural North"/>
    <x v="6"/>
    <x v="0"/>
    <s v="Coed"/>
    <m/>
    <m/>
    <s v="Suppressed"/>
    <s v=""/>
    <m/>
    <m/>
    <x v="4"/>
    <m/>
    <x v="5"/>
    <n v="-30.447932999999999"/>
    <n v="151.82474999999999"/>
  </r>
  <r>
    <s v="5681"/>
    <s v="Wambangalang Environmental Education Centre"/>
    <s v="Dubbo"/>
    <s v="Dubbo"/>
    <s v="Far West and Orana"/>
    <x v="2"/>
    <x v="2"/>
    <s v="Regional North and West"/>
    <x v="6"/>
    <x v="0"/>
    <s v="Coed"/>
    <m/>
    <m/>
    <s v="Suppressed"/>
    <s v=""/>
    <m/>
    <m/>
    <x v="4"/>
    <m/>
    <x v="5"/>
    <n v="-32.48798"/>
    <n v="148.55479199999999"/>
  </r>
  <r>
    <s v="5683"/>
    <s v="Dorroughby Environmental Education Centre"/>
    <s v="Dorroughby"/>
    <s v="Lismore"/>
    <s v="Richmond - Tweed"/>
    <x v="1"/>
    <x v="1"/>
    <s v="Rural North"/>
    <x v="6"/>
    <x v="0"/>
    <s v="Coed"/>
    <m/>
    <m/>
    <s v="Suppressed"/>
    <s v=""/>
    <m/>
    <m/>
    <x v="4"/>
    <m/>
    <x v="5"/>
    <n v="-28.656555999999998"/>
    <n v="153.35174000000001"/>
  </r>
  <r>
    <s v="5684"/>
    <s v="Tangara School"/>
    <s v="Mittagong"/>
    <s v="Wingecarribee"/>
    <s v="Southern Highlands and Shoalhaven"/>
    <x v="1"/>
    <x v="1"/>
    <s v="Regional South and Connected Communities"/>
    <x v="2"/>
    <x v="0"/>
    <s v="Coed"/>
    <n v="48"/>
    <n v="19"/>
    <s v="Published"/>
    <n v="9.120000000000001"/>
    <m/>
    <n v="971"/>
    <x v="2"/>
    <n v="124"/>
    <x v="2"/>
    <n v="-34.451869000000002"/>
    <n v="150.469424"/>
  </r>
  <r>
    <s v="5685"/>
    <s v="G S Kidd Memorial School"/>
    <s v="Gunnedah"/>
    <s v="Gunnedah"/>
    <s v="New England and North West"/>
    <x v="2"/>
    <x v="2"/>
    <s v="Rural North"/>
    <x v="2"/>
    <x v="0"/>
    <s v="Coed"/>
    <n v="35"/>
    <n v="43"/>
    <s v="Published"/>
    <n v="15.049999999999999"/>
    <m/>
    <n v="881"/>
    <x v="1"/>
    <n v="148"/>
    <x v="2"/>
    <n v="-30.996116870000002"/>
    <n v="150.2386051"/>
  </r>
  <r>
    <s v="5686"/>
    <s v="Lakeside School"/>
    <s v="Gateshead"/>
    <s v="Lake Macquarie"/>
    <s v="Newcastle and Lake Macquarie"/>
    <x v="0"/>
    <x v="0"/>
    <s v="Regional North"/>
    <x v="2"/>
    <x v="0"/>
    <s v="Coed"/>
    <n v="58"/>
    <n v="22"/>
    <s v="Published"/>
    <n v="12.76"/>
    <m/>
    <n v="910"/>
    <x v="2"/>
    <n v="159"/>
    <x v="2"/>
    <n v="-32.97528552"/>
    <n v="151.6824283"/>
  </r>
  <r>
    <s v="5687"/>
    <s v="Hunter River Community School"/>
    <s v="METFORD"/>
    <s v="Maitland"/>
    <s v="Hunter Valley exc Newcastle"/>
    <x v="0"/>
    <x v="0"/>
    <s v="Regional North and West"/>
    <x v="2"/>
    <x v="0"/>
    <s v="Coed"/>
    <n v="70"/>
    <n v="11"/>
    <s v="Published"/>
    <n v="7.7"/>
    <n v="14"/>
    <n v="958"/>
    <x v="2"/>
    <n v="154"/>
    <x v="2"/>
    <n v="-32.765017999999998"/>
    <n v="151.61250699999999"/>
  </r>
  <r>
    <s v="5688"/>
    <s v="The Hills School"/>
    <s v="Northmead"/>
    <s v="Parramatta"/>
    <s v="Sydney - Parramatta"/>
    <x v="0"/>
    <x v="0"/>
    <s v="Metropolitan North"/>
    <x v="2"/>
    <x v="0"/>
    <s v="Coed"/>
    <n v="112"/>
    <m/>
    <s v="Suppressed"/>
    <s v=""/>
    <n v="71"/>
    <n v="1046"/>
    <x v="3"/>
    <n v="76"/>
    <x v="1"/>
    <n v="-33.779744999999998"/>
    <n v="151.003951"/>
  </r>
  <r>
    <s v="5689"/>
    <s v="Wilson Park School"/>
    <s v="EAST LISMORE"/>
    <s v="Lismore"/>
    <s v="Richmond - Tweed"/>
    <x v="1"/>
    <x v="1"/>
    <s v="Rural North"/>
    <x v="2"/>
    <x v="0"/>
    <s v="Coed"/>
    <n v="83"/>
    <n v="34"/>
    <s v="Published"/>
    <n v="28.220000000000002"/>
    <m/>
    <n v="902"/>
    <x v="2"/>
    <n v="148"/>
    <x v="2"/>
    <n v="-28.831923"/>
    <n v="153.29331300000001"/>
  </r>
  <r>
    <s v="5690"/>
    <s v="Longneck Lagoon Environmental Education Centre"/>
    <s v="Maraylya"/>
    <s v="Hawkesbury"/>
    <s v="Sydney - Baulkham Hills and Hawkesbury"/>
    <x v="1"/>
    <x v="1"/>
    <s v="Regional North"/>
    <x v="6"/>
    <x v="0"/>
    <s v="Coed"/>
    <m/>
    <m/>
    <s v="Suppressed"/>
    <s v=""/>
    <m/>
    <m/>
    <x v="4"/>
    <m/>
    <x v="5"/>
    <n v="-33.576219000000002"/>
    <n v="150.89280600000001"/>
  </r>
  <r>
    <s v="5691"/>
    <s v="Royal National Park Environmental Education Centre"/>
    <s v="ROYAL NATIONAL PARK"/>
    <s v="Sutherland"/>
    <s v="Sydney - Sutherland"/>
    <x v="1"/>
    <x v="1"/>
    <s v="Metropolitan South and West"/>
    <x v="6"/>
    <x v="0"/>
    <s v="Coed"/>
    <m/>
    <m/>
    <s v="Suppressed"/>
    <s v=""/>
    <m/>
    <m/>
    <x v="4"/>
    <m/>
    <x v="5"/>
    <n v="-34.062820000000002"/>
    <n v="151.057682"/>
  </r>
  <r>
    <s v="5694"/>
    <s v="Brewongle Environmental Education Centre"/>
    <s v="SACKVILLE NORTH"/>
    <s v="The Hills"/>
    <s v="Sydney - Baulkham Hills and Hawkesbury"/>
    <x v="1"/>
    <x v="1"/>
    <s v="Regional North"/>
    <x v="6"/>
    <x v="0"/>
    <s v="Coed"/>
    <m/>
    <m/>
    <s v="Suppressed"/>
    <s v=""/>
    <m/>
    <m/>
    <x v="4"/>
    <m/>
    <x v="5"/>
    <n v="-33.481670000000001"/>
    <n v="150.89151100000001"/>
  </r>
  <r>
    <s v="5696"/>
    <s v="Sandon Public School"/>
    <s v="Armidale"/>
    <s v="Armidale"/>
    <s v="New England and North West"/>
    <x v="1"/>
    <x v="1"/>
    <s v="Rural North"/>
    <x v="0"/>
    <x v="0"/>
    <s v="Coed"/>
    <n v="179"/>
    <n v="33"/>
    <s v="Published"/>
    <n v="59.07"/>
    <n v="25"/>
    <n v="923"/>
    <x v="2"/>
    <n v="112"/>
    <x v="1"/>
    <n v="-30.497063000000001"/>
    <n v="151.65599"/>
  </r>
  <r>
    <s v="5698"/>
    <s v="Havenlee School"/>
    <s v="NORTH NOWRA"/>
    <s v="Shoalhaven"/>
    <s v="Southern Highlands and Shoalhaven"/>
    <x v="1"/>
    <x v="1"/>
    <s v="Regional South and Connected Communities"/>
    <x v="2"/>
    <x v="0"/>
    <s v="Coed"/>
    <n v="67"/>
    <n v="48"/>
    <s v="Published"/>
    <n v="32.159999999999997"/>
    <m/>
    <n v="849"/>
    <x v="1"/>
    <n v="180"/>
    <x v="2"/>
    <n v="-34.855204000000001"/>
    <n v="150.576325"/>
  </r>
  <r>
    <s v="5699"/>
    <s v="Kalinda School"/>
    <s v="Griffith"/>
    <s v="Griffith"/>
    <s v="Riverina"/>
    <x v="2"/>
    <x v="2"/>
    <s v="Rural South and West"/>
    <x v="2"/>
    <x v="0"/>
    <s v="Coed"/>
    <n v="38"/>
    <n v="39"/>
    <s v="Published"/>
    <n v="14.82"/>
    <n v="59"/>
    <n v="835"/>
    <x v="1"/>
    <n v="188"/>
    <x v="2"/>
    <n v="-34.293126000000001"/>
    <n v="146.03536600000001"/>
  </r>
  <r>
    <s v="5701"/>
    <s v="Newcastle Middle School"/>
    <s v="Waratah"/>
    <s v="Newcastle"/>
    <s v="Newcastle and Lake Macquarie"/>
    <x v="0"/>
    <x v="0"/>
    <s v="Regional North"/>
    <x v="2"/>
    <x v="0"/>
    <s v="Coed"/>
    <n v="45"/>
    <m/>
    <s v="Suppressed"/>
    <s v=""/>
    <n v="20"/>
    <n v="967"/>
    <x v="2"/>
    <n v="123"/>
    <x v="2"/>
    <n v="-32.90943"/>
    <n v="151.72035099999999"/>
  </r>
  <r>
    <s v="5703"/>
    <s v="Carinya School"/>
    <s v="Mortdale"/>
    <s v="Georges River"/>
    <s v="Sydney - Inner South West"/>
    <x v="0"/>
    <x v="0"/>
    <s v="Metropolitan South"/>
    <x v="2"/>
    <x v="0"/>
    <s v="Coed"/>
    <n v="55"/>
    <n v="13"/>
    <s v="Published"/>
    <n v="7.15"/>
    <n v="30"/>
    <n v="975"/>
    <x v="2"/>
    <n v="115"/>
    <x v="2"/>
    <n v="-33.973765999999998"/>
    <n v="151.082222"/>
  </r>
  <r>
    <s v="5704"/>
    <s v="Newcastle Junior School"/>
    <s v="Hillsborough"/>
    <s v="Lake Macquarie"/>
    <s v="Newcastle and Lake Macquarie"/>
    <x v="0"/>
    <x v="0"/>
    <s v="Regional North"/>
    <x v="2"/>
    <x v="0"/>
    <s v="Coed"/>
    <n v="63"/>
    <n v="22"/>
    <s v="Published"/>
    <n v="13.86"/>
    <n v="26"/>
    <n v="940"/>
    <x v="2"/>
    <n v="143"/>
    <x v="2"/>
    <n v="-32.958849999999998"/>
    <n v="151.68021100000001"/>
  </r>
  <r>
    <s v="5711"/>
    <s v="Shepherds Park School"/>
    <s v="Wagga Wagga"/>
    <s v="Wagga Wagga"/>
    <s v="Riverina"/>
    <x v="1"/>
    <x v="1"/>
    <s v="Rural South and West"/>
    <x v="2"/>
    <x v="0"/>
    <s v="Boys"/>
    <n v="17"/>
    <n v="41"/>
    <s v="Published"/>
    <n v="6.97"/>
    <n v="46"/>
    <n v="870"/>
    <x v="1"/>
    <n v="201"/>
    <x v="2"/>
    <n v="-35.130108"/>
    <n v="147.34422499999999"/>
  </r>
  <r>
    <s v="5712"/>
    <s v="Les Powell School"/>
    <s v="Mount Pritchard"/>
    <s v="Fairfield"/>
    <s v="Sydney - South West"/>
    <x v="0"/>
    <x v="0"/>
    <s v="Metropolitan South and West"/>
    <x v="2"/>
    <x v="0"/>
    <s v="Coed"/>
    <n v="76"/>
    <m/>
    <s v="Suppressed"/>
    <s v=""/>
    <n v="92"/>
    <n v="956"/>
    <x v="2"/>
    <n v="157"/>
    <x v="2"/>
    <n v="-33.904339999999998"/>
    <n v="150.91237000000001"/>
  </r>
  <r>
    <s v="5713"/>
    <s v="Lucas Gardens School"/>
    <s v="Canada Bay"/>
    <s v="Canada Bay"/>
    <s v="Sydney - Inner West"/>
    <x v="0"/>
    <x v="0"/>
    <s v="Metropolitan South"/>
    <x v="2"/>
    <x v="0"/>
    <s v="Coed"/>
    <n v="78"/>
    <m/>
    <s v="Suppressed"/>
    <s v=""/>
    <n v="71"/>
    <n v="1057"/>
    <x v="3"/>
    <n v="77"/>
    <x v="2"/>
    <n v="-33.868437999999998"/>
    <n v="151.11366599999999"/>
  </r>
  <r>
    <s v="5714"/>
    <s v="Gibberagong Environmental Education Centre"/>
    <s v="North Turramurra"/>
    <s v="Hornsby"/>
    <s v="Sydney - North Sydney and Hornsby"/>
    <x v="0"/>
    <x v="0"/>
    <s v="Regional North"/>
    <x v="6"/>
    <x v="0"/>
    <s v="Coed"/>
    <m/>
    <m/>
    <s v="Suppressed"/>
    <s v=""/>
    <m/>
    <m/>
    <x v="4"/>
    <m/>
    <x v="5"/>
    <n v="-33.65937821"/>
    <n v="151.15860040000001"/>
  </r>
  <r>
    <s v="5721"/>
    <s v="Mary Brooksbank School"/>
    <s v="Rosemeadow"/>
    <s v="Campbelltown (NSW)"/>
    <s v="Sydney - Outer South West"/>
    <x v="0"/>
    <x v="0"/>
    <s v="Regional South and Connected Communities"/>
    <x v="2"/>
    <x v="0"/>
    <s v="Coed"/>
    <n v="123"/>
    <n v="11"/>
    <s v="Published"/>
    <n v="13.53"/>
    <n v="65"/>
    <n v="1000"/>
    <x v="3"/>
    <n v="105"/>
    <x v="1"/>
    <n v="-34.097819999999999"/>
    <n v="150.792742"/>
  </r>
  <r>
    <s v="5723"/>
    <s v="Five Islands School"/>
    <s v="BOORAGUL"/>
    <s v="Lake Macquarie"/>
    <s v="Newcastle and Lake Macquarie"/>
    <x v="0"/>
    <x v="0"/>
    <s v="Regional North"/>
    <x v="2"/>
    <x v="0"/>
    <s v="Coed"/>
    <n v="51"/>
    <n v="24"/>
    <s v="Published"/>
    <n v="12.24"/>
    <m/>
    <n v="890"/>
    <x v="1"/>
    <n v="195"/>
    <x v="2"/>
    <n v="-32.974054000000002"/>
    <n v="151.611684"/>
  </r>
  <r>
    <s v="5730"/>
    <s v="Gralee School"/>
    <s v="Leeton"/>
    <s v="Leeton"/>
    <s v="Riverina"/>
    <x v="2"/>
    <x v="2"/>
    <s v="Rural South and West"/>
    <x v="2"/>
    <x v="0"/>
    <s v="Coed"/>
    <n v="28"/>
    <n v="36"/>
    <s v="Published"/>
    <n v="10.08"/>
    <n v="21"/>
    <n v="874"/>
    <x v="1"/>
    <n v="174"/>
    <x v="2"/>
    <n v="-34.563496999999998"/>
    <n v="146.412229"/>
  </r>
  <r>
    <s v="5731"/>
    <s v="Cascade Environmental Education Centre"/>
    <s v="Cascade"/>
    <s v="Bellingen"/>
    <s v="Coffs Harbour - Grafton"/>
    <x v="2"/>
    <x v="2"/>
    <s v="Regional North and West"/>
    <x v="6"/>
    <x v="0"/>
    <s v="Coed"/>
    <m/>
    <m/>
    <s v="Suppressed"/>
    <s v=""/>
    <m/>
    <m/>
    <x v="4"/>
    <m/>
    <x v="5"/>
    <n v="-30.233457000000001"/>
    <n v="152.78966500000001"/>
  </r>
  <r>
    <s v="5732"/>
    <s v="Warrumbungle National Park Environmental Education Centre"/>
    <s v="Coonabarabran"/>
    <s v="Coonamble"/>
    <s v="Far West and Orana"/>
    <x v="2"/>
    <x v="2"/>
    <s v="Rural North"/>
    <x v="6"/>
    <x v="0"/>
    <s v="Coed"/>
    <m/>
    <m/>
    <s v="Suppressed"/>
    <s v=""/>
    <m/>
    <m/>
    <x v="4"/>
    <m/>
    <x v="5"/>
    <n v="-31.25459"/>
    <n v="148.981077"/>
  </r>
  <r>
    <s v="5734"/>
    <s v="Riverina Environmental Education Centre"/>
    <s v="Wagga Wagga"/>
    <s v="Wagga Wagga"/>
    <s v="Riverina"/>
    <x v="1"/>
    <x v="1"/>
    <s v="Rural South and West"/>
    <x v="6"/>
    <x v="0"/>
    <s v="Coed"/>
    <m/>
    <m/>
    <s v="Suppressed"/>
    <s v=""/>
    <m/>
    <m/>
    <x v="4"/>
    <m/>
    <x v="5"/>
    <n v="-35.129748370000002"/>
    <n v="147.3093131"/>
  </r>
  <r>
    <s v="5735"/>
    <s v="Campbell House School"/>
    <s v="Glenfield"/>
    <s v="Campbelltown (NSW)"/>
    <s v="Sydney - Outer South West"/>
    <x v="0"/>
    <x v="0"/>
    <s v="Metropolitan South and West"/>
    <x v="2"/>
    <x v="0"/>
    <s v="Coed"/>
    <n v="60"/>
    <n v="32"/>
    <s v="Published"/>
    <n v="19.2"/>
    <n v="27"/>
    <n v="890"/>
    <x v="1"/>
    <n v="181"/>
    <x v="2"/>
    <n v="-33.968195999999999"/>
    <n v="150.88200900000001"/>
  </r>
  <r>
    <s v="5736"/>
    <s v="Holman Place School"/>
    <s v="Cowra"/>
    <s v="Cowra"/>
    <s v="Central West"/>
    <x v="1"/>
    <x v="1"/>
    <s v="Rural South and West"/>
    <x v="2"/>
    <x v="0"/>
    <s v="Coed"/>
    <n v="30"/>
    <n v="33"/>
    <s v="Published"/>
    <n v="9.9"/>
    <n v="0"/>
    <n v="822"/>
    <x v="1"/>
    <n v="170"/>
    <x v="2"/>
    <n v="-33.824252999999999"/>
    <n v="148.69401300000001"/>
  </r>
  <r>
    <s v="5737"/>
    <s v="Edgeware School"/>
    <s v="Hurlstone Park"/>
    <s v="Canterbury-Bankstown"/>
    <s v="Sydney - Inner West"/>
    <x v="0"/>
    <x v="0"/>
    <s v="Metropolitan South"/>
    <x v="2"/>
    <x v="0"/>
    <s v="Coed"/>
    <n v="31"/>
    <n v="19"/>
    <s v="Published"/>
    <n v="5.89"/>
    <n v="45"/>
    <n v="851"/>
    <x v="1"/>
    <n v="179"/>
    <x v="2"/>
    <n v="-33.913581999999998"/>
    <n v="151.13134199999999"/>
  </r>
  <r>
    <s v="5738"/>
    <s v="Kotara School"/>
    <s v="Kotara"/>
    <s v="Newcastle"/>
    <s v="Newcastle and Lake Macquarie"/>
    <x v="0"/>
    <x v="0"/>
    <s v="Regional North"/>
    <x v="2"/>
    <x v="0"/>
    <s v="Coed"/>
    <n v="25"/>
    <n v="28"/>
    <s v="Published"/>
    <n v="7.0000000000000009"/>
    <m/>
    <n v="816"/>
    <x v="1"/>
    <n v="146"/>
    <x v="2"/>
    <n v="-32.942830000000001"/>
    <n v="151.700379"/>
  </r>
  <r>
    <s v="5740"/>
    <s v="Rumbalara Environmental Education Centre"/>
    <s v="Gosford"/>
    <s v="Central Coast (NSW)"/>
    <s v="Central Coast"/>
    <x v="0"/>
    <x v="0"/>
    <s v="Regional North"/>
    <x v="6"/>
    <x v="0"/>
    <s v="Coed"/>
    <m/>
    <m/>
    <s v="Suppressed"/>
    <s v=""/>
    <m/>
    <m/>
    <x v="4"/>
    <m/>
    <x v="5"/>
    <n v="-33.428082000000003"/>
    <n v="151.347464"/>
  </r>
  <r>
    <s v="5741"/>
    <s v="Kamay Botany Bay Environmental Education Centre"/>
    <s v="Kurnell"/>
    <s v="Sutherland"/>
    <s v="Sydney - Sutherland"/>
    <x v="0"/>
    <x v="0"/>
    <s v="Metropolitan South and West"/>
    <x v="6"/>
    <x v="0"/>
    <s v="Coed"/>
    <m/>
    <m/>
    <s v="Suppressed"/>
    <s v=""/>
    <m/>
    <m/>
    <x v="4"/>
    <m/>
    <x v="5"/>
    <n v="-34.003706000000001"/>
    <n v="151.221169"/>
  </r>
  <r>
    <s v="5743"/>
    <s v="Illawarra Environmental Education Centre"/>
    <s v="Dunmore"/>
    <s v="Shellharbour"/>
    <s v="Illawarra"/>
    <x v="0"/>
    <x v="0"/>
    <s v="Regional South and Connected Communities"/>
    <x v="6"/>
    <x v="0"/>
    <s v="Coed"/>
    <m/>
    <m/>
    <s v="Suppressed"/>
    <s v=""/>
    <m/>
    <m/>
    <x v="4"/>
    <m/>
    <x v="5"/>
    <n v="-34.610624999999999"/>
    <n v="150.85478599999999"/>
  </r>
  <r>
    <s v="5744"/>
    <s v="Kandeer School"/>
    <s v="NORTH ALBURY"/>
    <s v="Albury"/>
    <s v="Murray"/>
    <x v="1"/>
    <x v="1"/>
    <s v="Rural South and West"/>
    <x v="2"/>
    <x v="0"/>
    <s v="Coed"/>
    <n v="18"/>
    <n v="50"/>
    <s v="Published"/>
    <n v="9"/>
    <m/>
    <n v="811"/>
    <x v="1"/>
    <n v="196"/>
    <x v="2"/>
    <n v="-36.062277999999999"/>
    <n v="146.92794900000001"/>
  </r>
  <r>
    <s v="5745"/>
    <s v="Observatory Hill Environmental Education Centre"/>
    <s v="THE ROCKS"/>
    <s v="Sydney"/>
    <s v="Sydney - City and Inner South"/>
    <x v="0"/>
    <x v="0"/>
    <s v="Metropolitan South"/>
    <x v="6"/>
    <x v="0"/>
    <s v="Coed"/>
    <m/>
    <m/>
    <s v="Suppressed"/>
    <s v=""/>
    <m/>
    <m/>
    <x v="4"/>
    <m/>
    <x v="5"/>
    <n v="-33.860863000000002"/>
    <n v="151.20483200000001"/>
  </r>
  <r>
    <s v="5748"/>
    <s v="Ajuga School"/>
    <s v="Glenfield"/>
    <s v="Campbelltown (NSW)"/>
    <s v="Sydney - Outer South West"/>
    <x v="0"/>
    <x v="0"/>
    <s v="Metropolitan South and West"/>
    <x v="2"/>
    <x v="0"/>
    <s v="Coed"/>
    <n v="53"/>
    <n v="30"/>
    <s v="Published"/>
    <n v="15.899999999999999"/>
    <m/>
    <n v="900"/>
    <x v="2"/>
    <n v="154"/>
    <x v="2"/>
    <n v="-33.969521"/>
    <n v="150.87803299999999"/>
  </r>
  <r>
    <s v="5749"/>
    <s v="Budawang School"/>
    <s v="Milton"/>
    <s v="Shoalhaven"/>
    <s v="Southern Highlands and Shoalhaven"/>
    <x v="1"/>
    <x v="1"/>
    <s v="Regional South and Connected Communities"/>
    <x v="2"/>
    <x v="0"/>
    <s v="Coed"/>
    <n v="44"/>
    <n v="30"/>
    <s v="Published"/>
    <n v="13.2"/>
    <m/>
    <n v="909"/>
    <x v="2"/>
    <n v="152"/>
    <x v="2"/>
    <n v="-35.322301000000003"/>
    <n v="150.442182"/>
  </r>
  <r>
    <s v="5750"/>
    <s v="Red Hill Environmental Education Centre"/>
    <s v="Gulgong"/>
    <s v="Mid-Western"/>
    <s v="Central West"/>
    <x v="2"/>
    <x v="2"/>
    <s v="Regional North and West"/>
    <x v="6"/>
    <x v="0"/>
    <s v="Coed"/>
    <m/>
    <m/>
    <s v="Suppressed"/>
    <s v=""/>
    <m/>
    <m/>
    <x v="4"/>
    <m/>
    <x v="5"/>
    <n v="-32.364632"/>
    <n v="149.53627399999999"/>
  </r>
  <r>
    <s v="5751"/>
    <s v="The Childrens Hospital School"/>
    <s v="Westmead"/>
    <s v="Parramatta"/>
    <s v="Sydney - Parramatta"/>
    <x v="0"/>
    <x v="0"/>
    <s v="Metropolitan South"/>
    <x v="2"/>
    <x v="0"/>
    <s v="Coed"/>
    <m/>
    <m/>
    <s v="Suppressed"/>
    <s v=""/>
    <m/>
    <m/>
    <x v="4"/>
    <n v="100"/>
    <x v="5"/>
    <n v="-33.802242999999997"/>
    <n v="150.99183400000001"/>
  </r>
  <r>
    <s v="5752"/>
    <s v="Penrith Lakes Environmental Education Centre"/>
    <s v="Cranebrook"/>
    <s v="Penrith"/>
    <s v="Sydney - Outer West and Blue Mountains"/>
    <x v="0"/>
    <x v="0"/>
    <s v="Metropolitan North"/>
    <x v="6"/>
    <x v="0"/>
    <s v="Coed"/>
    <m/>
    <m/>
    <s v="Suppressed"/>
    <s v=""/>
    <m/>
    <m/>
    <x v="4"/>
    <m/>
    <x v="5"/>
    <n v="-33.728552999999998"/>
    <n v="150.686511"/>
  </r>
  <r>
    <s v="5753"/>
    <s v="Lomandra School"/>
    <s v="Campbelltown"/>
    <s v="Campbelltown (NSW)"/>
    <s v="Sydney - Outer South West"/>
    <x v="0"/>
    <x v="0"/>
    <s v="Regional South and Connected Communities"/>
    <x v="2"/>
    <x v="0"/>
    <s v="Coed"/>
    <n v="75"/>
    <n v="37"/>
    <s v="Published"/>
    <n v="27.75"/>
    <n v="0"/>
    <n v="864"/>
    <x v="1"/>
    <n v="193"/>
    <x v="2"/>
    <n v="-34.061729999999997"/>
    <n v="150.824344"/>
  </r>
  <r>
    <s v="5754"/>
    <s v="Plumpton House School"/>
    <s v="Plumpton"/>
    <s v="Blacktown"/>
    <s v="Sydney - Blacktown"/>
    <x v="0"/>
    <x v="0"/>
    <s v="Metropolitan South and West"/>
    <x v="2"/>
    <x v="0"/>
    <s v="Coed"/>
    <n v="30"/>
    <n v="60"/>
    <s v="Published"/>
    <n v="18"/>
    <m/>
    <n v="827"/>
    <x v="1"/>
    <n v="201"/>
    <x v="2"/>
    <n v="-33.75029"/>
    <n v="150.840732"/>
  </r>
  <r>
    <s v="5755"/>
    <s v="HopeTown School"/>
    <s v="Wyong"/>
    <s v="Central Coast (NSW)"/>
    <s v="Central Coast"/>
    <x v="0"/>
    <x v="0"/>
    <s v="Regional North"/>
    <x v="2"/>
    <x v="0"/>
    <s v="Coed"/>
    <n v="43"/>
    <n v="35"/>
    <s v="Published"/>
    <n v="15.049999999999999"/>
    <m/>
    <n v="797"/>
    <x v="1"/>
    <n v="197"/>
    <x v="2"/>
    <n v="-33.280982000000002"/>
    <n v="151.44858500000001"/>
  </r>
  <r>
    <s v="5756"/>
    <s v="Induna School"/>
    <s v="South Grafton"/>
    <s v="Clarence Valley"/>
    <s v="Coffs Harbour - Grafton"/>
    <x v="1"/>
    <x v="1"/>
    <s v="Rural North"/>
    <x v="2"/>
    <x v="0"/>
    <s v="Coed"/>
    <n v="26"/>
    <n v="81"/>
    <s v="Published"/>
    <n v="21.060000000000002"/>
    <m/>
    <n v="754"/>
    <x v="1"/>
    <n v="247"/>
    <x v="2"/>
    <n v="-29.729399999999998"/>
    <n v="152.94739999999999"/>
  </r>
  <r>
    <s v="5757"/>
    <s v="Lincoln School"/>
    <s v="Dubbo"/>
    <s v="Dubbo"/>
    <s v="Far West and Orana"/>
    <x v="1"/>
    <x v="1"/>
    <s v="Regional North and West"/>
    <x v="2"/>
    <x v="0"/>
    <s v="Coed"/>
    <n v="14"/>
    <n v="100"/>
    <s v="Published"/>
    <n v="14"/>
    <n v="0"/>
    <n v="695"/>
    <x v="1"/>
    <n v="243"/>
    <x v="2"/>
    <n v="-32.231299999999997"/>
    <n v="148.57839999999999"/>
  </r>
  <r>
    <s v="5758"/>
    <s v="The Bidgee School"/>
    <s v="Wagga Wagga"/>
    <s v="Wagga Wagga"/>
    <s v="Riverina"/>
    <x v="1"/>
    <x v="1"/>
    <s v="Rural South and West"/>
    <x v="2"/>
    <x v="0"/>
    <s v="Coed"/>
    <n v="48"/>
    <n v="29"/>
    <s v="Published"/>
    <n v="13.919999999999998"/>
    <n v="0"/>
    <n v="896"/>
    <x v="1"/>
    <n v="177"/>
    <x v="2"/>
    <n v="-35.124586999999998"/>
    <n v="147.36417299999999"/>
  </r>
  <r>
    <s v="5759"/>
    <s v="Canterbury Vale School"/>
    <s v="Lakemba"/>
    <s v="Canterbury-Bankstown"/>
    <s v="Sydney - Inner South West"/>
    <x v="0"/>
    <x v="0"/>
    <s v="Metropolitan South"/>
    <x v="2"/>
    <x v="0"/>
    <s v="Coed"/>
    <n v="36"/>
    <m/>
    <s v="Suppressed"/>
    <s v=""/>
    <m/>
    <n v="921"/>
    <x v="2"/>
    <n v="154"/>
    <x v="2"/>
    <n v="-33.915685000000003"/>
    <n v="151.07451399999999"/>
  </r>
  <r>
    <s v="5760"/>
    <s v="North Gosford Learning Centre"/>
    <s v="North Gosford"/>
    <s v="Central Coast (NSW)"/>
    <s v="Central Coast"/>
    <x v="0"/>
    <x v="0"/>
    <s v="Regional North"/>
    <x v="2"/>
    <x v="0"/>
    <s v="Coed"/>
    <n v="38"/>
    <n v="18"/>
    <s v="Published"/>
    <n v="6.84"/>
    <n v="0"/>
    <n v="905"/>
    <x v="2"/>
    <n v="180"/>
    <x v="2"/>
    <n v="-33.416874"/>
    <n v="151.35037"/>
  </r>
  <r>
    <s v="5761"/>
    <s v="Penrith Valley School"/>
    <s v="Werrington"/>
    <s v="Penrith"/>
    <s v="Sydney - Outer West and Blue Mountains"/>
    <x v="0"/>
    <x v="0"/>
    <s v="Metropolitan North"/>
    <x v="2"/>
    <x v="0"/>
    <s v="Coed"/>
    <n v="39"/>
    <n v="41"/>
    <s v="Published"/>
    <n v="15.989999999999998"/>
    <n v="0"/>
    <n v="873"/>
    <x v="1"/>
    <n v="201"/>
    <x v="2"/>
    <n v="-33.766553999999999"/>
    <n v="150.75876099999999"/>
  </r>
  <r>
    <s v="5762"/>
    <s v="Barwon Learning Centre"/>
    <s v="Moree"/>
    <s v="Moree Plains"/>
    <s v="New England and North West"/>
    <x v="2"/>
    <x v="2"/>
    <s v="Rural North"/>
    <x v="2"/>
    <x v="0"/>
    <s v="Coed"/>
    <n v="7"/>
    <n v="100"/>
    <s v="Published"/>
    <n v="7"/>
    <m/>
    <m/>
    <x v="4"/>
    <n v="277"/>
    <x v="2"/>
    <n v="-29.482102999999999"/>
    <n v="149.84222299999999"/>
  </r>
  <r>
    <s v="5763"/>
    <s v="Coffs Harbour Learning Centre"/>
    <s v="BOAMBEE EAST"/>
    <s v="Coffs Harbour"/>
    <s v="Coffs Harbour - Grafton"/>
    <x v="1"/>
    <x v="1"/>
    <s v="Regional North and West"/>
    <x v="2"/>
    <x v="0"/>
    <s v="Coed"/>
    <n v="23"/>
    <n v="39"/>
    <s v="Published"/>
    <n v="8.9700000000000006"/>
    <n v="0"/>
    <n v="841"/>
    <x v="1"/>
    <n v="178"/>
    <x v="2"/>
    <n v="-30.347587999999998"/>
    <n v="153.07179400000001"/>
  </r>
  <r>
    <s v="5764"/>
    <s v="Woodberry Learning Centre"/>
    <s v="Woodberry"/>
    <s v="Maitland"/>
    <s v="Newcastle and Lake Macquarie"/>
    <x v="0"/>
    <x v="0"/>
    <s v="Regional North and West"/>
    <x v="2"/>
    <x v="0"/>
    <s v="Coed"/>
    <n v="26"/>
    <n v="50"/>
    <s v="Published"/>
    <n v="13"/>
    <m/>
    <n v="844"/>
    <x v="1"/>
    <n v="184"/>
    <x v="2"/>
    <n v="-32.791553999999998"/>
    <n v="151.67121700000001"/>
  </r>
  <r>
    <s v="5765"/>
    <s v="The Ponds School"/>
    <s v="The Ponds"/>
    <s v="Blacktown"/>
    <s v="Sydney - Blacktown"/>
    <x v="0"/>
    <x v="0"/>
    <s v="Metropolitan North"/>
    <x v="2"/>
    <x v="0"/>
    <s v="Coed"/>
    <n v="120"/>
    <n v="6"/>
    <s v="Published"/>
    <n v="7.1999999999999993"/>
    <n v="60"/>
    <n v="1038"/>
    <x v="3"/>
    <n v="78"/>
    <x v="1"/>
    <n v="-33.698"/>
    <n v="150.91160099999999"/>
  </r>
  <r>
    <s v="5766"/>
    <s v="Yandelora School"/>
    <s v="Narellan"/>
    <s v="Camden"/>
    <s v="Sydney - Outer South West"/>
    <x v="0"/>
    <x v="0"/>
    <s v="Regional South and Connected Communities"/>
    <x v="2"/>
    <x v="0"/>
    <s v="Coed"/>
    <n v="118"/>
    <n v="5"/>
    <s v="Published"/>
    <n v="5.9"/>
    <n v="37"/>
    <n v="1017"/>
    <x v="3"/>
    <n v="98"/>
    <x v="1"/>
    <n v="-34.043062140000004"/>
    <n v="150.732244025"/>
  </r>
  <r>
    <s v="5767"/>
    <s v="George Bass School"/>
    <s v="BASS HILL"/>
    <s v="Canterbury-Bankstown"/>
    <s v="Sydney - Inner South West"/>
    <x v="0"/>
    <x v="0"/>
    <s v="Metropolitan South and West"/>
    <x v="2"/>
    <x v="0"/>
    <s v="Coed"/>
    <n v="102"/>
    <m/>
    <s v="Suppressed"/>
    <s v=""/>
    <n v="83"/>
    <n v="979"/>
    <x v="2"/>
    <n v="137"/>
    <x v="1"/>
    <n v="-33.89794534"/>
    <n v="150.988237"/>
  </r>
  <r>
    <s v="5768"/>
    <s v="Fernhill School"/>
    <s v="GLENMORE PARK"/>
    <s v="Penrith"/>
    <s v="Sydney - Outer West and Blue Mountains"/>
    <x v="0"/>
    <x v="0"/>
    <s v="Metropolitan South and West"/>
    <x v="2"/>
    <x v="0"/>
    <s v="Coed"/>
    <n v="129"/>
    <n v="14"/>
    <s v="Published"/>
    <n v="18.060000000000002"/>
    <n v="36"/>
    <n v="956"/>
    <x v="2"/>
    <n v="131"/>
    <x v="1"/>
    <n v="-33.796286238"/>
    <n v="150.67695584200001"/>
  </r>
  <r>
    <s v="5769"/>
    <s v="Yawarra Community School"/>
    <s v="Dubbo"/>
    <s v="Dubbo"/>
    <s v="Far West and Orana"/>
    <x v="1"/>
    <x v="1"/>
    <s v="Regional North and West"/>
    <x v="2"/>
    <x v="0"/>
    <s v="Coed"/>
    <n v="50"/>
    <n v="56"/>
    <s v="Published"/>
    <n v="28.000000000000004"/>
    <n v="19"/>
    <n v="867"/>
    <x v="1"/>
    <n v="164"/>
    <x v="2"/>
    <n v="-32.249690000000001"/>
    <n v="148.58362"/>
  </r>
  <r>
    <s v="5770"/>
    <s v="Tirriwirri School"/>
    <s v="Karabar"/>
    <s v="Queanbeyan-Palerang"/>
    <s v="Capital Region"/>
    <x v="0"/>
    <x v="0"/>
    <s v="Rural South and West"/>
    <x v="2"/>
    <x v="0"/>
    <s v="Coed"/>
    <n v="34"/>
    <n v="21"/>
    <s v="Published"/>
    <n v="7.14"/>
    <n v="38"/>
    <n v="944"/>
    <x v="2"/>
    <n v="147"/>
    <x v="2"/>
    <n v="-35.366160999999998"/>
    <n v="149.22654499999999"/>
  </r>
  <r>
    <s v="5771"/>
    <s v="South Creek School"/>
    <s v="RIVERSTONE"/>
    <s v="Blacktown"/>
    <s v="Sydney - Blacktown"/>
    <x v="0"/>
    <x v="0"/>
    <s v="Metropolitan North"/>
    <x v="2"/>
    <x v="0"/>
    <s v="Coed"/>
    <n v="82"/>
    <n v="9"/>
    <s v="Published"/>
    <n v="7.38"/>
    <n v="62"/>
    <n v="982"/>
    <x v="2"/>
    <n v="110"/>
    <x v="2"/>
    <n v="-33.677947500000002"/>
    <n v="150.87563929999999"/>
  </r>
  <r>
    <s v="7301"/>
    <s v="Canowindra Public School"/>
    <s v="CANOWINDRA"/>
    <s v="Cabonne"/>
    <s v="Central West"/>
    <x v="1"/>
    <x v="1"/>
    <s v="Rural South and West"/>
    <x v="0"/>
    <x v="0"/>
    <s v="Coed"/>
    <n v="181"/>
    <n v="9"/>
    <s v="Published"/>
    <n v="16.29"/>
    <m/>
    <n v="953"/>
    <x v="2"/>
    <n v="110"/>
    <x v="1"/>
    <n v="-33.566198"/>
    <n v="148.66492099999999"/>
  </r>
  <r>
    <s v="7302"/>
    <s v="Carlingford Public School"/>
    <s v="Carlingford"/>
    <s v="Parramatta"/>
    <s v="Sydney - Parramatta"/>
    <x v="0"/>
    <x v="0"/>
    <s v="Metropolitan North"/>
    <x v="0"/>
    <x v="0"/>
    <s v="Coed"/>
    <n v="644"/>
    <m/>
    <s v="Suppressed"/>
    <s v=""/>
    <n v="89"/>
    <n v="1109"/>
    <x v="0"/>
    <n v="26"/>
    <x v="3"/>
    <n v="-33.780093999999998"/>
    <n v="151.05515299999999"/>
  </r>
  <r>
    <s v="7303"/>
    <s v="Gloucester Public School"/>
    <s v="Gloucester"/>
    <s v="Mid-Coast"/>
    <s v="Mid North Coast"/>
    <x v="1"/>
    <x v="1"/>
    <s v="Regional North and West"/>
    <x v="0"/>
    <x v="0"/>
    <s v="Coed"/>
    <n v="275"/>
    <n v="17"/>
    <s v="Published"/>
    <n v="46.75"/>
    <n v="5"/>
    <n v="955"/>
    <x v="2"/>
    <n v="110"/>
    <x v="1"/>
    <n v="-32.010210999999998"/>
    <n v="151.96109899999999"/>
  </r>
  <r>
    <s v="7305"/>
    <s v="Manilla Central School"/>
    <s v="Manilla"/>
    <s v="Tamworth"/>
    <s v="New England and North West"/>
    <x v="2"/>
    <x v="2"/>
    <s v="Rural North"/>
    <x v="1"/>
    <x v="0"/>
    <s v="Coed"/>
    <n v="243.4"/>
    <n v="39"/>
    <s v="Published"/>
    <n v="94.926000000000002"/>
    <n v="3"/>
    <n v="855"/>
    <x v="1"/>
    <n v="148"/>
    <x v="1"/>
    <n v="-30.750947"/>
    <n v="150.72843499999999"/>
  </r>
  <r>
    <s v="7307"/>
    <s v="Orange Public School"/>
    <s v="Orange"/>
    <s v="Orange"/>
    <s v="Central West"/>
    <x v="1"/>
    <x v="1"/>
    <s v="Rural South and West"/>
    <x v="0"/>
    <x v="0"/>
    <s v="Coed"/>
    <n v="761"/>
    <n v="9"/>
    <s v="Published"/>
    <n v="68.489999999999995"/>
    <n v="8"/>
    <n v="1046"/>
    <x v="3"/>
    <n v="54"/>
    <x v="3"/>
    <n v="-33.286264000000003"/>
    <n v="149.09658400000001"/>
  </r>
  <r>
    <s v="7308"/>
    <s v="Plattsburg Public School"/>
    <s v="Wallsend"/>
    <s v="Newcastle"/>
    <s v="Newcastle and Lake Macquarie"/>
    <x v="0"/>
    <x v="0"/>
    <s v="Regional North"/>
    <x v="0"/>
    <x v="0"/>
    <s v="Coed"/>
    <n v="195"/>
    <n v="23"/>
    <s v="Published"/>
    <n v="44.85"/>
    <n v="29"/>
    <n v="910"/>
    <x v="2"/>
    <n v="134"/>
    <x v="1"/>
    <n v="-32.896354000000002"/>
    <n v="151.669186"/>
  </r>
  <r>
    <s v="7311"/>
    <s v="Scone Public School"/>
    <s v="Scone"/>
    <s v="Upper Hunter"/>
    <s v="Hunter Valley exc Newcastle"/>
    <x v="1"/>
    <x v="1"/>
    <s v="Regional North and West"/>
    <x v="0"/>
    <x v="0"/>
    <s v="Coed"/>
    <n v="400"/>
    <n v="18"/>
    <s v="Published"/>
    <n v="72"/>
    <n v="11"/>
    <n v="943"/>
    <x v="2"/>
    <n v="120"/>
    <x v="0"/>
    <n v="-32.049446000000003"/>
    <n v="150.863855"/>
  </r>
  <r>
    <s v="7314"/>
    <s v="Wingham Public School"/>
    <s v="WINGHAM"/>
    <s v="Mid-Coast"/>
    <s v="Mid North Coast"/>
    <x v="1"/>
    <x v="1"/>
    <s v="Regional North and West"/>
    <x v="0"/>
    <x v="0"/>
    <s v="Coed"/>
    <n v="240"/>
    <n v="21"/>
    <s v="Published"/>
    <n v="50.4"/>
    <n v="4"/>
    <n v="934"/>
    <x v="2"/>
    <n v="114"/>
    <x v="1"/>
    <n v="-31.863382999999999"/>
    <n v="152.35022499999999"/>
  </r>
  <r>
    <s v="7316"/>
    <s v="Dorrigo Public School"/>
    <s v="Dorrigo"/>
    <s v="Bellingen"/>
    <s v="Coffs Harbour - Grafton"/>
    <x v="1"/>
    <x v="1"/>
    <s v="Regional North and West"/>
    <x v="0"/>
    <x v="0"/>
    <s v="Coed"/>
    <n v="72"/>
    <n v="14"/>
    <s v="Published"/>
    <n v="10.080000000000002"/>
    <m/>
    <n v="948"/>
    <x v="2"/>
    <n v="108"/>
    <x v="2"/>
    <n v="-30.343091000000001"/>
    <n v="152.71033"/>
  </r>
  <r>
    <s v="7401"/>
    <s v="Arncliffe Public School"/>
    <s v="Arncliffe"/>
    <s v="Bayside (NSW)"/>
    <s v="Sydney - Inner South West"/>
    <x v="0"/>
    <x v="0"/>
    <s v="Metropolitan South"/>
    <x v="0"/>
    <x v="0"/>
    <s v="Coed"/>
    <n v="373"/>
    <n v="2"/>
    <s v="Published"/>
    <n v="7.46"/>
    <n v="80"/>
    <n v="1028"/>
    <x v="3"/>
    <n v="78"/>
    <x v="0"/>
    <n v="-33.940539999999999"/>
    <n v="151.14755"/>
  </r>
  <r>
    <s v="7403"/>
    <s v="Auburn Public School"/>
    <s v="Auburn"/>
    <s v="Cumberland"/>
    <s v="Sydney - Parramatta"/>
    <x v="0"/>
    <x v="0"/>
    <s v="Metropolitan South"/>
    <x v="0"/>
    <x v="0"/>
    <s v="Coed"/>
    <n v="486"/>
    <m/>
    <s v="Suppressed"/>
    <s v=""/>
    <n v="97"/>
    <n v="983"/>
    <x v="2"/>
    <n v="122"/>
    <x v="0"/>
    <n v="-33.853999999999999"/>
    <n v="151.03295299999999"/>
  </r>
  <r>
    <s v="7404"/>
    <s v="Balmain Public School"/>
    <s v="BALMAIN"/>
    <s v="Inner West"/>
    <s v="Sydney - Inner West"/>
    <x v="0"/>
    <x v="0"/>
    <s v="Metropolitan South"/>
    <x v="0"/>
    <x v="0"/>
    <s v="Coed"/>
    <n v="321"/>
    <m/>
    <s v="Suppressed"/>
    <s v=""/>
    <n v="38"/>
    <n v="1172"/>
    <x v="0"/>
    <n v="3"/>
    <x v="0"/>
    <n v="-33.859166000000002"/>
    <n v="151.18341699999999"/>
  </r>
  <r>
    <s v="7405"/>
    <s v="Bankstown Public School"/>
    <s v="Bankstown"/>
    <s v="Canterbury-Bankstown"/>
    <s v="Sydney - Inner South West"/>
    <x v="0"/>
    <x v="0"/>
    <s v="Metropolitan South and West"/>
    <x v="0"/>
    <x v="0"/>
    <s v="Coed"/>
    <n v="736"/>
    <n v="1"/>
    <s v="Published"/>
    <n v="7.36"/>
    <n v="98"/>
    <n v="965"/>
    <x v="2"/>
    <n v="134"/>
    <x v="3"/>
    <n v="-33.921121999999997"/>
    <n v="151.03416799999999"/>
  </r>
  <r>
    <s v="7406"/>
    <s v="Bexley Public School"/>
    <s v="Bexley"/>
    <s v="Bayside (NSW)"/>
    <s v="Sydney - Inner South West"/>
    <x v="0"/>
    <x v="0"/>
    <s v="Metropolitan South"/>
    <x v="0"/>
    <x v="0"/>
    <s v="Coed"/>
    <n v="249"/>
    <m/>
    <s v="Suppressed"/>
    <s v=""/>
    <n v="81"/>
    <n v="1005"/>
    <x v="3"/>
    <n v="106"/>
    <x v="1"/>
    <n v="-33.947687000000002"/>
    <n v="151.128861"/>
  </r>
  <r>
    <s v="7407"/>
    <s v="Bondi Public School"/>
    <s v="Bondi"/>
    <s v="Waverley"/>
    <s v="Sydney - Eastern Suburbs"/>
    <x v="0"/>
    <x v="0"/>
    <s v="Metropolitan South"/>
    <x v="0"/>
    <x v="0"/>
    <s v="Coed"/>
    <n v="464"/>
    <n v="2"/>
    <s v="Published"/>
    <n v="9.2799999999999994"/>
    <n v="32"/>
    <n v="1139"/>
    <x v="0"/>
    <n v="10"/>
    <x v="0"/>
    <n v="-33.892625000000002"/>
    <n v="151.26475300000001"/>
  </r>
  <r>
    <s v="7408"/>
    <s v="Bourke Street Public School"/>
    <s v="Surry Hills"/>
    <s v="Sydney"/>
    <s v="Sydney - City and Inner South"/>
    <x v="0"/>
    <x v="0"/>
    <s v="Metropolitan South"/>
    <x v="0"/>
    <x v="0"/>
    <s v="Coed"/>
    <n v="381"/>
    <n v="2"/>
    <s v="Published"/>
    <n v="7.62"/>
    <n v="40"/>
    <n v="1135"/>
    <x v="0"/>
    <n v="8"/>
    <x v="0"/>
    <n v="-33.890534000000002"/>
    <n v="151.21573699999999"/>
  </r>
  <r>
    <s v="7409"/>
    <s v="Chatswood Public School"/>
    <s v="Chatswood"/>
    <s v="Willoughby"/>
    <s v="Sydney - North Sydney and Hornsby"/>
    <x v="0"/>
    <x v="0"/>
    <s v="Metropolitan North"/>
    <x v="0"/>
    <x v="0"/>
    <s v="Coed"/>
    <n v="1083"/>
    <m/>
    <s v="Suppressed"/>
    <s v=""/>
    <n v="92"/>
    <n v="1143"/>
    <x v="0"/>
    <n v="8"/>
    <x v="4"/>
    <n v="-33.798242000000002"/>
    <n v="151.17759000000001"/>
  </r>
  <r>
    <s v="7411"/>
    <s v="Croydon Public School"/>
    <s v="Croydon"/>
    <s v="Burwood"/>
    <s v="Sydney - Inner West"/>
    <x v="0"/>
    <x v="0"/>
    <s v="Metropolitan South"/>
    <x v="0"/>
    <x v="0"/>
    <s v="Coed"/>
    <n v="576"/>
    <m/>
    <s v="Suppressed"/>
    <s v=""/>
    <n v="64"/>
    <n v="1119"/>
    <x v="0"/>
    <n v="23"/>
    <x v="0"/>
    <n v="-33.879792999999999"/>
    <n v="151.11488700000001"/>
  </r>
  <r>
    <s v="7412"/>
    <s v="Croydon Park Public School"/>
    <s v="Croydon Park"/>
    <s v="Burwood"/>
    <s v="Sydney - Inner West"/>
    <x v="0"/>
    <x v="0"/>
    <s v="Metropolitan South"/>
    <x v="0"/>
    <x v="0"/>
    <s v="Coed"/>
    <n v="325"/>
    <n v="2"/>
    <s v="Published"/>
    <n v="6.5"/>
    <n v="65"/>
    <n v="1077"/>
    <x v="3"/>
    <n v="54"/>
    <x v="0"/>
    <n v="-33.894694999999999"/>
    <n v="151.108395"/>
  </r>
  <r>
    <s v="7413"/>
    <s v="Daceyville Public School"/>
    <s v="Daceyville"/>
    <s v="Bayside (NSW)"/>
    <s v="Sydney - City and Inner South"/>
    <x v="0"/>
    <x v="0"/>
    <s v="Metropolitan South"/>
    <x v="0"/>
    <x v="0"/>
    <s v="Coed"/>
    <n v="126"/>
    <n v="16"/>
    <s v="Published"/>
    <n v="20.16"/>
    <n v="38"/>
    <n v="1029"/>
    <x v="3"/>
    <n v="75"/>
    <x v="1"/>
    <n v="-33.929547999999997"/>
    <n v="151.22798399999999"/>
  </r>
  <r>
    <s v="7414"/>
    <s v="Darlinghurst Public School"/>
    <s v="Potts Point"/>
    <s v="Sydney"/>
    <s v="Sydney - City and Inner South"/>
    <x v="0"/>
    <x v="0"/>
    <s v="Metropolitan South"/>
    <x v="0"/>
    <x v="0"/>
    <s v="Coed"/>
    <n v="210"/>
    <m/>
    <s v="Suppressed"/>
    <s v=""/>
    <n v="33"/>
    <n v="1156"/>
    <x v="0"/>
    <n v="3"/>
    <x v="1"/>
    <n v="-33.878599000000001"/>
    <n v="151.223432"/>
  </r>
  <r>
    <s v="7416"/>
    <s v="Eastwood Public School"/>
    <s v="Eastwood"/>
    <s v="Ryde"/>
    <s v="Sydney - Ryde"/>
    <x v="0"/>
    <x v="0"/>
    <s v="Metropolitan North"/>
    <x v="0"/>
    <x v="0"/>
    <s v="Coed"/>
    <n v="701"/>
    <m/>
    <s v="Suppressed"/>
    <s v=""/>
    <n v="95"/>
    <n v="1108"/>
    <x v="0"/>
    <n v="19"/>
    <x v="3"/>
    <n v="-33.792743000000002"/>
    <n v="151.078474"/>
  </r>
  <r>
    <s v="7418"/>
    <s v="Gardeners Road Public School"/>
    <s v="ROSEBERY"/>
    <s v="Sydney"/>
    <s v="Sydney - City and Inner South"/>
    <x v="0"/>
    <x v="0"/>
    <s v="Metropolitan South"/>
    <x v="0"/>
    <x v="0"/>
    <s v="Coed"/>
    <n v="393"/>
    <n v="6"/>
    <s v="Published"/>
    <n v="23.58"/>
    <n v="65"/>
    <n v="1058"/>
    <x v="3"/>
    <n v="50"/>
    <x v="0"/>
    <n v="-33.920642999999998"/>
    <n v="151.19803400000001"/>
  </r>
  <r>
    <s v="7419"/>
    <s v="Glebe Public School"/>
    <s v="Glebe"/>
    <s v="Sydney"/>
    <s v="Sydney - City and Inner South"/>
    <x v="0"/>
    <x v="0"/>
    <s v="Metropolitan South"/>
    <x v="0"/>
    <x v="0"/>
    <s v="Coed"/>
    <n v="193"/>
    <n v="26"/>
    <s v="Published"/>
    <n v="50.18"/>
    <n v="63"/>
    <n v="982"/>
    <x v="2"/>
    <n v="91"/>
    <x v="1"/>
    <n v="-33.883685"/>
    <n v="151.19096999999999"/>
  </r>
  <r>
    <s v="7420"/>
    <s v="Hamilton Public School"/>
    <s v="Hamilton"/>
    <s v="Newcastle"/>
    <s v="Newcastle and Lake Macquarie"/>
    <x v="0"/>
    <x v="0"/>
    <s v="Regional North"/>
    <x v="0"/>
    <x v="0"/>
    <s v="Coed"/>
    <n v="306"/>
    <n v="5"/>
    <s v="Published"/>
    <n v="15.3"/>
    <n v="23"/>
    <n v="1106"/>
    <x v="0"/>
    <n v="30"/>
    <x v="0"/>
    <n v="-32.924140999999999"/>
    <n v="151.74331000000001"/>
  </r>
  <r>
    <s v="7422"/>
    <s v="Kurri Kurri Public School"/>
    <s v="Kurri Kurri"/>
    <s v="Cessnock"/>
    <s v="Hunter Valley exc Newcastle"/>
    <x v="0"/>
    <x v="0"/>
    <s v="Regional North"/>
    <x v="0"/>
    <x v="0"/>
    <s v="Coed"/>
    <n v="574"/>
    <n v="27"/>
    <s v="Published"/>
    <n v="154.98000000000002"/>
    <n v="3"/>
    <n v="891"/>
    <x v="1"/>
    <n v="146"/>
    <x v="0"/>
    <n v="-32.821098999999997"/>
    <n v="151.47815600000001"/>
  </r>
  <r>
    <s v="7423"/>
    <s v="Leichhardt Public School"/>
    <s v="Leichhardt"/>
    <s v="Inner West"/>
    <s v="Sydney - Inner West"/>
    <x v="0"/>
    <x v="0"/>
    <s v="Metropolitan South"/>
    <x v="0"/>
    <x v="0"/>
    <s v="Coed"/>
    <n v="532"/>
    <n v="4"/>
    <s v="Published"/>
    <n v="21.28"/>
    <n v="32"/>
    <n v="1122"/>
    <x v="0"/>
    <n v="16"/>
    <x v="0"/>
    <n v="-33.884270000000001"/>
    <n v="151.15814"/>
  </r>
  <r>
    <s v="7424"/>
    <s v="Liverpool Public School"/>
    <s v="Liverpool"/>
    <s v="Liverpool"/>
    <s v="Sydney - South West"/>
    <x v="0"/>
    <x v="0"/>
    <s v="Metropolitan South and West"/>
    <x v="0"/>
    <x v="0"/>
    <s v="Coed"/>
    <n v="562"/>
    <m/>
    <s v="Suppressed"/>
    <s v=""/>
    <n v="93"/>
    <n v="960"/>
    <x v="2"/>
    <n v="145"/>
    <x v="0"/>
    <n v="-33.923572"/>
    <n v="150.92592400000001"/>
  </r>
  <r>
    <s v="7427"/>
    <s v="Maroubra Junction Public School"/>
    <s v="Maroubra"/>
    <s v="Randwick"/>
    <s v="Sydney - Eastern Suburbs"/>
    <x v="0"/>
    <x v="0"/>
    <s v="Metropolitan South"/>
    <x v="0"/>
    <x v="0"/>
    <s v="Coed"/>
    <n v="484"/>
    <m/>
    <s v="Suppressed"/>
    <s v=""/>
    <n v="50"/>
    <n v="1128"/>
    <x v="0"/>
    <n v="19"/>
    <x v="0"/>
    <n v="-33.937027059999998"/>
    <n v="151.23972889999999"/>
  </r>
  <r>
    <s v="7430"/>
    <s v="Mosman Public School"/>
    <s v="Mosman"/>
    <s v="Mosman"/>
    <s v="Sydney - North Sydney and Hornsby"/>
    <x v="0"/>
    <x v="0"/>
    <s v="Metropolitan North"/>
    <x v="0"/>
    <x v="0"/>
    <s v="Coed"/>
    <n v="458"/>
    <m/>
    <s v="Suppressed"/>
    <s v=""/>
    <n v="33"/>
    <n v="1157"/>
    <x v="0"/>
    <n v="6"/>
    <x v="0"/>
    <n v="-33.828052"/>
    <n v="151.241198"/>
  </r>
  <r>
    <s v="7431"/>
    <s v="Newtown Public School"/>
    <s v="Newtown"/>
    <s v="Sydney"/>
    <s v="Sydney - City and Inner South"/>
    <x v="0"/>
    <x v="0"/>
    <s v="Metropolitan South"/>
    <x v="0"/>
    <x v="0"/>
    <s v="Coed"/>
    <n v="272"/>
    <n v="2"/>
    <s v="Published"/>
    <n v="5.44"/>
    <n v="25"/>
    <n v="1140"/>
    <x v="0"/>
    <n v="14"/>
    <x v="1"/>
    <n v="-33.899991"/>
    <n v="151.179405"/>
  </r>
  <r>
    <s v="7432"/>
    <s v="Paddington Public School"/>
    <s v="Paddington"/>
    <s v="Sydney"/>
    <s v="Sydney - Eastern Suburbs"/>
    <x v="0"/>
    <x v="0"/>
    <s v="Metropolitan South"/>
    <x v="0"/>
    <x v="0"/>
    <s v="Coed"/>
    <n v="147"/>
    <n v="0"/>
    <s v="Published"/>
    <n v="0"/>
    <n v="41"/>
    <n v="1155"/>
    <x v="0"/>
    <n v="7"/>
    <x v="1"/>
    <n v="-33.887602999999999"/>
    <n v="151.230188"/>
  </r>
  <r>
    <s v="7435"/>
    <s v="Rozelle Public School"/>
    <s v="Rozelle"/>
    <s v="Inner West"/>
    <s v="Sydney - Inner West"/>
    <x v="0"/>
    <x v="0"/>
    <s v="Metropolitan South"/>
    <x v="0"/>
    <x v="0"/>
    <s v="Coed"/>
    <n v="507"/>
    <n v="2"/>
    <s v="Published"/>
    <n v="10.14"/>
    <n v="21"/>
    <n v="1162"/>
    <x v="0"/>
    <n v="4"/>
    <x v="0"/>
    <n v="-33.862580999999999"/>
    <n v="151.169749"/>
  </r>
  <r>
    <s v="7436"/>
    <s v="Stanmore Public School"/>
    <s v="Stanmore"/>
    <s v="Inner West"/>
    <s v="Sydney - City and Inner South"/>
    <x v="0"/>
    <x v="0"/>
    <s v="Metropolitan South"/>
    <x v="0"/>
    <x v="0"/>
    <s v="Coed"/>
    <n v="560"/>
    <n v="1"/>
    <s v="Published"/>
    <n v="5.6000000000000005"/>
    <n v="28"/>
    <n v="1138"/>
    <x v="0"/>
    <n v="6"/>
    <x v="0"/>
    <n v="-33.895505999999997"/>
    <n v="151.16528299999999"/>
  </r>
  <r>
    <s v="7442"/>
    <s v="Woollahra Public School"/>
    <s v="WOOLLAHRA"/>
    <s v="Woollahra"/>
    <s v="Sydney - Eastern Suburbs"/>
    <x v="0"/>
    <x v="0"/>
    <s v="Metropolitan South"/>
    <x v="0"/>
    <x v="0"/>
    <s v="Coed"/>
    <n v="667"/>
    <m/>
    <s v="Suppressed"/>
    <s v=""/>
    <n v="46"/>
    <n v="1193"/>
    <x v="0"/>
    <n v="0"/>
    <x v="3"/>
    <n v="-33.886378999999998"/>
    <n v="151.24118999999999"/>
  </r>
  <r>
    <s v="7444"/>
    <s v="Rosehill Public School"/>
    <s v="ROSEHILL"/>
    <s v="Parramatta"/>
    <s v="Sydney - Parramatta"/>
    <x v="0"/>
    <x v="0"/>
    <s v="Metropolitan South"/>
    <x v="0"/>
    <x v="0"/>
    <s v="Coed"/>
    <n v="550"/>
    <n v="1"/>
    <s v="Published"/>
    <n v="5.5"/>
    <n v="92"/>
    <n v="1067"/>
    <x v="3"/>
    <n v="44"/>
    <x v="0"/>
    <n v="-33.824229000000003"/>
    <n v="151.01837599999999"/>
  </r>
  <r>
    <s v="7445"/>
    <s v="Woy Woy Public School"/>
    <s v="Woy Woy"/>
    <s v="Central Coast (NSW)"/>
    <s v="Central Coast"/>
    <x v="0"/>
    <x v="0"/>
    <s v="Regional North"/>
    <x v="0"/>
    <x v="0"/>
    <s v="Coed"/>
    <n v="365"/>
    <n v="20"/>
    <s v="Published"/>
    <n v="73"/>
    <n v="18"/>
    <n v="970"/>
    <x v="2"/>
    <n v="110"/>
    <x v="0"/>
    <n v="-33.491705000000003"/>
    <n v="151.328247"/>
  </r>
  <r>
    <s v="8101"/>
    <s v="Albury High School"/>
    <s v="Albury"/>
    <s v="Albury"/>
    <s v="Murray"/>
    <x v="1"/>
    <x v="1"/>
    <s v="Rural South and West"/>
    <x v="4"/>
    <x v="0"/>
    <s v="Coed"/>
    <n v="910"/>
    <n v="7"/>
    <s v="Published"/>
    <n v="63.7"/>
    <n v="11"/>
    <n v="1016"/>
    <x v="3"/>
    <n v="84"/>
    <x v="3"/>
    <n v="-36.072845999999998"/>
    <n v="146.91544200000001"/>
  </r>
  <r>
    <s v="8103"/>
    <s v="Denison College of Secondary Education, Bathurst High Campus"/>
    <s v="Bathurst"/>
    <s v="Bathurst"/>
    <s v="Central West"/>
    <x v="1"/>
    <x v="1"/>
    <s v="Regional North and West"/>
    <x v="4"/>
    <x v="0"/>
    <s v="Coed"/>
    <n v="916.2"/>
    <n v="17"/>
    <s v="Published"/>
    <n v="155.75400000000002"/>
    <n v="9"/>
    <n v="963"/>
    <x v="2"/>
    <n v="109"/>
    <x v="3"/>
    <n v="-33.413383000000003"/>
    <n v="149.56967900000001"/>
  </r>
  <r>
    <s v="8104"/>
    <s v="Bowral High School"/>
    <s v="Bowral"/>
    <s v="Wingecarribee"/>
    <s v="Southern Highlands and Shoalhaven"/>
    <x v="1"/>
    <x v="1"/>
    <s v="Regional South and Connected Communities"/>
    <x v="4"/>
    <x v="0"/>
    <s v="Coed"/>
    <n v="564"/>
    <n v="11"/>
    <s v="Published"/>
    <n v="62.04"/>
    <n v="12"/>
    <n v="956"/>
    <x v="2"/>
    <n v="113"/>
    <x v="0"/>
    <n v="-34.488816"/>
    <n v="150.42343199999999"/>
  </r>
  <r>
    <s v="8105"/>
    <s v="Broken Hill High School"/>
    <s v="Broken Hill"/>
    <s v="Broken Hill"/>
    <s v="Far West and Orana"/>
    <x v="2"/>
    <x v="2"/>
    <s v="Rural South and West"/>
    <x v="4"/>
    <x v="0"/>
    <s v="Coed"/>
    <n v="411"/>
    <n v="26"/>
    <s v="Published"/>
    <n v="106.86"/>
    <n v="8"/>
    <n v="892"/>
    <x v="1"/>
    <n v="147"/>
    <x v="0"/>
    <n v="-31.960104999999999"/>
    <n v="141.456986"/>
  </r>
  <r>
    <s v="8107"/>
    <s v="Canterbury Boys High School"/>
    <s v="Canterbury"/>
    <s v="Inner West"/>
    <s v="Sydney - Inner West"/>
    <x v="0"/>
    <x v="0"/>
    <s v="Metropolitan South"/>
    <x v="4"/>
    <x v="0"/>
    <s v="Boys"/>
    <n v="422"/>
    <n v="3"/>
    <s v="Published"/>
    <n v="12.66"/>
    <n v="82"/>
    <n v="1018"/>
    <x v="3"/>
    <n v="94"/>
    <x v="0"/>
    <n v="-33.904178000000002"/>
    <n v="151.123884"/>
  </r>
  <r>
    <s v="8108"/>
    <s v="Cessnock High School"/>
    <s v="Cessnock"/>
    <s v="Cessnock"/>
    <s v="Hunter Valley exc Newcastle"/>
    <x v="0"/>
    <x v="0"/>
    <s v="Regional North"/>
    <x v="4"/>
    <x v="0"/>
    <s v="Coed"/>
    <n v="615"/>
    <n v="24"/>
    <s v="Published"/>
    <n v="147.6"/>
    <n v="2"/>
    <n v="892"/>
    <x v="1"/>
    <n v="158"/>
    <x v="3"/>
    <n v="-32.842953999999999"/>
    <n v="151.368528"/>
  </r>
  <r>
    <s v="8109"/>
    <s v="Coffs Harbour High School"/>
    <s v="Coffs Harbour"/>
    <s v="Coffs Harbour"/>
    <s v="Coffs Harbour - Grafton"/>
    <x v="1"/>
    <x v="1"/>
    <s v="Regional North and West"/>
    <x v="4"/>
    <x v="0"/>
    <s v="Coed"/>
    <n v="782.4"/>
    <n v="10"/>
    <s v="Published"/>
    <n v="78.240000000000009"/>
    <n v="25"/>
    <n v="957"/>
    <x v="2"/>
    <n v="122"/>
    <x v="3"/>
    <n v="-30.305319000000001"/>
    <n v="153.13584599999999"/>
  </r>
  <r>
    <s v="8110"/>
    <s v="Dubbo College Senior Campus"/>
    <s v="Dubbo"/>
    <s v="Dubbo"/>
    <s v="Far West and Orana"/>
    <x v="1"/>
    <x v="1"/>
    <s v="Regional North and West"/>
    <x v="4"/>
    <x v="0"/>
    <s v="Coed"/>
    <n v="650.79999999999995"/>
    <n v="33"/>
    <s v="Published"/>
    <n v="214.76399999999998"/>
    <n v="7"/>
    <n v="929"/>
    <x v="2"/>
    <n v="110"/>
    <x v="3"/>
    <n v="-32.235067780000001"/>
    <n v="148.62855780000001"/>
  </r>
  <r>
    <s v="8111"/>
    <s v="Farrer Memorial Agricultural High School"/>
    <s v="Calala"/>
    <s v="Tamworth"/>
    <s v="New England and North West"/>
    <x v="1"/>
    <x v="1"/>
    <s v="Rural North"/>
    <x v="4"/>
    <x v="1"/>
    <s v="Boys"/>
    <n v="606"/>
    <n v="13"/>
    <s v="Published"/>
    <n v="78.78"/>
    <n v="2"/>
    <n v="1025"/>
    <x v="3"/>
    <n v="65"/>
    <x v="3"/>
    <n v="-31.138452999999998"/>
    <n v="150.979996"/>
  </r>
  <r>
    <s v="8114"/>
    <s v="Glen Innes High School"/>
    <s v="Glen Innes"/>
    <s v="Glen Innes Severn"/>
    <s v="New England and North West"/>
    <x v="1"/>
    <x v="1"/>
    <s v="Rural North"/>
    <x v="4"/>
    <x v="0"/>
    <s v="Coed"/>
    <n v="433.6"/>
    <n v="22"/>
    <s v="Published"/>
    <n v="95.39200000000001"/>
    <n v="4"/>
    <n v="926"/>
    <x v="2"/>
    <n v="123"/>
    <x v="0"/>
    <n v="-29.744294"/>
    <n v="151.74248700000001"/>
  </r>
  <r>
    <s v="8115"/>
    <s v="Gosford High School"/>
    <s v="Gosford"/>
    <s v="Central Coast (NSW)"/>
    <s v="Central Coast"/>
    <x v="0"/>
    <x v="0"/>
    <s v="Regional North"/>
    <x v="4"/>
    <x v="1"/>
    <s v="Coed"/>
    <n v="1058.0999999999999"/>
    <n v="1"/>
    <s v="Published"/>
    <n v="10.581"/>
    <n v="63"/>
    <n v="1157"/>
    <x v="0"/>
    <n v="14"/>
    <x v="4"/>
    <n v="-33.417183000000001"/>
    <n v="151.34138799999999"/>
  </r>
  <r>
    <s v="8116"/>
    <s v="Goulburn High School"/>
    <s v="Goulburn"/>
    <s v="Goulburn Mulwaree"/>
    <s v="Capital Region"/>
    <x v="1"/>
    <x v="1"/>
    <s v="Regional South and Connected Communities"/>
    <x v="4"/>
    <x v="0"/>
    <s v="Coed"/>
    <n v="648"/>
    <n v="12"/>
    <s v="Published"/>
    <n v="77.759999999999991"/>
    <n v="12"/>
    <n v="943"/>
    <x v="2"/>
    <n v="128"/>
    <x v="3"/>
    <n v="-34.746861000000003"/>
    <n v="149.711241"/>
  </r>
  <r>
    <s v="8117"/>
    <s v="Grafton High School"/>
    <s v="GRAFTON"/>
    <s v="Clarence Valley"/>
    <s v="Coffs Harbour - Grafton"/>
    <x v="1"/>
    <x v="1"/>
    <s v="Rural North"/>
    <x v="4"/>
    <x v="2"/>
    <s v="Coed"/>
    <n v="767.6"/>
    <n v="18"/>
    <s v="Published"/>
    <n v="138.16800000000001"/>
    <n v="4"/>
    <n v="941"/>
    <x v="2"/>
    <n v="121"/>
    <x v="3"/>
    <n v="-29.682105"/>
    <n v="152.93250900000001"/>
  </r>
  <r>
    <s v="8118"/>
    <s v="Griffith High School"/>
    <s v="Griffith"/>
    <s v="Griffith"/>
    <s v="Riverina"/>
    <x v="2"/>
    <x v="2"/>
    <s v="Rural South and West"/>
    <x v="4"/>
    <x v="0"/>
    <s v="Coed"/>
    <n v="605.6"/>
    <n v="21"/>
    <s v="Published"/>
    <n v="127.176"/>
    <n v="35"/>
    <n v="899"/>
    <x v="1"/>
    <n v="135"/>
    <x v="3"/>
    <n v="-34.292248999999998"/>
    <n v="146.03962799999999"/>
  </r>
  <r>
    <s v="8119"/>
    <s v="Hay War Memorial High School"/>
    <s v="Hay"/>
    <s v="Hay"/>
    <s v="Murray"/>
    <x v="2"/>
    <x v="2"/>
    <s v="Rural South and West"/>
    <x v="4"/>
    <x v="0"/>
    <s v="Coed"/>
    <n v="153.80000000000001"/>
    <n v="20"/>
    <s v="Published"/>
    <n v="30.760000000000005"/>
    <n v="6"/>
    <n v="916"/>
    <x v="2"/>
    <n v="129"/>
    <x v="1"/>
    <n v="-34.504747000000002"/>
    <n v="144.83926199999999"/>
  </r>
  <r>
    <s v="8120"/>
    <s v="Hornsby Girls High School"/>
    <s v="Hornsby"/>
    <s v="Hornsby"/>
    <s v="Sydney - North Sydney and Hornsby"/>
    <x v="0"/>
    <x v="0"/>
    <s v="Metropolitan North"/>
    <x v="4"/>
    <x v="1"/>
    <s v="Girls"/>
    <n v="720.3"/>
    <n v="0"/>
    <s v="Published"/>
    <n v="0"/>
    <n v="94"/>
    <n v="1209"/>
    <x v="0"/>
    <n v="0"/>
    <x v="3"/>
    <n v="-33.706626999999997"/>
    <n v="151.10108299999999"/>
  </r>
  <r>
    <s v="8121"/>
    <s v="Hurlstone Agricultural High School"/>
    <s v="Glenfield"/>
    <s v="Campbelltown (NSW)"/>
    <s v="Sydney - Outer South West"/>
    <x v="0"/>
    <x v="0"/>
    <s v="Metropolitan South and West"/>
    <x v="4"/>
    <x v="1"/>
    <s v="Coed"/>
    <n v="933.6"/>
    <n v="1"/>
    <s v="Published"/>
    <n v="9.3360000000000003"/>
    <n v="90"/>
    <n v="1147"/>
    <x v="0"/>
    <n v="21"/>
    <x v="3"/>
    <n v="-33.970382999999998"/>
    <n v="150.893629"/>
  </r>
  <r>
    <s v="8122"/>
    <s v="Inverell High School"/>
    <s v="Inverell"/>
    <s v="Inverell"/>
    <s v="New England and North West"/>
    <x v="2"/>
    <x v="2"/>
    <s v="Rural North"/>
    <x v="4"/>
    <x v="0"/>
    <s v="Coed"/>
    <n v="483"/>
    <n v="33"/>
    <s v="Published"/>
    <n v="159.39000000000001"/>
    <n v="9"/>
    <n v="888"/>
    <x v="1"/>
    <n v="137"/>
    <x v="0"/>
    <n v="-29.765729"/>
    <n v="151.110782"/>
  </r>
  <r>
    <s v="8123"/>
    <s v="Kempsey High School"/>
    <s v="Kempsey"/>
    <s v="Kempsey"/>
    <s v="Mid North Coast"/>
    <x v="1"/>
    <x v="1"/>
    <s v="Regional South and Connected Communities"/>
    <x v="4"/>
    <x v="0"/>
    <s v="Coed"/>
    <n v="578.6"/>
    <n v="46"/>
    <s v="Published"/>
    <n v="266.15600000000001"/>
    <n v="3"/>
    <n v="848"/>
    <x v="1"/>
    <n v="151"/>
    <x v="0"/>
    <n v="-31.068059999999999"/>
    <n v="152.82420200000001"/>
  </r>
  <r>
    <s v="8124"/>
    <s v="The Rivers Secondary College, Lismore High Campus"/>
    <s v="Lismore"/>
    <s v="Lismore"/>
    <s v="Richmond - Tweed"/>
    <x v="1"/>
    <x v="1"/>
    <s v="Rural North"/>
    <x v="4"/>
    <x v="0"/>
    <s v="Coed"/>
    <n v="438"/>
    <n v="21"/>
    <s v="Published"/>
    <n v="91.97999999999999"/>
    <n v="10"/>
    <n v="934"/>
    <x v="2"/>
    <n v="119"/>
    <x v="0"/>
    <n v="-28.820823000000001"/>
    <n v="153.29729399999999"/>
  </r>
  <r>
    <s v="8125"/>
    <s v="Lithgow High School"/>
    <s v="LITHGOW"/>
    <s v="Lithgow"/>
    <s v="Central West"/>
    <x v="1"/>
    <x v="1"/>
    <s v="Regional North and West"/>
    <x v="4"/>
    <x v="0"/>
    <s v="Coed"/>
    <n v="653.79999999999995"/>
    <n v="21"/>
    <s v="Published"/>
    <n v="137.29799999999997"/>
    <n v="9"/>
    <n v="918"/>
    <x v="2"/>
    <n v="133"/>
    <x v="3"/>
    <n v="-33.485739000000002"/>
    <n v="150.16627099999999"/>
  </r>
  <r>
    <s v="8126"/>
    <s v="Maitland High School"/>
    <s v="EAST MAITLAND"/>
    <s v="Maitland"/>
    <s v="Hunter Valley exc Newcastle"/>
    <x v="0"/>
    <x v="0"/>
    <s v="Regional North and West"/>
    <x v="4"/>
    <x v="0"/>
    <s v="Coed"/>
    <n v="956"/>
    <n v="19"/>
    <s v="Published"/>
    <n v="181.64000000000001"/>
    <n v="8"/>
    <n v="947"/>
    <x v="2"/>
    <n v="119"/>
    <x v="3"/>
    <n v="-32.747365000000002"/>
    <n v="151.59733299999999"/>
  </r>
  <r>
    <s v="8127"/>
    <s v="Maitland Grossmann High School"/>
    <s v="East Maitland"/>
    <s v="Maitland"/>
    <s v="Hunter Valley exc Newcastle"/>
    <x v="0"/>
    <x v="0"/>
    <s v="Regional North and West"/>
    <x v="4"/>
    <x v="0"/>
    <s v="Coed"/>
    <n v="898"/>
    <n v="16"/>
    <s v="Published"/>
    <n v="143.68"/>
    <n v="8"/>
    <n v="960"/>
    <x v="2"/>
    <n v="107"/>
    <x v="3"/>
    <n v="-32.743453000000002"/>
    <n v="151.59150399999999"/>
  </r>
  <r>
    <s v="8128"/>
    <s v="Mudgee High School"/>
    <s v="Mudgee"/>
    <s v="Mid-Western"/>
    <s v="Central West"/>
    <x v="1"/>
    <x v="1"/>
    <s v="Regional North and West"/>
    <x v="4"/>
    <x v="0"/>
    <s v="Coed"/>
    <n v="787.4"/>
    <n v="18"/>
    <s v="Published"/>
    <n v="141.732"/>
    <n v="5"/>
    <n v="928"/>
    <x v="2"/>
    <n v="116"/>
    <x v="3"/>
    <n v="-32.597793000000003"/>
    <n v="149.58362700000001"/>
  </r>
  <r>
    <s v="8129"/>
    <s v="Murwillumbah High School"/>
    <s v="Murwillumbah"/>
    <s v="Tweed"/>
    <s v="Richmond - Tweed"/>
    <x v="1"/>
    <x v="1"/>
    <s v="Rural North"/>
    <x v="4"/>
    <x v="0"/>
    <s v="Coed"/>
    <n v="340.4"/>
    <n v="13"/>
    <s v="Published"/>
    <n v="44.251999999999995"/>
    <n v="9"/>
    <n v="950"/>
    <x v="2"/>
    <n v="118"/>
    <x v="0"/>
    <n v="-28.334489999999999"/>
    <n v="153.39063999999999"/>
  </r>
  <r>
    <s v="8132"/>
    <s v="North Sydney Boys High School"/>
    <s v="North Sydney"/>
    <s v="North Sydney"/>
    <s v="Sydney - North Sydney and Hornsby"/>
    <x v="0"/>
    <x v="0"/>
    <s v="Metropolitan North"/>
    <x v="4"/>
    <x v="1"/>
    <s v="Boys"/>
    <n v="933"/>
    <n v="0"/>
    <s v="Published"/>
    <n v="0"/>
    <n v="95"/>
    <n v="1195"/>
    <x v="0"/>
    <n v="3"/>
    <x v="3"/>
    <n v="-33.829335999999998"/>
    <n v="151.20773399999999"/>
  </r>
  <r>
    <s v="8133"/>
    <s v="North Sydney Girls High School"/>
    <s v="Crows Nest"/>
    <s v="North Sydney"/>
    <s v="Sydney - North Sydney and Hornsby"/>
    <x v="0"/>
    <x v="0"/>
    <s v="Metropolitan North"/>
    <x v="4"/>
    <x v="1"/>
    <s v="Girls"/>
    <n v="911.3"/>
    <n v="0"/>
    <s v="Published"/>
    <n v="0"/>
    <n v="94"/>
    <n v="1203"/>
    <x v="0"/>
    <n v="3"/>
    <x v="3"/>
    <n v="-33.830244"/>
    <n v="151.20344700000001"/>
  </r>
  <r>
    <s v="8134"/>
    <s v="Orange High School"/>
    <s v="Orange"/>
    <s v="Orange"/>
    <s v="Central West"/>
    <x v="1"/>
    <x v="1"/>
    <s v="Rural South and West"/>
    <x v="4"/>
    <x v="0"/>
    <s v="Coed"/>
    <n v="914"/>
    <n v="15"/>
    <s v="Published"/>
    <n v="137.1"/>
    <n v="10"/>
    <n v="979"/>
    <x v="2"/>
    <n v="92"/>
    <x v="3"/>
    <n v="-33.280352000000001"/>
    <n v="149.084361"/>
  </r>
  <r>
    <s v="8135"/>
    <s v="Parramatta High School"/>
    <s v="Parramatta"/>
    <s v="Parramatta"/>
    <s v="Sydney - Parramatta"/>
    <x v="0"/>
    <x v="0"/>
    <s v="Metropolitan South"/>
    <x v="4"/>
    <x v="2"/>
    <s v="Coed"/>
    <n v="1128"/>
    <m/>
    <s v="Suppressed"/>
    <s v=""/>
    <n v="97"/>
    <n v="1132"/>
    <x v="0"/>
    <n v="13"/>
    <x v="4"/>
    <n v="-33.817883000000002"/>
    <n v="150.996083"/>
  </r>
  <r>
    <s v="8136"/>
    <s v="St George Girls High School"/>
    <s v="Kogarah"/>
    <s v="Georges River"/>
    <s v="Sydney - Inner South West"/>
    <x v="0"/>
    <x v="0"/>
    <s v="Metropolitan South"/>
    <x v="4"/>
    <x v="1"/>
    <s v="Girls"/>
    <n v="907.9"/>
    <m/>
    <s v="Suppressed"/>
    <s v=""/>
    <n v="94"/>
    <n v="1148"/>
    <x v="0"/>
    <n v="18"/>
    <x v="3"/>
    <n v="-33.959072999999997"/>
    <n v="151.13603499999999"/>
  </r>
  <r>
    <s v="8137"/>
    <s v="Sydney Boys High School"/>
    <s v="MOORE PARK"/>
    <s v="Sydney"/>
    <s v="Sydney - Eastern Suburbs"/>
    <x v="0"/>
    <x v="0"/>
    <s v="Metropolitan South"/>
    <x v="4"/>
    <x v="1"/>
    <s v="Boys"/>
    <n v="1201.5999999999999"/>
    <n v="0"/>
    <s v="Published"/>
    <n v="0"/>
    <n v="93"/>
    <n v="1189"/>
    <x v="0"/>
    <n v="5"/>
    <x v="4"/>
    <n v="-33.892164999999999"/>
    <n v="151.21890400000001"/>
  </r>
  <r>
    <s v="8138"/>
    <s v="Sydney Girls High School"/>
    <s v="Surry Hills"/>
    <s v="Sydney"/>
    <s v="Sydney - Eastern Suburbs"/>
    <x v="0"/>
    <x v="0"/>
    <s v="Metropolitan South"/>
    <x v="4"/>
    <x v="1"/>
    <s v="Girls"/>
    <n v="929"/>
    <n v="0"/>
    <s v="Published"/>
    <n v="0"/>
    <n v="91"/>
    <n v="1193"/>
    <x v="0"/>
    <n v="4"/>
    <x v="3"/>
    <n v="-33.894190999999999"/>
    <n v="151.220371"/>
  </r>
  <r>
    <s v="8139"/>
    <s v="Tamworth High School"/>
    <s v="South Tamworth"/>
    <s v="Tamworth"/>
    <s v="New England and North West"/>
    <x v="1"/>
    <x v="1"/>
    <s v="Rural North"/>
    <x v="4"/>
    <x v="0"/>
    <s v="Coed"/>
    <n v="658.1"/>
    <n v="43"/>
    <s v="Published"/>
    <n v="282.983"/>
    <n v="5"/>
    <n v="860"/>
    <x v="1"/>
    <n v="149"/>
    <x v="3"/>
    <n v="-31.105768000000001"/>
    <n v="150.91693599999999"/>
  </r>
  <r>
    <s v="8140"/>
    <s v="Taree High School"/>
    <s v="Taree"/>
    <s v="Mid-Coast"/>
    <s v="Mid North Coast"/>
    <x v="1"/>
    <x v="1"/>
    <s v="Regional South and Connected Communities"/>
    <x v="4"/>
    <x v="0"/>
    <s v="Coed"/>
    <n v="620.6"/>
    <n v="25"/>
    <s v="Published"/>
    <n v="155.15"/>
    <n v="3"/>
    <n v="918"/>
    <x v="2"/>
    <n v="126"/>
    <x v="3"/>
    <n v="-31.909866000000001"/>
    <n v="152.46386000000001"/>
  </r>
  <r>
    <s v="8141"/>
    <s v="Sydney Technical High School"/>
    <s v="Bexley"/>
    <s v="Bayside (NSW)"/>
    <s v="Sydney - Inner South West"/>
    <x v="0"/>
    <x v="0"/>
    <s v="Metropolitan South"/>
    <x v="4"/>
    <x v="1"/>
    <s v="Boys"/>
    <n v="905.6"/>
    <m/>
    <s v="Suppressed"/>
    <s v=""/>
    <n v="95"/>
    <n v="1136"/>
    <x v="0"/>
    <n v="21"/>
    <x v="3"/>
    <n v="-33.963075000000003"/>
    <n v="151.11434199999999"/>
  </r>
  <r>
    <s v="8142"/>
    <s v="Wagga Wagga High School"/>
    <s v="Wagga Wagga"/>
    <s v="Wagga Wagga"/>
    <s v="Riverina"/>
    <x v="1"/>
    <x v="1"/>
    <s v="Rural South and West"/>
    <x v="4"/>
    <x v="0"/>
    <s v="Coed"/>
    <n v="816.2"/>
    <n v="13"/>
    <s v="Published"/>
    <n v="106.10600000000001"/>
    <n v="23"/>
    <n v="960"/>
    <x v="2"/>
    <n v="112"/>
    <x v="3"/>
    <n v="-35.124437999999998"/>
    <n v="147.36436599999999"/>
  </r>
  <r>
    <s v="8143"/>
    <s v="Wollongong High School of the Performing Arts"/>
    <s v="Fairy Meadow"/>
    <s v="Wollongong"/>
    <s v="Illawarra"/>
    <x v="0"/>
    <x v="0"/>
    <s v="Regional South and Connected Communities"/>
    <x v="4"/>
    <x v="0"/>
    <s v="Coed"/>
    <n v="1168.4000000000001"/>
    <n v="5"/>
    <s v="Published"/>
    <n v="58.420000000000009"/>
    <n v="26"/>
    <n v="1075"/>
    <x v="3"/>
    <n v="49"/>
    <x v="4"/>
    <n v="-34.406432000000002"/>
    <n v="150.88918799999999"/>
  </r>
  <r>
    <s v="8144"/>
    <s v="Yanco Agricultural High School"/>
    <s v="Yanco"/>
    <s v="Leeton"/>
    <s v="Riverina"/>
    <x v="2"/>
    <x v="2"/>
    <s v="Rural South and West"/>
    <x v="4"/>
    <x v="1"/>
    <s v="Coed"/>
    <n v="319"/>
    <n v="5"/>
    <s v="Published"/>
    <n v="15.950000000000001"/>
    <m/>
    <n v="1009"/>
    <x v="3"/>
    <n v="74"/>
    <x v="0"/>
    <n v="-34.632238999999998"/>
    <n v="146.383678"/>
  </r>
  <r>
    <s v="8146"/>
    <s v="Parkes High School"/>
    <s v="Parkes"/>
    <s v="Parkes"/>
    <s v="Central West"/>
    <x v="2"/>
    <x v="2"/>
    <s v="Rural South and West"/>
    <x v="4"/>
    <x v="0"/>
    <s v="Coed"/>
    <n v="467"/>
    <n v="32"/>
    <s v="Published"/>
    <n v="149.44"/>
    <n v="4"/>
    <n v="894"/>
    <x v="1"/>
    <n v="129"/>
    <x v="0"/>
    <n v="-33.138824"/>
    <n v="148.18025600000001"/>
  </r>
  <r>
    <s v="8147"/>
    <s v="Conservatorium High School"/>
    <s v="Sydney"/>
    <s v="Sydney"/>
    <s v="Sydney - City and Inner South"/>
    <x v="0"/>
    <x v="0"/>
    <s v="Metropolitan South"/>
    <x v="4"/>
    <x v="0"/>
    <s v="Coed"/>
    <n v="153"/>
    <n v="0"/>
    <s v="Published"/>
    <n v="0"/>
    <n v="82"/>
    <n v="1194"/>
    <x v="0"/>
    <n v="1"/>
    <x v="1"/>
    <n v="-33.863407000000002"/>
    <n v="151.21408"/>
  </r>
  <r>
    <s v="8148"/>
    <s v="Cowra High School"/>
    <s v="Cowra"/>
    <s v="Cowra"/>
    <s v="Central West"/>
    <x v="1"/>
    <x v="1"/>
    <s v="Rural South and West"/>
    <x v="4"/>
    <x v="0"/>
    <s v="Coed"/>
    <n v="438.6"/>
    <n v="29"/>
    <s v="Published"/>
    <n v="127.194"/>
    <n v="6"/>
    <n v="884"/>
    <x v="1"/>
    <n v="137"/>
    <x v="0"/>
    <n v="-33.814135999999998"/>
    <n v="148.68834699999999"/>
  </r>
  <r>
    <s v="8150"/>
    <s v="Katoomba High School"/>
    <s v="Katoomba"/>
    <s v="Blue Mountains"/>
    <s v="Sydney - Outer West and Blue Mountains"/>
    <x v="0"/>
    <x v="0"/>
    <s v="Regional North"/>
    <x v="4"/>
    <x v="0"/>
    <s v="Coed"/>
    <n v="862"/>
    <n v="8"/>
    <s v="Published"/>
    <n v="68.960000000000008"/>
    <n v="15"/>
    <n v="1034"/>
    <x v="3"/>
    <n v="68"/>
    <x v="3"/>
    <n v="-33.727401999999998"/>
    <n v="150.31439900000001"/>
  </r>
  <r>
    <s v="8151"/>
    <s v="Homebush Boys High School"/>
    <s v="Homebush"/>
    <s v="Strathfield"/>
    <s v="Sydney - Inner West"/>
    <x v="0"/>
    <x v="0"/>
    <s v="Metropolitan South"/>
    <x v="4"/>
    <x v="0"/>
    <s v="Boys"/>
    <n v="891"/>
    <n v="1"/>
    <s v="Published"/>
    <n v="8.91"/>
    <n v="92"/>
    <n v="1043"/>
    <x v="3"/>
    <n v="67"/>
    <x v="3"/>
    <n v="-33.866059"/>
    <n v="151.07713200000001"/>
  </r>
  <r>
    <s v="8152"/>
    <s v="Burwood Girls High School"/>
    <s v="CROYDON"/>
    <s v="Burwood"/>
    <s v="Sydney - Inner West"/>
    <x v="0"/>
    <x v="0"/>
    <s v="Metropolitan South"/>
    <x v="4"/>
    <x v="0"/>
    <s v="Girls"/>
    <n v="1080.4000000000001"/>
    <n v="1"/>
    <s v="Published"/>
    <n v="10.804"/>
    <n v="64"/>
    <n v="1086"/>
    <x v="3"/>
    <n v="52"/>
    <x v="4"/>
    <n v="-33.875318"/>
    <n v="151.11303599999999"/>
  </r>
  <r>
    <s v="8154"/>
    <s v="Casino High School"/>
    <s v="Casino"/>
    <s v="Richmond Valley"/>
    <s v="Richmond - Tweed"/>
    <x v="1"/>
    <x v="1"/>
    <s v="Rural North"/>
    <x v="4"/>
    <x v="0"/>
    <s v="Coed"/>
    <n v="566.6"/>
    <n v="31"/>
    <s v="Published"/>
    <n v="175.64600000000002"/>
    <n v="5"/>
    <n v="866"/>
    <x v="1"/>
    <n v="149"/>
    <x v="0"/>
    <n v="-28.845167"/>
    <n v="153.0437"/>
  </r>
  <r>
    <s v="8155"/>
    <s v="Young High School"/>
    <s v="Young"/>
    <s v="Hilltops"/>
    <s v="Capital Region"/>
    <x v="1"/>
    <x v="1"/>
    <s v="Rural South and West"/>
    <x v="4"/>
    <x v="0"/>
    <s v="Coed"/>
    <n v="495"/>
    <n v="16"/>
    <s v="Published"/>
    <n v="79.2"/>
    <n v="16"/>
    <n v="920"/>
    <x v="2"/>
    <n v="132"/>
    <x v="0"/>
    <n v="-34.317141999999997"/>
    <n v="148.29170500000001"/>
  </r>
  <r>
    <s v="8156"/>
    <s v="Leeton High School"/>
    <s v="Leeton"/>
    <s v="Leeton"/>
    <s v="Riverina"/>
    <x v="2"/>
    <x v="2"/>
    <s v="Rural South and West"/>
    <x v="4"/>
    <x v="0"/>
    <s v="Coed"/>
    <n v="457.2"/>
    <n v="22"/>
    <s v="Published"/>
    <n v="100.584"/>
    <n v="13"/>
    <n v="908"/>
    <x v="2"/>
    <n v="138"/>
    <x v="0"/>
    <n v="-34.546840000000003"/>
    <n v="146.40597600000001"/>
  </r>
  <r>
    <s v="8157"/>
    <s v="Narrandera High School"/>
    <s v="Narrandera"/>
    <s v="Narrandera"/>
    <s v="Riverina"/>
    <x v="2"/>
    <x v="2"/>
    <s v="Rural South and West"/>
    <x v="4"/>
    <x v="0"/>
    <s v="Coed"/>
    <n v="298.39999999999998"/>
    <n v="30"/>
    <s v="Published"/>
    <n v="89.52"/>
    <n v="6"/>
    <n v="889"/>
    <x v="1"/>
    <n v="134"/>
    <x v="1"/>
    <n v="-34.744210000000002"/>
    <n v="146.56717699999999"/>
  </r>
  <r>
    <s v="8159"/>
    <s v="Willoughby Girls High School"/>
    <s v="Willoughby"/>
    <s v="Willoughby"/>
    <s v="Sydney - North Sydney and Hornsby"/>
    <x v="0"/>
    <x v="0"/>
    <s v="Metropolitan North"/>
    <x v="4"/>
    <x v="0"/>
    <s v="Girls"/>
    <n v="1035.2"/>
    <m/>
    <s v="Suppressed"/>
    <s v=""/>
    <n v="64"/>
    <n v="1152"/>
    <x v="0"/>
    <n v="9"/>
    <x v="4"/>
    <n v="-33.803128000000001"/>
    <n v="151.19995700000001"/>
  </r>
  <r>
    <s v="8162"/>
    <s v="Macksville High School"/>
    <s v="Macksville"/>
    <s v="Nambucca Valley"/>
    <s v="Mid North Coast"/>
    <x v="1"/>
    <x v="1"/>
    <s v="Regional North and West"/>
    <x v="4"/>
    <x v="0"/>
    <s v="Coed"/>
    <n v="364.8"/>
    <n v="24"/>
    <s v="Published"/>
    <n v="87.551999999999992"/>
    <n v="5"/>
    <n v="916"/>
    <x v="2"/>
    <n v="124"/>
    <x v="0"/>
    <n v="-30.714945"/>
    <n v="152.91701"/>
  </r>
  <r>
    <s v="8163"/>
    <s v="Penrith High School"/>
    <s v="Penrith"/>
    <s v="Penrith"/>
    <s v="Sydney - Outer West and Blue Mountains"/>
    <x v="0"/>
    <x v="0"/>
    <s v="Metropolitan South and West"/>
    <x v="4"/>
    <x v="1"/>
    <s v="Coed"/>
    <n v="927.8"/>
    <m/>
    <s v="Suppressed"/>
    <s v=""/>
    <n v="94"/>
    <n v="1186"/>
    <x v="0"/>
    <n v="0"/>
    <x v="3"/>
    <n v="-33.756720999999999"/>
    <n v="150.706537"/>
  </r>
  <r>
    <s v="8164"/>
    <s v="Muswellbrook High School"/>
    <s v="MUSWELLBROOK"/>
    <s v="Muswellbrook"/>
    <s v="Hunter Valley exc Newcastle"/>
    <x v="1"/>
    <x v="1"/>
    <s v="Regional North and West"/>
    <x v="4"/>
    <x v="0"/>
    <s v="Coed"/>
    <n v="648"/>
    <n v="31"/>
    <s v="Published"/>
    <n v="200.88"/>
    <n v="7"/>
    <n v="869"/>
    <x v="1"/>
    <n v="150"/>
    <x v="3"/>
    <n v="-32.268737000000002"/>
    <n v="150.897592"/>
  </r>
  <r>
    <s v="8165"/>
    <s v="Bega High School"/>
    <s v="Bega"/>
    <s v="Bega Valley"/>
    <s v="Capital Region"/>
    <x v="2"/>
    <x v="2"/>
    <s v="Regional South and Connected Communities"/>
    <x v="4"/>
    <x v="0"/>
    <s v="Coed"/>
    <n v="702"/>
    <n v="13"/>
    <s v="Published"/>
    <n v="91.26"/>
    <n v="8"/>
    <n v="973"/>
    <x v="2"/>
    <n v="94"/>
    <x v="3"/>
    <n v="-36.678458999999997"/>
    <n v="149.83876599999999"/>
  </r>
  <r>
    <s v="8166"/>
    <s v="Wyong High School"/>
    <s v="WYONG"/>
    <s v="Central Coast (NSW)"/>
    <s v="Central Coast"/>
    <x v="0"/>
    <x v="0"/>
    <s v="Regional North"/>
    <x v="4"/>
    <x v="0"/>
    <s v="Coed"/>
    <n v="672.2"/>
    <n v="15"/>
    <s v="Published"/>
    <n v="100.83"/>
    <n v="13"/>
    <n v="946"/>
    <x v="2"/>
    <n v="129"/>
    <x v="3"/>
    <n v="-33.281328000000002"/>
    <n v="151.41791799999999"/>
  </r>
  <r>
    <s v="8168"/>
    <s v="Temora High School"/>
    <s v="Temora"/>
    <s v="Temora"/>
    <s v="Riverina"/>
    <x v="2"/>
    <x v="2"/>
    <s v="Rural South and West"/>
    <x v="4"/>
    <x v="0"/>
    <s v="Coed"/>
    <n v="274.39999999999998"/>
    <n v="9"/>
    <s v="Published"/>
    <n v="24.695999999999998"/>
    <n v="4"/>
    <n v="964"/>
    <x v="2"/>
    <n v="105"/>
    <x v="1"/>
    <n v="-34.441896999999997"/>
    <n v="147.539525"/>
  </r>
  <r>
    <s v="8169"/>
    <s v="Strathfield Girls High School"/>
    <s v="Strathfield"/>
    <s v="Strathfield"/>
    <s v="Sydney - Inner West"/>
    <x v="0"/>
    <x v="0"/>
    <s v="Metropolitan South"/>
    <x v="4"/>
    <x v="0"/>
    <s v="Girls"/>
    <n v="1061.3"/>
    <n v="1"/>
    <s v="Published"/>
    <n v="10.613"/>
    <n v="90"/>
    <n v="1077"/>
    <x v="3"/>
    <n v="52"/>
    <x v="4"/>
    <n v="-33.873900999999996"/>
    <n v="151.08457100000001"/>
  </r>
  <r>
    <s v="8170"/>
    <s v="Narrabri High School"/>
    <s v="NARRABRI"/>
    <s v="Narrabri"/>
    <s v="New England and North West"/>
    <x v="2"/>
    <x v="2"/>
    <s v="Rural North"/>
    <x v="4"/>
    <x v="0"/>
    <s v="Coed"/>
    <n v="419.8"/>
    <n v="43"/>
    <s v="Published"/>
    <n v="180.51400000000001"/>
    <n v="4"/>
    <n v="864"/>
    <x v="1"/>
    <n v="144"/>
    <x v="0"/>
    <n v="-30.335547999999999"/>
    <n v="149.78267"/>
  </r>
  <r>
    <s v="8171"/>
    <s v="Kiama High School"/>
    <s v="Kiama"/>
    <s v="Kiama"/>
    <s v="Illawarra"/>
    <x v="0"/>
    <x v="0"/>
    <s v="Regional South and Connected Communities"/>
    <x v="4"/>
    <x v="0"/>
    <s v="Coed"/>
    <n v="760.6"/>
    <n v="5"/>
    <s v="Published"/>
    <n v="38.03"/>
    <n v="8"/>
    <n v="1036"/>
    <x v="3"/>
    <n v="70"/>
    <x v="3"/>
    <n v="-34.680660000000003"/>
    <n v="150.84719699999999"/>
  </r>
  <r>
    <s v="8173"/>
    <s v="Wauchope High School"/>
    <s v="Wauchope"/>
    <s v="Port Macquarie-Hastings"/>
    <s v="Mid North Coast"/>
    <x v="1"/>
    <x v="1"/>
    <s v="Regional North and West"/>
    <x v="4"/>
    <x v="0"/>
    <s v="Coed"/>
    <n v="458"/>
    <n v="28"/>
    <s v="Published"/>
    <n v="128.24"/>
    <n v="2"/>
    <n v="894"/>
    <x v="1"/>
    <n v="137"/>
    <x v="0"/>
    <n v="-31.450894000000002"/>
    <n v="152.73115799999999"/>
  </r>
  <r>
    <s v="8174"/>
    <s v="Quirindi High School"/>
    <s v="Quirindi"/>
    <s v="Liverpool Plains"/>
    <s v="New England and North West"/>
    <x v="2"/>
    <x v="2"/>
    <s v="Rural North"/>
    <x v="4"/>
    <x v="0"/>
    <s v="Coed"/>
    <n v="351.4"/>
    <n v="36"/>
    <s v="Published"/>
    <n v="126.50399999999999"/>
    <n v="3"/>
    <n v="891"/>
    <x v="1"/>
    <n v="129"/>
    <x v="0"/>
    <n v="-31.501631"/>
    <n v="150.68008699999999"/>
  </r>
  <r>
    <s v="8176"/>
    <s v="Liverpool Girls High School"/>
    <s v="Liverpool"/>
    <s v="Liverpool"/>
    <s v="Sydney - South West"/>
    <x v="0"/>
    <x v="0"/>
    <s v="Metropolitan South and West"/>
    <x v="4"/>
    <x v="0"/>
    <s v="Girls"/>
    <n v="704"/>
    <n v="2"/>
    <s v="Published"/>
    <n v="14.08"/>
    <n v="90"/>
    <n v="941"/>
    <x v="2"/>
    <n v="153"/>
    <x v="3"/>
    <n v="-33.917985999999999"/>
    <n v="150.93147500000001"/>
  </r>
  <r>
    <s v="8177"/>
    <s v="Kurri Kurri High School"/>
    <s v="Kurri Kurri"/>
    <s v="Cessnock"/>
    <s v="Hunter Valley exc Newcastle"/>
    <x v="0"/>
    <x v="0"/>
    <s v="Regional North"/>
    <x v="4"/>
    <x v="0"/>
    <s v="Coed"/>
    <n v="915.4"/>
    <n v="28"/>
    <s v="Published"/>
    <n v="256.31200000000001"/>
    <n v="3"/>
    <n v="894"/>
    <x v="1"/>
    <n v="142"/>
    <x v="3"/>
    <n v="-32.810141999999999"/>
    <n v="151.48629399999999"/>
  </r>
  <r>
    <s v="8178"/>
    <s v="Richmond High School"/>
    <s v="Richmond"/>
    <s v="Hawkesbury"/>
    <s v="Sydney - Outer West and Blue Mountains"/>
    <x v="0"/>
    <x v="0"/>
    <s v="Regional North"/>
    <x v="4"/>
    <x v="2"/>
    <s v="Coed"/>
    <n v="750"/>
    <n v="16"/>
    <s v="Published"/>
    <n v="120"/>
    <n v="30"/>
    <n v="987"/>
    <x v="2"/>
    <n v="103"/>
    <x v="3"/>
    <n v="-33.600535000000001"/>
    <n v="150.74671499999999"/>
  </r>
  <r>
    <s v="8179"/>
    <s v="Junee High School"/>
    <s v="Junee"/>
    <s v="Junee"/>
    <s v="Riverina"/>
    <x v="1"/>
    <x v="1"/>
    <s v="Rural South and West"/>
    <x v="4"/>
    <x v="0"/>
    <s v="Coed"/>
    <n v="236.8"/>
    <n v="20"/>
    <s v="Published"/>
    <n v="47.360000000000007"/>
    <n v="5"/>
    <n v="922"/>
    <x v="2"/>
    <n v="127"/>
    <x v="1"/>
    <n v="-34.869115000000001"/>
    <n v="147.59276500000001"/>
  </r>
  <r>
    <s v="8180"/>
    <s v="Campbelltown Performing Arts High School"/>
    <s v="Campbelltown"/>
    <s v="Campbelltown (NSW)"/>
    <s v="Sydney - Outer South West"/>
    <x v="0"/>
    <x v="0"/>
    <s v="Regional South and Connected Communities"/>
    <x v="4"/>
    <x v="0"/>
    <s v="Coed"/>
    <n v="892.8"/>
    <n v="12"/>
    <s v="Published"/>
    <n v="107.136"/>
    <n v="41"/>
    <n v="950"/>
    <x v="2"/>
    <n v="127"/>
    <x v="3"/>
    <n v="-34.060108"/>
    <n v="150.822959"/>
  </r>
  <r>
    <s v="8184"/>
    <s v="Punchbowl Boys High School"/>
    <s v="Punchbowl"/>
    <s v="Canterbury-Bankstown"/>
    <s v="Sydney - Inner South West"/>
    <x v="0"/>
    <x v="0"/>
    <s v="Metropolitan South"/>
    <x v="4"/>
    <x v="0"/>
    <s v="Boys"/>
    <n v="472"/>
    <m/>
    <s v="Suppressed"/>
    <s v=""/>
    <n v="96"/>
    <n v="923"/>
    <x v="2"/>
    <n v="161"/>
    <x v="0"/>
    <n v="-33.924027000000002"/>
    <n v="151.052954"/>
  </r>
  <r>
    <s v="8186"/>
    <s v="Liverpool Boys High School"/>
    <s v="LIVERPOOL"/>
    <s v="Liverpool"/>
    <s v="Sydney - South West"/>
    <x v="0"/>
    <x v="0"/>
    <s v="Metropolitan South and West"/>
    <x v="4"/>
    <x v="0"/>
    <s v="Boys"/>
    <n v="548.9"/>
    <n v="3"/>
    <s v="Published"/>
    <n v="16.466999999999999"/>
    <n v="89"/>
    <n v="925"/>
    <x v="2"/>
    <n v="162"/>
    <x v="0"/>
    <n v="-33.917157000000003"/>
    <n v="150.93154000000001"/>
  </r>
  <r>
    <s v="8187"/>
    <s v="East Hills Girls Technology High School"/>
    <s v="Panania"/>
    <s v="Canterbury-Bankstown"/>
    <s v="Sydney - Inner South West"/>
    <x v="0"/>
    <x v="0"/>
    <s v="Metropolitan South and West"/>
    <x v="4"/>
    <x v="0"/>
    <s v="Girls"/>
    <n v="758.6"/>
    <n v="2"/>
    <s v="Published"/>
    <n v="15.172000000000001"/>
    <n v="77"/>
    <n v="1031"/>
    <x v="3"/>
    <n v="86"/>
    <x v="3"/>
    <n v="-33.956865999999998"/>
    <n v="150.99201600000001"/>
  </r>
  <r>
    <s v="8188"/>
    <s v="Gunnedah High School"/>
    <s v="Gunnedah"/>
    <s v="Gunnedah"/>
    <s v="New England and North West"/>
    <x v="2"/>
    <x v="2"/>
    <s v="Regional South and Connected Communities"/>
    <x v="4"/>
    <x v="0"/>
    <s v="Coed"/>
    <n v="438"/>
    <n v="53"/>
    <s v="Published"/>
    <n v="232.14000000000001"/>
    <n v="6"/>
    <n v="820"/>
    <x v="1"/>
    <n v="154"/>
    <x v="0"/>
    <n v="-30.982637"/>
    <n v="150.24876800000001"/>
  </r>
  <r>
    <s v="8189"/>
    <s v="Kyogle High School"/>
    <s v="Kyogle"/>
    <s v="Kyogle"/>
    <s v="Richmond - Tweed"/>
    <x v="1"/>
    <x v="1"/>
    <s v="Rural North"/>
    <x v="4"/>
    <x v="0"/>
    <s v="Coed"/>
    <n v="307"/>
    <n v="20"/>
    <s v="Published"/>
    <n v="61.400000000000006"/>
    <n v="5"/>
    <n v="912"/>
    <x v="2"/>
    <n v="139"/>
    <x v="0"/>
    <n v="-28.625772000000001"/>
    <n v="153.001529"/>
  </r>
  <r>
    <s v="8190"/>
    <s v="Cootamundra High School"/>
    <s v="Cootamundra"/>
    <s v="Cootamundra-Gundagai"/>
    <s v="Riverina"/>
    <x v="1"/>
    <x v="1"/>
    <s v="Rural South and West"/>
    <x v="4"/>
    <x v="0"/>
    <s v="Coed"/>
    <n v="202.2"/>
    <n v="22"/>
    <s v="Published"/>
    <n v="44.483999999999995"/>
    <n v="6"/>
    <n v="902"/>
    <x v="2"/>
    <n v="149"/>
    <x v="1"/>
    <n v="-34.635418999999999"/>
    <n v="148.017191"/>
  </r>
  <r>
    <s v="8191"/>
    <s v="Corrimal High School"/>
    <s v="Corrimal"/>
    <s v="Wollongong"/>
    <s v="Illawarra"/>
    <x v="0"/>
    <x v="0"/>
    <s v="Regional South and Connected Communities"/>
    <x v="4"/>
    <x v="0"/>
    <s v="Coed"/>
    <n v="568.79999999999995"/>
    <n v="18"/>
    <s v="Published"/>
    <n v="102.38399999999999"/>
    <n v="17"/>
    <n v="940"/>
    <x v="2"/>
    <n v="125"/>
    <x v="0"/>
    <n v="-34.374243"/>
    <n v="150.91070999999999"/>
  </r>
  <r>
    <s v="8193"/>
    <s v="Mullumbimby High School"/>
    <s v="Mullumbimby"/>
    <s v="Byron"/>
    <s v="Richmond - Tweed"/>
    <x v="1"/>
    <x v="1"/>
    <s v="Rural North"/>
    <x v="4"/>
    <x v="0"/>
    <s v="Coed"/>
    <n v="619.5"/>
    <n v="8"/>
    <s v="Published"/>
    <n v="49.56"/>
    <n v="13"/>
    <n v="1019"/>
    <x v="3"/>
    <n v="80"/>
    <x v="3"/>
    <n v="-28.558568999999999"/>
    <n v="153.49460400000001"/>
  </r>
  <r>
    <s v="8194"/>
    <s v="Forbes High School"/>
    <s v="Forbes"/>
    <s v="Forbes"/>
    <s v="Central West"/>
    <x v="2"/>
    <x v="2"/>
    <s v="Rural South and West"/>
    <x v="4"/>
    <x v="0"/>
    <s v="Coed"/>
    <n v="287"/>
    <n v="37"/>
    <s v="Published"/>
    <n v="106.19"/>
    <n v="3"/>
    <n v="848"/>
    <x v="1"/>
    <n v="146"/>
    <x v="1"/>
    <n v="-33.364595999999999"/>
    <n v="148.01135199999999"/>
  </r>
  <r>
    <s v="8195"/>
    <s v="Ballina Coast High School"/>
    <s v="BALLINA"/>
    <s v="Ballina"/>
    <s v="Richmond - Tweed"/>
    <x v="1"/>
    <x v="1"/>
    <s v="Rural North"/>
    <x v="4"/>
    <x v="0"/>
    <s v="Coed"/>
    <n v="718.2"/>
    <n v="19"/>
    <s v="Published"/>
    <n v="136.458"/>
    <n v="8"/>
    <n v="952"/>
    <x v="2"/>
    <n v="113"/>
    <x v="3"/>
    <n v="-28.866603000000001"/>
    <n v="153.56505799999999"/>
  </r>
  <r>
    <s v="8196"/>
    <s v="Monaro High School"/>
    <s v="Cooma North"/>
    <s v="Snowy Monaro"/>
    <s v="Capital Region"/>
    <x v="1"/>
    <x v="1"/>
    <s v="Rural South and West"/>
    <x v="4"/>
    <x v="0"/>
    <s v="Coed"/>
    <n v="372"/>
    <n v="9"/>
    <s v="Published"/>
    <n v="33.479999999999997"/>
    <n v="9"/>
    <n v="977"/>
    <x v="2"/>
    <n v="106"/>
    <x v="0"/>
    <n v="-36.216655000000003"/>
    <n v="149.13402099999999"/>
  </r>
  <r>
    <s v="8197"/>
    <s v="Wellington High School"/>
    <s v="Wellington"/>
    <s v="Dubbo"/>
    <s v="Far West and Orana"/>
    <x v="2"/>
    <x v="2"/>
    <s v="Regional North and West"/>
    <x v="4"/>
    <x v="0"/>
    <s v="Coed"/>
    <n v="284"/>
    <n v="66"/>
    <s v="Published"/>
    <n v="187.44"/>
    <n v="3"/>
    <n v="792"/>
    <x v="1"/>
    <n v="166"/>
    <x v="1"/>
    <n v="-32.546677000000003"/>
    <n v="148.94781499999999"/>
  </r>
  <r>
    <s v="8201"/>
    <s v="Nowra High School"/>
    <s v="Nowra"/>
    <s v="Shoalhaven"/>
    <s v="Southern Highlands and Shoalhaven"/>
    <x v="1"/>
    <x v="1"/>
    <s v="Regional South and Connected Communities"/>
    <x v="4"/>
    <x v="0"/>
    <s v="Coed"/>
    <n v="777"/>
    <n v="21"/>
    <s v="Published"/>
    <n v="163.16999999999999"/>
    <n v="8"/>
    <n v="944"/>
    <x v="2"/>
    <n v="111"/>
    <x v="3"/>
    <n v="-34.872965999999998"/>
    <n v="150.60936100000001"/>
  </r>
  <r>
    <s v="8202"/>
    <s v="Singleton High School"/>
    <s v="SINGLETON"/>
    <s v="Singleton"/>
    <s v="Hunter Valley exc Newcastle"/>
    <x v="1"/>
    <x v="1"/>
    <s v="Regional North and West"/>
    <x v="4"/>
    <x v="0"/>
    <s v="Coed"/>
    <n v="873.6"/>
    <n v="28"/>
    <s v="Published"/>
    <n v="244.60800000000003"/>
    <n v="7"/>
    <n v="901"/>
    <x v="2"/>
    <n v="137"/>
    <x v="3"/>
    <n v="-32.569684000000002"/>
    <n v="151.177593"/>
  </r>
  <r>
    <s v="8203"/>
    <s v="Belmont High School"/>
    <s v="BELMONT"/>
    <s v="Lake Macquarie"/>
    <s v="Newcastle and Lake Macquarie"/>
    <x v="0"/>
    <x v="0"/>
    <s v="Regional North"/>
    <x v="4"/>
    <x v="0"/>
    <s v="Coed"/>
    <n v="807"/>
    <n v="14"/>
    <s v="Published"/>
    <n v="112.98"/>
    <n v="5"/>
    <n v="973"/>
    <x v="2"/>
    <n v="111"/>
    <x v="3"/>
    <n v="-33.027146999999999"/>
    <n v="151.66011399999999"/>
  </r>
  <r>
    <s v="8204"/>
    <s v="Dapto High School"/>
    <s v="Dapto"/>
    <s v="Wollongong"/>
    <s v="Illawarra"/>
    <x v="0"/>
    <x v="0"/>
    <s v="Regional South and Connected Communities"/>
    <x v="4"/>
    <x v="0"/>
    <s v="Coed"/>
    <n v="987.4"/>
    <n v="10"/>
    <s v="Published"/>
    <n v="98.740000000000009"/>
    <n v="10"/>
    <n v="968"/>
    <x v="2"/>
    <n v="113"/>
    <x v="3"/>
    <n v="-34.499054000000001"/>
    <n v="150.78586799999999"/>
  </r>
  <r>
    <s v="8205"/>
    <s v="Illawarra Sports High School"/>
    <s v="Berkeley"/>
    <s v="Wollongong"/>
    <s v="Illawarra"/>
    <x v="0"/>
    <x v="0"/>
    <s v="Regional South and Connected Communities"/>
    <x v="4"/>
    <x v="0"/>
    <s v="Coed"/>
    <n v="925.8"/>
    <n v="17"/>
    <s v="Published"/>
    <n v="157.386"/>
    <n v="19"/>
    <n v="937"/>
    <x v="2"/>
    <n v="127"/>
    <x v="3"/>
    <n v="-34.480848999999999"/>
    <n v="150.853331"/>
  </r>
  <r>
    <s v="8206"/>
    <s v="East Hills Boys High School"/>
    <s v="Panania"/>
    <s v="Canterbury-Bankstown"/>
    <s v="Sydney - Inner South West"/>
    <x v="0"/>
    <x v="0"/>
    <s v="Metropolitan South and West"/>
    <x v="4"/>
    <x v="0"/>
    <s v="Boys"/>
    <n v="843"/>
    <n v="1"/>
    <s v="Published"/>
    <n v="8.43"/>
    <n v="82"/>
    <n v="1013"/>
    <x v="3"/>
    <n v="99"/>
    <x v="3"/>
    <n v="-33.957228999999998"/>
    <n v="150.99411499999999"/>
  </r>
  <r>
    <s v="8207"/>
    <s v="Hunters Hill High School"/>
    <s v="Hunters Hill"/>
    <s v="Hunters Hill"/>
    <s v="Sydney - Ryde"/>
    <x v="0"/>
    <x v="0"/>
    <s v="Metropolitan North"/>
    <x v="4"/>
    <x v="0"/>
    <s v="Coed"/>
    <n v="789.4"/>
    <m/>
    <s v="Suppressed"/>
    <s v=""/>
    <n v="43"/>
    <n v="1104"/>
    <x v="0"/>
    <n v="34"/>
    <x v="3"/>
    <n v="-33.832695999999999"/>
    <n v="151.14850899999999"/>
  </r>
  <r>
    <s v="8208"/>
    <s v="Cheltenham Girls High School"/>
    <s v="Beecroft"/>
    <s v="Hornsby"/>
    <s v="Sydney - Ryde"/>
    <x v="0"/>
    <x v="0"/>
    <s v="Metropolitan North"/>
    <x v="4"/>
    <x v="0"/>
    <s v="Girls"/>
    <n v="1432.4"/>
    <m/>
    <s v="Suppressed"/>
    <s v=""/>
    <n v="79"/>
    <n v="1142"/>
    <x v="0"/>
    <n v="12"/>
    <x v="4"/>
    <n v="-33.756270000000001"/>
    <n v="151.074096"/>
  </r>
  <r>
    <s v="8209"/>
    <s v="Cabramatta High School"/>
    <s v="Cabramatta"/>
    <s v="Fairfield"/>
    <s v="Sydney - South West"/>
    <x v="0"/>
    <x v="0"/>
    <s v="Metropolitan South and West"/>
    <x v="4"/>
    <x v="0"/>
    <s v="Coed"/>
    <n v="1622.4"/>
    <n v="1"/>
    <s v="Published"/>
    <n v="16.224"/>
    <n v="95"/>
    <n v="934"/>
    <x v="2"/>
    <n v="163"/>
    <x v="4"/>
    <n v="-33.901421999999997"/>
    <n v="150.92891299999999"/>
  </r>
  <r>
    <s v="8210"/>
    <s v="Lake Macquarie High School"/>
    <s v="Booragul"/>
    <s v="Lake Macquarie"/>
    <s v="Newcastle and Lake Macquarie"/>
    <x v="0"/>
    <x v="0"/>
    <s v="Regional North"/>
    <x v="4"/>
    <x v="0"/>
    <s v="Coed"/>
    <n v="434.4"/>
    <n v="19"/>
    <s v="Published"/>
    <n v="82.536000000000001"/>
    <n v="7"/>
    <n v="925"/>
    <x v="2"/>
    <n v="138"/>
    <x v="0"/>
    <n v="-32.975552999999998"/>
    <n v="151.61386300000001"/>
  </r>
  <r>
    <s v="8211"/>
    <s v="Normanhurst Boys High School"/>
    <s v="Normanhurst"/>
    <s v="Hornsby"/>
    <s v="Sydney - North Sydney and Hornsby"/>
    <x v="0"/>
    <x v="0"/>
    <s v="Metropolitan North"/>
    <x v="4"/>
    <x v="1"/>
    <s v="Boys"/>
    <n v="752"/>
    <n v="0"/>
    <s v="Published"/>
    <n v="0"/>
    <n v="90"/>
    <n v="1207"/>
    <x v="0"/>
    <n v="0"/>
    <x v="3"/>
    <n v="-33.721474999999998"/>
    <n v="151.10146599999999"/>
  </r>
  <r>
    <s v="8213"/>
    <s v="Birrong Boys High School"/>
    <s v="Birrong"/>
    <s v="Canterbury-Bankstown"/>
    <s v="Sydney - Inner South West"/>
    <x v="0"/>
    <x v="0"/>
    <s v="Metropolitan South"/>
    <x v="4"/>
    <x v="0"/>
    <s v="Boys"/>
    <n v="366"/>
    <m/>
    <s v="Suppressed"/>
    <s v=""/>
    <n v="95"/>
    <n v="937"/>
    <x v="2"/>
    <n v="157"/>
    <x v="0"/>
    <n v="-33.894047"/>
    <n v="151.025024"/>
  </r>
  <r>
    <s v="8214"/>
    <s v="The Rivers Secondary College, Richmond River High Campus"/>
    <s v="East Lismore"/>
    <s v="Lismore"/>
    <s v="Richmond - Tweed"/>
    <x v="1"/>
    <x v="1"/>
    <s v="Rural North"/>
    <x v="4"/>
    <x v="0"/>
    <s v="Coed"/>
    <n v="494"/>
    <n v="19"/>
    <s v="Published"/>
    <n v="93.86"/>
    <n v="8"/>
    <n v="950"/>
    <x v="2"/>
    <n v="108"/>
    <x v="0"/>
    <n v="-28.820846"/>
    <n v="153.296953"/>
  </r>
  <r>
    <s v="8215"/>
    <s v="Picton High School"/>
    <s v="Picton"/>
    <s v="Wollondilly"/>
    <s v="Sydney - Outer South West"/>
    <x v="1"/>
    <x v="1"/>
    <s v="Regional South and Connected Communities"/>
    <x v="4"/>
    <x v="0"/>
    <s v="Coed"/>
    <n v="1182"/>
    <n v="12"/>
    <s v="Published"/>
    <n v="141.84"/>
    <n v="9"/>
    <n v="950"/>
    <x v="2"/>
    <n v="124"/>
    <x v="4"/>
    <n v="-34.194467000000003"/>
    <n v="150.608418"/>
  </r>
  <r>
    <s v="8216"/>
    <s v="Queanbeyan High School"/>
    <s v="Queanbeyan"/>
    <s v="Queanbeyan-Palerang"/>
    <s v="Capital Region"/>
    <x v="0"/>
    <x v="0"/>
    <s v="Rural South and West"/>
    <x v="4"/>
    <x v="0"/>
    <s v="Coed"/>
    <n v="447.4"/>
    <n v="15"/>
    <s v="Published"/>
    <n v="67.11"/>
    <n v="27"/>
    <n v="967"/>
    <x v="2"/>
    <n v="110"/>
    <x v="0"/>
    <n v="-35.353242999999999"/>
    <n v="149.220484"/>
  </r>
  <r>
    <s v="8217"/>
    <s v="Camden High School"/>
    <s v="Camden"/>
    <s v="Camden"/>
    <s v="Sydney - Outer South West"/>
    <x v="0"/>
    <x v="0"/>
    <s v="Regional South and Connected Communities"/>
    <x v="4"/>
    <x v="0"/>
    <s v="Coed"/>
    <n v="911.6"/>
    <n v="9"/>
    <s v="Published"/>
    <n v="82.043999999999997"/>
    <n v="11"/>
    <n v="976"/>
    <x v="2"/>
    <n v="108"/>
    <x v="3"/>
    <n v="-34.0793994"/>
    <n v="150.67773249999999"/>
  </r>
  <r>
    <s v="8218"/>
    <s v="Deniliquin High School"/>
    <s v="Deniliquin"/>
    <s v="Edward River"/>
    <s v="Murray"/>
    <x v="1"/>
    <x v="1"/>
    <s v="Rural South and West"/>
    <x v="4"/>
    <x v="0"/>
    <s v="Coed"/>
    <n v="432"/>
    <n v="15"/>
    <s v="Published"/>
    <n v="64.8"/>
    <n v="4"/>
    <n v="948"/>
    <x v="2"/>
    <n v="115"/>
    <x v="0"/>
    <n v="-35.536270000000002"/>
    <n v="144.96126899999999"/>
  </r>
  <r>
    <s v="8219"/>
    <s v="Hunter River High School"/>
    <s v="Heatherbrae"/>
    <s v="Port Stephens"/>
    <s v="Hunter Valley exc Newcastle"/>
    <x v="0"/>
    <x v="0"/>
    <s v="Regional North"/>
    <x v="4"/>
    <x v="0"/>
    <s v="Coed"/>
    <n v="760.4"/>
    <n v="27"/>
    <s v="Published"/>
    <n v="205.30800000000002"/>
    <n v="6"/>
    <n v="899"/>
    <x v="1"/>
    <n v="141"/>
    <x v="3"/>
    <n v="-32.781835000000001"/>
    <n v="151.732798"/>
  </r>
  <r>
    <s v="8221"/>
    <s v="Kingsgrove North High School"/>
    <s v="KINGSGROVE"/>
    <s v="Canterbury-Bankstown"/>
    <s v="Sydney - Inner South West"/>
    <x v="0"/>
    <x v="0"/>
    <s v="Metropolitan South"/>
    <x v="4"/>
    <x v="0"/>
    <s v="Coed"/>
    <n v="1020"/>
    <n v="2"/>
    <s v="Published"/>
    <n v="20.400000000000002"/>
    <n v="76"/>
    <n v="1002"/>
    <x v="3"/>
    <n v="110"/>
    <x v="4"/>
    <n v="-33.933979999999998"/>
    <n v="151.09762799999999"/>
  </r>
  <r>
    <s v="8222"/>
    <s v="Asquith High School"/>
    <s v="Asquith"/>
    <s v="Hornsby"/>
    <s v="Sydney - North Sydney and Hornsby"/>
    <x v="0"/>
    <x v="0"/>
    <s v="Metropolitan North"/>
    <x v="4"/>
    <x v="0"/>
    <s v="Coed"/>
    <n v="668.2"/>
    <n v="2"/>
    <s v="Published"/>
    <n v="13.364000000000001"/>
    <n v="35"/>
    <n v="1082"/>
    <x v="3"/>
    <n v="49"/>
    <x v="3"/>
    <n v="-33.689715999999997"/>
    <n v="151.11275000000001"/>
  </r>
  <r>
    <s v="8223"/>
    <s v="Bass High School"/>
    <s v="Bass Hill"/>
    <s v="Canterbury-Bankstown"/>
    <s v="Sydney - Inner South West"/>
    <x v="0"/>
    <x v="0"/>
    <s v="Metropolitan South and West"/>
    <x v="4"/>
    <x v="0"/>
    <s v="Coed"/>
    <n v="871.2"/>
    <n v="2"/>
    <s v="Published"/>
    <n v="17.424000000000003"/>
    <n v="82"/>
    <n v="927"/>
    <x v="2"/>
    <n v="164"/>
    <x v="3"/>
    <n v="-33.897941000000003"/>
    <n v="150.98937900000001"/>
  </r>
  <r>
    <s v="8224"/>
    <s v="Blacktown Girls High School"/>
    <s v="Blacktown"/>
    <s v="Blacktown"/>
    <s v="Sydney - Blacktown"/>
    <x v="0"/>
    <x v="0"/>
    <s v="Metropolitan South and West"/>
    <x v="4"/>
    <x v="2"/>
    <s v="Girls"/>
    <n v="1079.0999999999999"/>
    <n v="3"/>
    <s v="Published"/>
    <n v="32.372999999999998"/>
    <n v="87"/>
    <n v="1046"/>
    <x v="3"/>
    <n v="71"/>
    <x v="4"/>
    <n v="-33.761975999999997"/>
    <n v="150.91079199999999"/>
  </r>
  <r>
    <s v="8225"/>
    <s v="Marsden High School"/>
    <s v="MEADOWBANK"/>
    <s v="Ryde"/>
    <s v="Sydney - Ryde"/>
    <x v="0"/>
    <x v="0"/>
    <s v="Metropolitan North"/>
    <x v="4"/>
    <x v="0"/>
    <s v="Coed"/>
    <n v="1295.0999999999999"/>
    <n v="2"/>
    <s v="Published"/>
    <n v="25.901999999999997"/>
    <n v="73"/>
    <n v="1050"/>
    <x v="3"/>
    <n v="64"/>
    <x v="4"/>
    <n v="-33.812981000000001"/>
    <n v="151.09223700000001"/>
  </r>
  <r>
    <s v="8227"/>
    <s v="Merrylands High School"/>
    <s v="Merrylands"/>
    <s v="Cumberland"/>
    <s v="Sydney - Parramatta"/>
    <x v="0"/>
    <x v="0"/>
    <s v="Metropolitan South"/>
    <x v="4"/>
    <x v="0"/>
    <s v="Coed"/>
    <n v="851.8"/>
    <n v="2"/>
    <s v="Published"/>
    <n v="17.035999999999998"/>
    <n v="88"/>
    <n v="915"/>
    <x v="2"/>
    <n v="169"/>
    <x v="3"/>
    <n v="-33.840846999999997"/>
    <n v="150.96957"/>
  </r>
  <r>
    <s v="8229"/>
    <s v="Northmead Creative and Performing Arts High School"/>
    <s v="Northmead"/>
    <s v="Parramatta"/>
    <s v="Sydney - Parramatta"/>
    <x v="0"/>
    <x v="0"/>
    <s v="Metropolitan South"/>
    <x v="4"/>
    <x v="0"/>
    <s v="Coed"/>
    <n v="1238.5999999999999"/>
    <n v="2"/>
    <s v="Published"/>
    <n v="24.771999999999998"/>
    <n v="59"/>
    <n v="1069"/>
    <x v="3"/>
    <n v="56"/>
    <x v="4"/>
    <n v="-33.788091999999999"/>
    <n v="150.999661"/>
  </r>
  <r>
    <s v="8230"/>
    <s v="Port Hacking High School"/>
    <s v="MIRANDA"/>
    <s v="Sutherland"/>
    <s v="Sydney - Sutherland"/>
    <x v="0"/>
    <x v="0"/>
    <s v="Metropolitan South and West"/>
    <x v="4"/>
    <x v="0"/>
    <s v="Coed"/>
    <n v="950"/>
    <n v="3"/>
    <s v="Published"/>
    <n v="28.5"/>
    <n v="36"/>
    <n v="1050"/>
    <x v="3"/>
    <n v="62"/>
    <x v="3"/>
    <n v="-34.032395000000001"/>
    <n v="151.09725700000001"/>
  </r>
  <r>
    <s v="8231"/>
    <s v="Seven Hills High School"/>
    <s v="Seven Hills"/>
    <s v="Blacktown"/>
    <s v="Sydney - Blacktown"/>
    <x v="0"/>
    <x v="0"/>
    <s v="Metropolitan North"/>
    <x v="4"/>
    <x v="0"/>
    <s v="Coed"/>
    <n v="480"/>
    <n v="8"/>
    <s v="Published"/>
    <n v="38.4"/>
    <n v="20"/>
    <n v="969"/>
    <x v="2"/>
    <n v="123"/>
    <x v="0"/>
    <n v="-33.762704999999997"/>
    <n v="150.94487000000001"/>
  </r>
  <r>
    <s v="8232"/>
    <s v="Chatswood High School"/>
    <s v="CHATSWOOD"/>
    <s v="Willoughby"/>
    <s v="Sydney - North Sydney and Hornsby"/>
    <x v="0"/>
    <x v="0"/>
    <s v="Metropolitan North"/>
    <x v="4"/>
    <x v="2"/>
    <s v="Coed"/>
    <n v="2145.8000000000002"/>
    <m/>
    <s v="Suppressed"/>
    <s v=""/>
    <n v="81"/>
    <n v="1137"/>
    <x v="0"/>
    <n v="14"/>
    <x v="4"/>
    <n v="-33.800013"/>
    <n v="151.17532399999999"/>
  </r>
  <r>
    <s v="8233"/>
    <s v="Hunter Sports High School"/>
    <s v="Gateshead"/>
    <s v="Lake Macquarie"/>
    <s v="Newcastle and Lake Macquarie"/>
    <x v="0"/>
    <x v="0"/>
    <s v="Regional North"/>
    <x v="4"/>
    <x v="0"/>
    <s v="Coed"/>
    <n v="922.4"/>
    <n v="24"/>
    <s v="Published"/>
    <n v="221.37599999999998"/>
    <n v="6"/>
    <n v="955"/>
    <x v="2"/>
    <n v="111"/>
    <x v="3"/>
    <n v="-32.985494000000003"/>
    <n v="151.69114200000001"/>
  </r>
  <r>
    <s v="8235"/>
    <s v="James Ruse Agricultural High School"/>
    <s v="Carlingford"/>
    <s v="Parramatta"/>
    <s v="Sydney - Parramatta"/>
    <x v="0"/>
    <x v="0"/>
    <s v="Metropolitan North"/>
    <x v="4"/>
    <x v="1"/>
    <s v="Coed"/>
    <n v="856.9"/>
    <n v="0"/>
    <s v="Published"/>
    <n v="0"/>
    <n v="97"/>
    <n v="1222"/>
    <x v="0"/>
    <n v="0"/>
    <x v="3"/>
    <n v="-33.780624000000003"/>
    <n v="151.043204"/>
  </r>
  <r>
    <s v="8236"/>
    <s v="Blakehurst High School"/>
    <s v="Blakehurst"/>
    <s v="Georges River"/>
    <s v="Sydney - Inner South West"/>
    <x v="0"/>
    <x v="0"/>
    <s v="Metropolitan South"/>
    <x v="4"/>
    <x v="0"/>
    <s v="Coed"/>
    <n v="1013"/>
    <n v="1"/>
    <s v="Published"/>
    <n v="10.130000000000001"/>
    <n v="81"/>
    <n v="1043"/>
    <x v="3"/>
    <n v="74"/>
    <x v="4"/>
    <n v="-33.980406000000002"/>
    <n v="151.11323999999999"/>
  </r>
  <r>
    <s v="8240"/>
    <s v="Caringbah High School"/>
    <s v="Caringbah"/>
    <s v="Sutherland"/>
    <s v="Sydney - Sutherland"/>
    <x v="0"/>
    <x v="0"/>
    <s v="Metropolitan South and West"/>
    <x v="4"/>
    <x v="1"/>
    <s v="Coed"/>
    <n v="900.4"/>
    <m/>
    <s v="Suppressed"/>
    <s v=""/>
    <n v="64"/>
    <n v="1172"/>
    <x v="0"/>
    <n v="11"/>
    <x v="3"/>
    <n v="-34.034900999999998"/>
    <n v="151.12039899999999"/>
  </r>
  <r>
    <s v="8243"/>
    <s v="Riverside Girls High School"/>
    <s v="Gladesville"/>
    <s v="Hunters Hill"/>
    <s v="Sydney - Ryde"/>
    <x v="0"/>
    <x v="0"/>
    <s v="Metropolitan North"/>
    <x v="4"/>
    <x v="0"/>
    <s v="Girls"/>
    <n v="660.1"/>
    <n v="1"/>
    <s v="Published"/>
    <n v="6.601"/>
    <n v="49"/>
    <n v="1114"/>
    <x v="0"/>
    <n v="34"/>
    <x v="3"/>
    <n v="-33.840079000000003"/>
    <n v="151.14146700000001"/>
  </r>
  <r>
    <s v="8244"/>
    <s v="Blacktown Boys High School"/>
    <s v="Blacktown"/>
    <s v="Blacktown"/>
    <s v="Sydney - Blacktown"/>
    <x v="0"/>
    <x v="0"/>
    <s v="Metropolitan South and West"/>
    <x v="4"/>
    <x v="2"/>
    <s v="Boys"/>
    <n v="898"/>
    <n v="2"/>
    <s v="Published"/>
    <n v="17.96"/>
    <n v="88"/>
    <n v="1053"/>
    <x v="3"/>
    <n v="62"/>
    <x v="3"/>
    <n v="-33.762056999999999"/>
    <n v="150.912543"/>
  </r>
  <r>
    <s v="8245"/>
    <s v="Hornsby High School"/>
    <s v="Asquith"/>
    <s v="Hornsby"/>
    <s v="Sydney - North Sydney and Hornsby"/>
    <x v="0"/>
    <x v="0"/>
    <s v="Metropolitan North"/>
    <x v="4"/>
    <x v="0"/>
    <s v="Coed"/>
    <n v="541.79999999999995"/>
    <n v="4"/>
    <s v="Published"/>
    <n v="21.671999999999997"/>
    <n v="25"/>
    <n v="1045"/>
    <x v="3"/>
    <n v="63"/>
    <x v="0"/>
    <n v="-33.692276"/>
    <n v="151.103016"/>
  </r>
  <r>
    <s v="8246"/>
    <s v="Heathcote High School"/>
    <s v="Heathcote"/>
    <s v="Sutherland"/>
    <s v="Sydney - Sutherland"/>
    <x v="0"/>
    <x v="0"/>
    <s v="Metropolitan South and West"/>
    <x v="4"/>
    <x v="0"/>
    <s v="Coed"/>
    <n v="632.6"/>
    <n v="3"/>
    <s v="Published"/>
    <n v="18.978000000000002"/>
    <n v="7"/>
    <n v="1028"/>
    <x v="3"/>
    <n v="88"/>
    <x v="3"/>
    <n v="-34.082295000000002"/>
    <n v="151.01441"/>
  </r>
  <r>
    <s v="8247"/>
    <s v="Kingsgrove High School"/>
    <s v="Kingsgrove"/>
    <s v="Georges River"/>
    <s v="Sydney - Inner South West"/>
    <x v="0"/>
    <x v="0"/>
    <s v="Metropolitan South"/>
    <x v="4"/>
    <x v="0"/>
    <s v="Coed"/>
    <n v="672"/>
    <n v="1"/>
    <s v="Published"/>
    <n v="6.72"/>
    <n v="85"/>
    <n v="986"/>
    <x v="2"/>
    <n v="117"/>
    <x v="3"/>
    <n v="-33.948518999999997"/>
    <n v="151.101653"/>
  </r>
  <r>
    <s v="8249"/>
    <s v="Matraville Sports High School"/>
    <s v="Chifley"/>
    <s v="Randwick"/>
    <s v="Sydney - Eastern Suburbs"/>
    <x v="0"/>
    <x v="0"/>
    <s v="Metropolitan South"/>
    <x v="4"/>
    <x v="0"/>
    <s v="Coed"/>
    <n v="486.2"/>
    <n v="28"/>
    <s v="Published"/>
    <n v="136.136"/>
    <n v="36"/>
    <n v="930"/>
    <x v="2"/>
    <n v="114"/>
    <x v="0"/>
    <n v="-33.964747000000003"/>
    <n v="151.24454800000001"/>
  </r>
  <r>
    <s v="8250"/>
    <s v="Sir Joseph Banks High School"/>
    <s v="Revesby"/>
    <s v="Canterbury-Bankstown"/>
    <s v="Sydney - Inner South West"/>
    <x v="0"/>
    <x v="0"/>
    <s v="Metropolitan South and West"/>
    <x v="4"/>
    <x v="0"/>
    <s v="Coed"/>
    <n v="945"/>
    <n v="2"/>
    <s v="Published"/>
    <n v="18.900000000000002"/>
    <n v="84"/>
    <n v="949"/>
    <x v="2"/>
    <n v="140"/>
    <x v="3"/>
    <n v="-33.939698"/>
    <n v="151.02090699999999"/>
  </r>
  <r>
    <s v="8252"/>
    <s v="Strathfield South High School"/>
    <s v="Enfield"/>
    <s v="Strathfield"/>
    <s v="Sydney - Inner West"/>
    <x v="0"/>
    <x v="0"/>
    <s v="Metropolitan South"/>
    <x v="4"/>
    <x v="0"/>
    <s v="Coed"/>
    <n v="549"/>
    <n v="3"/>
    <s v="Published"/>
    <n v="16.47"/>
    <n v="86"/>
    <n v="961"/>
    <x v="2"/>
    <n v="138"/>
    <x v="0"/>
    <n v="-33.885382"/>
    <n v="151.071235"/>
  </r>
  <r>
    <s v="8253"/>
    <s v="Auburn Girls High School"/>
    <s v="Auburn"/>
    <s v="Cumberland"/>
    <s v="Sydney - Parramatta"/>
    <x v="0"/>
    <x v="0"/>
    <s v="Metropolitan South"/>
    <x v="4"/>
    <x v="2"/>
    <s v="Girls"/>
    <n v="853.3"/>
    <m/>
    <s v="Suppressed"/>
    <s v=""/>
    <n v="97"/>
    <n v="966"/>
    <x v="2"/>
    <n v="135"/>
    <x v="3"/>
    <n v="-33.842880000000001"/>
    <n v="151.033681"/>
  </r>
  <r>
    <s v="8254"/>
    <s v="Bankstown Girls High School"/>
    <s v="Bankstown"/>
    <s v="Canterbury-Bankstown"/>
    <s v="Sydney - Inner South West"/>
    <x v="0"/>
    <x v="0"/>
    <s v="Metropolitan South and West"/>
    <x v="4"/>
    <x v="0"/>
    <s v="Girls"/>
    <n v="551"/>
    <m/>
    <s v="Suppressed"/>
    <s v=""/>
    <n v="94"/>
    <n v="964"/>
    <x v="2"/>
    <n v="141"/>
    <x v="0"/>
    <n v="-33.920754000000002"/>
    <n v="151.032138"/>
  </r>
  <r>
    <s v="8255"/>
    <s v="Beverly Hills Girls High School"/>
    <s v="Beverly Hills"/>
    <s v="Georges River"/>
    <s v="Sydney - Inner South West"/>
    <x v="0"/>
    <x v="0"/>
    <s v="Metropolitan South"/>
    <x v="4"/>
    <x v="0"/>
    <s v="Girls"/>
    <n v="1003"/>
    <m/>
    <s v="Suppressed"/>
    <s v=""/>
    <n v="95"/>
    <n v="1003"/>
    <x v="3"/>
    <n v="109"/>
    <x v="4"/>
    <n v="-33.948461000000002"/>
    <n v="151.07862700000001"/>
  </r>
  <r>
    <s v="8258"/>
    <s v="Bellingen High School"/>
    <s v="Bellingen"/>
    <s v="Bellingen"/>
    <s v="Coffs Harbour - Grafton"/>
    <x v="1"/>
    <x v="1"/>
    <s v="Regional North and West"/>
    <x v="4"/>
    <x v="0"/>
    <s v="Coed"/>
    <n v="582.4"/>
    <n v="11"/>
    <s v="Published"/>
    <n v="64.063999999999993"/>
    <n v="8"/>
    <n v="1006"/>
    <x v="3"/>
    <n v="81"/>
    <x v="0"/>
    <n v="-30.455123"/>
    <n v="152.90844200000001"/>
  </r>
  <r>
    <s v="8259"/>
    <s v="Callaghan College Wallsend Campus"/>
    <s v="Wallsend"/>
    <s v="Newcastle"/>
    <s v="Newcastle and Lake Macquarie"/>
    <x v="0"/>
    <x v="0"/>
    <s v="Regional North"/>
    <x v="4"/>
    <x v="0"/>
    <s v="Coed"/>
    <n v="890"/>
    <n v="15"/>
    <s v="Published"/>
    <n v="133.5"/>
    <n v="19"/>
    <n v="952"/>
    <x v="2"/>
    <n v="124"/>
    <x v="3"/>
    <n v="-32.892949999999999"/>
    <n v="151.66928899999999"/>
  </r>
  <r>
    <s v="8260"/>
    <s v="Bonnyrigg High School"/>
    <s v="Bonnyrigg"/>
    <s v="Fairfield"/>
    <s v="Sydney - South West"/>
    <x v="0"/>
    <x v="0"/>
    <s v="Metropolitan South and West"/>
    <x v="4"/>
    <x v="2"/>
    <s v="Coed"/>
    <n v="1641.2"/>
    <n v="3"/>
    <s v="Published"/>
    <n v="49.235999999999997"/>
    <n v="91"/>
    <n v="962"/>
    <x v="2"/>
    <n v="141"/>
    <x v="4"/>
    <n v="-33.894981999999999"/>
    <n v="150.89316700000001"/>
  </r>
  <r>
    <s v="8261"/>
    <s v="Cronulla High School"/>
    <s v="Cronulla"/>
    <s v="Sutherland"/>
    <s v="Sydney - Sutherland"/>
    <x v="0"/>
    <x v="0"/>
    <s v="Metropolitan South and West"/>
    <x v="4"/>
    <x v="0"/>
    <s v="Coed"/>
    <n v="1205"/>
    <n v="3"/>
    <s v="Published"/>
    <n v="36.15"/>
    <n v="16"/>
    <n v="1050"/>
    <x v="3"/>
    <n v="68"/>
    <x v="4"/>
    <n v="-34.038438999999997"/>
    <n v="151.15905599999999"/>
  </r>
  <r>
    <s v="8262"/>
    <s v="Ingleburn High School"/>
    <s v="Ingleburn"/>
    <s v="Campbelltown (NSW)"/>
    <s v="Sydney - Outer South West"/>
    <x v="0"/>
    <x v="0"/>
    <s v="Metropolitan South and West"/>
    <x v="4"/>
    <x v="0"/>
    <s v="Coed"/>
    <n v="781.8"/>
    <n v="11"/>
    <s v="Published"/>
    <n v="85.99799999999999"/>
    <n v="55"/>
    <n v="957"/>
    <x v="2"/>
    <n v="121"/>
    <x v="3"/>
    <n v="-34.005121000000003"/>
    <n v="150.87152"/>
  </r>
  <r>
    <s v="8263"/>
    <s v="J J Cahill Memorial High School"/>
    <s v="Mascot"/>
    <s v="Bayside (NSW)"/>
    <s v="Sydney - City and Inner South"/>
    <x v="0"/>
    <x v="0"/>
    <s v="Metropolitan South"/>
    <x v="4"/>
    <x v="0"/>
    <s v="Coed"/>
    <n v="298"/>
    <n v="7"/>
    <s v="Published"/>
    <n v="20.860000000000003"/>
    <n v="66"/>
    <n v="987"/>
    <x v="2"/>
    <n v="109"/>
    <x v="1"/>
    <n v="-33.927435000000003"/>
    <n v="151.20183499999999"/>
  </r>
  <r>
    <s v="8265"/>
    <s v="Sefton High School"/>
    <s v="SEFTON"/>
    <s v="Canterbury-Bankstown"/>
    <s v="Sydney - Parramatta"/>
    <x v="0"/>
    <x v="0"/>
    <s v="Metropolitan South"/>
    <x v="4"/>
    <x v="2"/>
    <s v="Coed"/>
    <n v="1121"/>
    <m/>
    <s v="Suppressed"/>
    <s v=""/>
    <n v="94"/>
    <n v="1033"/>
    <x v="3"/>
    <n v="91"/>
    <x v="4"/>
    <n v="-33.879537999999997"/>
    <n v="151.00879900000001"/>
  </r>
  <r>
    <s v="8266"/>
    <s v="James Fallon High School"/>
    <s v="NORTH ALBURY"/>
    <s v="Albury"/>
    <s v="Murray"/>
    <x v="1"/>
    <x v="1"/>
    <s v="Rural South and West"/>
    <x v="4"/>
    <x v="0"/>
    <s v="Coed"/>
    <n v="660"/>
    <n v="23"/>
    <s v="Published"/>
    <n v="151.80000000000001"/>
    <n v="12"/>
    <n v="905"/>
    <x v="2"/>
    <n v="141"/>
    <x v="3"/>
    <n v="-36.060243999999997"/>
    <n v="146.92897099999999"/>
  </r>
  <r>
    <s v="8268"/>
    <s v="Glenwood High School"/>
    <s v="Glenwood"/>
    <s v="Blacktown"/>
    <s v="Sydney - Blacktown"/>
    <x v="0"/>
    <x v="0"/>
    <s v="Metropolitan North"/>
    <x v="4"/>
    <x v="0"/>
    <s v="Coed"/>
    <n v="1506.2"/>
    <n v="1"/>
    <s v="Published"/>
    <n v="15.062000000000001"/>
    <n v="70"/>
    <n v="1090"/>
    <x v="3"/>
    <n v="35"/>
    <x v="4"/>
    <n v="-33.733029000000002"/>
    <n v="150.93742900000001"/>
  </r>
  <r>
    <s v="8269"/>
    <s v="Chester Hill High School"/>
    <s v="Chester Hill"/>
    <s v="Canterbury-Bankstown"/>
    <s v="Sydney - Parramatta"/>
    <x v="0"/>
    <x v="0"/>
    <s v="Metropolitan South"/>
    <x v="4"/>
    <x v="0"/>
    <s v="Coed"/>
    <n v="1056"/>
    <m/>
    <s v="Suppressed"/>
    <s v=""/>
    <n v="93"/>
    <n v="912"/>
    <x v="2"/>
    <n v="169"/>
    <x v="4"/>
    <n v="-33.874032"/>
    <n v="150.99541099999999"/>
  </r>
  <r>
    <s v="8270"/>
    <s v="Wee Waa High School"/>
    <s v="WEE WAA"/>
    <s v="Narrabri"/>
    <s v="New England and North West"/>
    <x v="2"/>
    <x v="2"/>
    <s v="Rural North"/>
    <x v="4"/>
    <x v="0"/>
    <s v="Coed"/>
    <n v="181"/>
    <n v="42"/>
    <s v="Published"/>
    <n v="76.02"/>
    <m/>
    <n v="853"/>
    <x v="1"/>
    <n v="152"/>
    <x v="1"/>
    <n v="-30.22268"/>
    <n v="149.442286"/>
  </r>
  <r>
    <s v="8271"/>
    <s v="Lucas Heights Community School"/>
    <s v="Barden Ridge"/>
    <s v="Sutherland"/>
    <s v="Sydney - Sutherland"/>
    <x v="0"/>
    <x v="0"/>
    <s v="Metropolitan South and West"/>
    <x v="1"/>
    <x v="0"/>
    <s v="Coed"/>
    <n v="795.4"/>
    <n v="4"/>
    <s v="Published"/>
    <n v="31.815999999999999"/>
    <n v="16"/>
    <n v="1038"/>
    <x v="3"/>
    <n v="79"/>
    <x v="3"/>
    <n v="-34.035778000000001"/>
    <n v="151.004817"/>
  </r>
  <r>
    <s v="8272"/>
    <s v="Coffs Harbour Senior College"/>
    <s v="Coffs Harbour"/>
    <s v="Coffs Harbour"/>
    <s v="Coffs Harbour - Grafton"/>
    <x v="1"/>
    <x v="1"/>
    <s v="Regional North and West"/>
    <x v="4"/>
    <x v="0"/>
    <s v="Coed"/>
    <n v="450.3"/>
    <n v="6"/>
    <s v="Published"/>
    <n v="27.018000000000001"/>
    <n v="11"/>
    <n v="1038"/>
    <x v="3"/>
    <n v="68"/>
    <x v="0"/>
    <n v="-30.330172999999998"/>
    <n v="153.102656"/>
  </r>
  <r>
    <s v="8273"/>
    <s v="Cecil Hills High School"/>
    <s v="Cecil Hills"/>
    <s v="Liverpool"/>
    <s v="Sydney - South West"/>
    <x v="0"/>
    <x v="0"/>
    <s v="Metropolitan South and West"/>
    <x v="4"/>
    <x v="0"/>
    <s v="Coed"/>
    <n v="1340.4"/>
    <n v="1"/>
    <s v="Published"/>
    <n v="13.404000000000002"/>
    <n v="84"/>
    <n v="986"/>
    <x v="2"/>
    <n v="114"/>
    <x v="4"/>
    <n v="-33.895704000000002"/>
    <n v="150.85204300000001"/>
  </r>
  <r>
    <s v="8274"/>
    <s v="Tuggerah Lakes Secondary College Tumbi Umbi Campus"/>
    <s v="Tumbi Umbi"/>
    <s v="Central Coast (NSW)"/>
    <s v="Central Coast"/>
    <x v="0"/>
    <x v="0"/>
    <s v="Regional North"/>
    <x v="4"/>
    <x v="0"/>
    <s v="Coed"/>
    <n v="802"/>
    <n v="15"/>
    <s v="Published"/>
    <n v="120.3"/>
    <n v="7"/>
    <n v="972"/>
    <x v="2"/>
    <n v="103"/>
    <x v="3"/>
    <n v="-33.395595999999998"/>
    <n v="151.45405400000001"/>
  </r>
  <r>
    <s v="8276"/>
    <s v="Glenmore Park High School"/>
    <s v="Glenmore Park"/>
    <s v="Penrith"/>
    <s v="Sydney - Outer West and Blue Mountains"/>
    <x v="0"/>
    <x v="0"/>
    <s v="Metropolitan South and West"/>
    <x v="4"/>
    <x v="0"/>
    <s v="Coed"/>
    <n v="956"/>
    <n v="8"/>
    <s v="Published"/>
    <n v="76.48"/>
    <n v="14"/>
    <n v="976"/>
    <x v="2"/>
    <n v="113"/>
    <x v="3"/>
    <n v="-33.791012000000002"/>
    <n v="150.67256399999999"/>
  </r>
  <r>
    <s v="8277"/>
    <s v="Wyndham College"/>
    <s v="Quakers Hill"/>
    <s v="Blacktown"/>
    <s v="Sydney - Blacktown"/>
    <x v="0"/>
    <x v="0"/>
    <s v="Metropolitan North"/>
    <x v="4"/>
    <x v="0"/>
    <s v="Coed"/>
    <n v="375.5"/>
    <n v="5"/>
    <s v="Published"/>
    <n v="18.775000000000002"/>
    <n v="42"/>
    <n v="1003"/>
    <x v="3"/>
    <n v="101"/>
    <x v="0"/>
    <n v="-33.726089219999999"/>
    <n v="150.87957460000001"/>
  </r>
  <r>
    <s v="8278"/>
    <s v="Wadalba Community School"/>
    <s v="Wadalba"/>
    <s v="Central Coast (NSW)"/>
    <s v="Central Coast"/>
    <x v="0"/>
    <x v="0"/>
    <s v="Regional North"/>
    <x v="1"/>
    <x v="0"/>
    <s v="Coed"/>
    <n v="1412.2"/>
    <n v="17"/>
    <s v="Published"/>
    <n v="240.07400000000001"/>
    <n v="9"/>
    <n v="941"/>
    <x v="2"/>
    <n v="124"/>
    <x v="4"/>
    <n v="-33.264769000000001"/>
    <n v="151.467432"/>
  </r>
  <r>
    <s v="8279"/>
    <s v="Lake Munmorah High School"/>
    <s v="Lake Munmorah"/>
    <s v="Central Coast (NSW)"/>
    <s v="Central Coast"/>
    <x v="0"/>
    <x v="0"/>
    <s v="Regional North"/>
    <x v="4"/>
    <x v="0"/>
    <s v="Coed"/>
    <n v="610"/>
    <n v="19"/>
    <s v="Published"/>
    <n v="115.9"/>
    <n v="7"/>
    <n v="925"/>
    <x v="2"/>
    <n v="129"/>
    <x v="3"/>
    <n v="-33.189743"/>
    <n v="151.573699"/>
  </r>
  <r>
    <s v="8280"/>
    <s v="Camden Haven High School"/>
    <s v="Laurieton"/>
    <s v="Port Macquarie-Hastings"/>
    <s v="Mid North Coast"/>
    <x v="1"/>
    <x v="1"/>
    <s v="Regional North and West"/>
    <x v="4"/>
    <x v="0"/>
    <s v="Coed"/>
    <n v="890.4"/>
    <n v="16"/>
    <s v="Published"/>
    <n v="142.464"/>
    <n v="6"/>
    <n v="962"/>
    <x v="2"/>
    <n v="105"/>
    <x v="3"/>
    <n v="-31.639393999999999"/>
    <n v="152.73607999999999"/>
  </r>
  <r>
    <s v="8281"/>
    <s v="Great Lakes College Senior Campus"/>
    <s v="Tuncurry"/>
    <s v="Mid-Coast"/>
    <s v="Mid North Coast"/>
    <x v="1"/>
    <x v="1"/>
    <s v="Regional North and West"/>
    <x v="4"/>
    <x v="0"/>
    <s v="Coed"/>
    <n v="347.5"/>
    <n v="15"/>
    <s v="Published"/>
    <n v="52.125"/>
    <n v="6"/>
    <n v="988"/>
    <x v="2"/>
    <n v="94"/>
    <x v="0"/>
    <n v="-32.16071754"/>
    <n v="152.49379049999999"/>
  </r>
  <r>
    <s v="8282"/>
    <s v="Banora Point High School"/>
    <s v="Banora Point"/>
    <s v="Tweed"/>
    <s v="Richmond - Tweed"/>
    <x v="0"/>
    <x v="0"/>
    <s v="Rural North"/>
    <x v="4"/>
    <x v="0"/>
    <s v="Coed"/>
    <n v="501.8"/>
    <n v="11"/>
    <s v="Published"/>
    <n v="55.198"/>
    <n v="9"/>
    <n v="965"/>
    <x v="2"/>
    <n v="121"/>
    <x v="0"/>
    <n v="-28.215457000000001"/>
    <n v="153.52532400000001"/>
  </r>
  <r>
    <s v="8284"/>
    <s v="Georges River College, Oatley Senior Campus"/>
    <s v="Oatley"/>
    <s v="Georges River"/>
    <s v="Sydney - Inner South West"/>
    <x v="0"/>
    <x v="0"/>
    <s v="Metropolitan South"/>
    <x v="4"/>
    <x v="0"/>
    <s v="Coed"/>
    <n v="739.6"/>
    <n v="1"/>
    <s v="Published"/>
    <n v="7.3960000000000008"/>
    <n v="71"/>
    <n v="1022"/>
    <x v="3"/>
    <n v="92"/>
    <x v="3"/>
    <n v="-33.977001000000001"/>
    <n v="151.081391"/>
  </r>
  <r>
    <s v="8286"/>
    <s v="Mount Annan High School"/>
    <s v="Mount Annan"/>
    <s v="Camden"/>
    <s v="Sydney - Outer South West"/>
    <x v="0"/>
    <x v="0"/>
    <s v="Regional South and Connected Communities"/>
    <x v="4"/>
    <x v="0"/>
    <s v="Coed"/>
    <n v="876"/>
    <n v="8"/>
    <s v="Published"/>
    <n v="70.08"/>
    <n v="32"/>
    <n v="980"/>
    <x v="2"/>
    <n v="109"/>
    <x v="3"/>
    <n v="-34.057371000000003"/>
    <n v="150.760739"/>
  </r>
  <r>
    <s v="8288"/>
    <s v="Central Sydney Intensive English High School"/>
    <s v="Alexandria"/>
    <s v="Sydney"/>
    <s v="Sydney - City and Inner South"/>
    <x v="0"/>
    <x v="0"/>
    <s v="Metropolitan South"/>
    <x v="4"/>
    <x v="0"/>
    <s v="Coed"/>
    <n v="142"/>
    <n v="0"/>
    <s v="Published"/>
    <n v="0"/>
    <n v="100"/>
    <n v="1037"/>
    <x v="3"/>
    <n v="75"/>
    <x v="1"/>
    <n v="-33.900033000000001"/>
    <n v="151.19308000000001"/>
  </r>
  <r>
    <s v="8289"/>
    <s v="Great Lakes College Tuncurry Campus"/>
    <s v="Tuncurry"/>
    <s v="Mid-Coast"/>
    <s v="Mid North Coast"/>
    <x v="1"/>
    <x v="1"/>
    <s v="Regional North and West"/>
    <x v="4"/>
    <x v="0"/>
    <s v="Coed"/>
    <n v="466"/>
    <n v="19"/>
    <s v="Published"/>
    <n v="88.54"/>
    <n v="5"/>
    <n v="949"/>
    <x v="2"/>
    <n v="117"/>
    <x v="0"/>
    <n v="-32.161151660000002"/>
    <n v="152.4952945"/>
  </r>
  <r>
    <s v="8290"/>
    <s v="John Edmondson High School"/>
    <s v="HORNINGSEA PARK"/>
    <s v="Liverpool"/>
    <s v="Sydney - South West"/>
    <x v="0"/>
    <x v="0"/>
    <s v="Metropolitan South and West"/>
    <x v="4"/>
    <x v="0"/>
    <s v="Coed"/>
    <n v="1084"/>
    <n v="3"/>
    <s v="Published"/>
    <n v="32.519999999999996"/>
    <n v="76"/>
    <n v="982"/>
    <x v="2"/>
    <n v="122"/>
    <x v="4"/>
    <n v="-33.945999999999998"/>
    <n v="150.84322599999999"/>
  </r>
  <r>
    <s v="8291"/>
    <s v="Rouse Hill High School"/>
    <s v="ROUSE HILL"/>
    <s v="The Hills"/>
    <s v="Sydney - Baulkham Hills and Hawkesbury"/>
    <x v="0"/>
    <x v="0"/>
    <s v="Metropolitan North"/>
    <x v="4"/>
    <x v="0"/>
    <s v="Coed"/>
    <n v="1313.6"/>
    <n v="1"/>
    <s v="Published"/>
    <n v="13.135999999999999"/>
    <n v="55"/>
    <n v="1067"/>
    <x v="3"/>
    <n v="52"/>
    <x v="4"/>
    <n v="-33.686399999999999"/>
    <n v="150.93170000000001"/>
  </r>
  <r>
    <s v="8292"/>
    <s v="Kariong Mountains High School"/>
    <s v="Kariong"/>
    <s v="Central Coast (NSW)"/>
    <s v="Central Coast"/>
    <x v="0"/>
    <x v="0"/>
    <s v="Regional North"/>
    <x v="4"/>
    <x v="0"/>
    <s v="Coed"/>
    <n v="419.2"/>
    <n v="12"/>
    <s v="Published"/>
    <n v="50.303999999999995"/>
    <n v="14"/>
    <n v="968"/>
    <x v="2"/>
    <n v="111"/>
    <x v="0"/>
    <n v="-33.430390000000003"/>
    <n v="151.296076"/>
  </r>
  <r>
    <s v="8308"/>
    <s v="Corowa High School"/>
    <s v="Corowa"/>
    <s v="Federation"/>
    <s v="Murray"/>
    <x v="1"/>
    <x v="1"/>
    <s v="Rural South and West"/>
    <x v="4"/>
    <x v="0"/>
    <s v="Coed"/>
    <n v="290.60000000000002"/>
    <n v="4"/>
    <s v="Published"/>
    <n v="11.624000000000001"/>
    <n v="8"/>
    <n v="975"/>
    <x v="2"/>
    <n v="110"/>
    <x v="1"/>
    <n v="-35.993008000000003"/>
    <n v="146.38157699999999"/>
  </r>
  <r>
    <s v="8314"/>
    <s v="The Henry Lawson High School"/>
    <s v="Grenfell"/>
    <s v="Weddin"/>
    <s v="Central West"/>
    <x v="2"/>
    <x v="2"/>
    <s v="Rural South and West"/>
    <x v="4"/>
    <x v="0"/>
    <s v="Coed"/>
    <n v="178"/>
    <n v="13"/>
    <s v="Published"/>
    <n v="23.14"/>
    <m/>
    <n v="946"/>
    <x v="2"/>
    <n v="114"/>
    <x v="1"/>
    <n v="-33.902721999999997"/>
    <n v="148.16344900000001"/>
  </r>
  <r>
    <s v="8318"/>
    <s v="Kandos High School"/>
    <s v="Kandos"/>
    <s v="Mid-Western"/>
    <s v="Central West"/>
    <x v="1"/>
    <x v="1"/>
    <s v="Regional North and West"/>
    <x v="4"/>
    <x v="0"/>
    <s v="Coed"/>
    <n v="162.5"/>
    <n v="19"/>
    <s v="Published"/>
    <n v="30.875"/>
    <n v="6"/>
    <n v="902"/>
    <x v="2"/>
    <n v="147"/>
    <x v="1"/>
    <n v="-32.855738000000002"/>
    <n v="149.97458800000001"/>
  </r>
  <r>
    <s v="8320"/>
    <s v="Kogarah High School"/>
    <s v="Kogarah"/>
    <s v="Georges River"/>
    <s v="Sydney - Inner South West"/>
    <x v="0"/>
    <x v="0"/>
    <s v="Metropolitan South"/>
    <x v="4"/>
    <x v="0"/>
    <s v="Coed"/>
    <n v="787"/>
    <m/>
    <s v="Suppressed"/>
    <s v=""/>
    <n v="91"/>
    <n v="993"/>
    <x v="2"/>
    <n v="108"/>
    <x v="3"/>
    <n v="-33.961160999999997"/>
    <n v="151.13422700000001"/>
  </r>
  <r>
    <s v="8325"/>
    <s v="Moree Secondary College"/>
    <s v="Moree"/>
    <s v="Moree Plains"/>
    <s v="New England and North West"/>
    <x v="2"/>
    <x v="2"/>
    <s v="Regional South and Connected Communities"/>
    <x v="4"/>
    <x v="0"/>
    <s v="Coed"/>
    <n v="359.3"/>
    <n v="61"/>
    <s v="Published"/>
    <n v="219.173"/>
    <n v="5"/>
    <n v="771"/>
    <x v="1"/>
    <n v="172"/>
    <x v="0"/>
    <n v="-29.466449999999998"/>
    <n v="149.842344"/>
  </r>
  <r>
    <s v="8326"/>
    <s v="Mosman High School"/>
    <s v="MOSMAN"/>
    <s v="Mosman"/>
    <s v="Sydney - North Sydney and Hornsby"/>
    <x v="0"/>
    <x v="0"/>
    <s v="Metropolitan North"/>
    <x v="4"/>
    <x v="0"/>
    <s v="Coed"/>
    <n v="1085.5999999999999"/>
    <m/>
    <s v="Suppressed"/>
    <s v=""/>
    <n v="42"/>
    <n v="1126"/>
    <x v="0"/>
    <n v="24"/>
    <x v="4"/>
    <n v="-33.829676999999997"/>
    <n v="151.243425"/>
  </r>
  <r>
    <s v="8328"/>
    <s v="Murrumburrah High School"/>
    <s v="Harden"/>
    <s v="Hilltops"/>
    <s v="Capital Region"/>
    <x v="1"/>
    <x v="1"/>
    <s v="Regional South and Connected Communities"/>
    <x v="4"/>
    <x v="0"/>
    <s v="Coed"/>
    <n v="148"/>
    <n v="22"/>
    <s v="Published"/>
    <n v="32.56"/>
    <n v="4"/>
    <n v="915"/>
    <x v="2"/>
    <n v="128"/>
    <x v="1"/>
    <n v="-34.559162000000001"/>
    <n v="148.36980800000001"/>
  </r>
  <r>
    <s v="8334"/>
    <s v="Yass High School"/>
    <s v="Yass"/>
    <s v="Yass Valley"/>
    <s v="Capital Region"/>
    <x v="1"/>
    <x v="1"/>
    <s v="Regional South and Connected Communities"/>
    <x v="4"/>
    <x v="0"/>
    <s v="Coed"/>
    <n v="556.6"/>
    <n v="10"/>
    <s v="Published"/>
    <n v="55.660000000000004"/>
    <n v="4"/>
    <n v="990"/>
    <x v="2"/>
    <n v="98"/>
    <x v="0"/>
    <n v="-34.835473999999998"/>
    <n v="148.91106600000001"/>
  </r>
  <r>
    <s v="8343"/>
    <s v="Tumut High School"/>
    <s v="Tumut"/>
    <s v="Snowy Valleys"/>
    <s v="Riverina"/>
    <x v="1"/>
    <x v="1"/>
    <s v="Rural South and West"/>
    <x v="4"/>
    <x v="0"/>
    <s v="Coed"/>
    <n v="382.8"/>
    <n v="24"/>
    <s v="Published"/>
    <n v="91.872"/>
    <n v="4"/>
    <n v="919"/>
    <x v="2"/>
    <n v="127"/>
    <x v="0"/>
    <n v="-35.312212000000002"/>
    <n v="148.219291"/>
  </r>
  <r>
    <s v="8346"/>
    <s v="Condobolin High School"/>
    <s v="CONDOBOLIN"/>
    <s v="Lachlan"/>
    <s v="Central West"/>
    <x v="2"/>
    <x v="2"/>
    <s v="Rural South and West"/>
    <x v="4"/>
    <x v="0"/>
    <s v="Coed"/>
    <n v="205"/>
    <n v="52"/>
    <s v="Published"/>
    <n v="106.60000000000001"/>
    <n v="6"/>
    <n v="834"/>
    <x v="1"/>
    <n v="140"/>
    <x v="1"/>
    <n v="-33.091828"/>
    <n v="147.14319499999999"/>
  </r>
  <r>
    <s v="8347"/>
    <s v="Coonabarabran High School"/>
    <s v="Coonabarabran"/>
    <s v="Warrumbungle"/>
    <s v="Far West and Orana"/>
    <x v="2"/>
    <x v="2"/>
    <s v="Rural North"/>
    <x v="4"/>
    <x v="0"/>
    <s v="Coed"/>
    <n v="298"/>
    <n v="31"/>
    <s v="Published"/>
    <n v="92.38"/>
    <n v="6"/>
    <n v="898"/>
    <x v="1"/>
    <n v="122"/>
    <x v="1"/>
    <n v="-31.283104000000002"/>
    <n v="149.28511700000001"/>
  </r>
  <r>
    <s v="8349"/>
    <s v="Gilgandra High School"/>
    <s v="GILGANDRA"/>
    <s v="Gilgandra"/>
    <s v="Far West and Orana"/>
    <x v="2"/>
    <x v="2"/>
    <s v="Regional North and West"/>
    <x v="4"/>
    <x v="0"/>
    <s v="Coed"/>
    <n v="184.2"/>
    <n v="44"/>
    <s v="Published"/>
    <n v="81.048000000000002"/>
    <n v="4"/>
    <n v="849"/>
    <x v="1"/>
    <n v="146"/>
    <x v="1"/>
    <n v="-31.703430999999998"/>
    <n v="148.666529"/>
  </r>
  <r>
    <s v="8353"/>
    <s v="Nyngan High School"/>
    <s v="Nyngan"/>
    <s v="Bogan"/>
    <s v="Far West and Orana"/>
    <x v="3"/>
    <x v="3"/>
    <s v="Rural South and West"/>
    <x v="4"/>
    <x v="0"/>
    <s v="Coed"/>
    <n v="140.80000000000001"/>
    <n v="49"/>
    <s v="Published"/>
    <n v="68.992000000000004"/>
    <n v="6"/>
    <n v="845"/>
    <x v="1"/>
    <n v="144"/>
    <x v="1"/>
    <n v="-31.561368000000002"/>
    <n v="147.18888200000001"/>
  </r>
  <r>
    <s v="8355"/>
    <s v="Bourke High School"/>
    <s v="Bourke"/>
    <s v="Bourke"/>
    <s v="Far West and Orana"/>
    <x v="4"/>
    <x v="4"/>
    <s v="Regional South and Connected Communities"/>
    <x v="4"/>
    <x v="0"/>
    <s v="Coed"/>
    <n v="134"/>
    <n v="81"/>
    <s v="Published"/>
    <n v="108.54"/>
    <m/>
    <n v="714"/>
    <x v="1"/>
    <n v="196"/>
    <x v="1"/>
    <n v="-30.091467000000002"/>
    <n v="145.94876099999999"/>
  </r>
  <r>
    <s v="8356"/>
    <s v="Cobar High School"/>
    <s v="Cobar"/>
    <s v="Cobar"/>
    <s v="Far West and Orana"/>
    <x v="3"/>
    <x v="3"/>
    <s v="Rural South and West"/>
    <x v="4"/>
    <x v="0"/>
    <s v="Coed"/>
    <n v="212.6"/>
    <n v="32"/>
    <s v="Published"/>
    <n v="68.031999999999996"/>
    <n v="5"/>
    <n v="865"/>
    <x v="1"/>
    <n v="136"/>
    <x v="1"/>
    <n v="-31.501643000000001"/>
    <n v="145.82788099999999"/>
  </r>
  <r>
    <s v="8357"/>
    <s v="Blayney High School"/>
    <s v="Blayney"/>
    <s v="Blayney"/>
    <s v="Central West"/>
    <x v="1"/>
    <x v="1"/>
    <s v="Regional North and West"/>
    <x v="4"/>
    <x v="0"/>
    <s v="Coed"/>
    <n v="295.8"/>
    <n v="20"/>
    <s v="Published"/>
    <n v="59.160000000000004"/>
    <n v="6"/>
    <n v="917"/>
    <x v="2"/>
    <n v="127"/>
    <x v="1"/>
    <n v="-33.531047999999998"/>
    <n v="149.251081"/>
  </r>
  <r>
    <s v="8358"/>
    <s v="Tenterfield High School"/>
    <s v="TENTERFIELD"/>
    <s v="Tenterfield"/>
    <s v="New England and North West"/>
    <x v="2"/>
    <x v="2"/>
    <s v="Rural North"/>
    <x v="4"/>
    <x v="0"/>
    <s v="Coed"/>
    <n v="267"/>
    <n v="19"/>
    <s v="Published"/>
    <n v="50.730000000000004"/>
    <n v="3"/>
    <n v="914"/>
    <x v="2"/>
    <n v="133"/>
    <x v="1"/>
    <n v="-29.053726999999999"/>
    <n v="152.016829"/>
  </r>
  <r>
    <s v="8360"/>
    <s v="Finley High School"/>
    <s v="Finley"/>
    <s v="Berrigan"/>
    <s v="Murray"/>
    <x v="1"/>
    <x v="1"/>
    <s v="Rural South and West"/>
    <x v="4"/>
    <x v="0"/>
    <s v="Coed"/>
    <n v="303.39999999999998"/>
    <n v="13"/>
    <s v="Published"/>
    <n v="39.442"/>
    <n v="5"/>
    <n v="965"/>
    <x v="2"/>
    <n v="103"/>
    <x v="0"/>
    <n v="-35.640413000000002"/>
    <n v="145.571271"/>
  </r>
  <r>
    <s v="8362"/>
    <s v="Maclean High School"/>
    <s v="Maclean"/>
    <s v="Clarence Valley"/>
    <s v="Coffs Harbour - Grafton"/>
    <x v="1"/>
    <x v="1"/>
    <s v="Rural North"/>
    <x v="4"/>
    <x v="0"/>
    <s v="Coed"/>
    <n v="689"/>
    <n v="17"/>
    <s v="Published"/>
    <n v="117.13000000000001"/>
    <n v="6"/>
    <n v="959"/>
    <x v="2"/>
    <n v="110"/>
    <x v="3"/>
    <n v="-29.466439999999999"/>
    <n v="153.20149000000001"/>
  </r>
  <r>
    <s v="8364"/>
    <s v="Hastings Secondary College, Port Macquarie Campus"/>
    <s v="Port Macquarie"/>
    <s v="Port Macquarie-Hastings"/>
    <s v="Mid North Coast"/>
    <x v="1"/>
    <x v="1"/>
    <s v="Regional North and West"/>
    <x v="4"/>
    <x v="0"/>
    <s v="Coed"/>
    <n v="716"/>
    <n v="19"/>
    <s v="Published"/>
    <n v="136.04"/>
    <n v="8"/>
    <n v="971"/>
    <x v="2"/>
    <n v="98"/>
    <x v="3"/>
    <n v="-31.433295000000001"/>
    <n v="152.92069000000001"/>
  </r>
  <r>
    <s v="8368"/>
    <s v="Moruya High School"/>
    <s v="MORUYA"/>
    <s v="Eurobodalla"/>
    <s v="Capital Region"/>
    <x v="1"/>
    <x v="1"/>
    <s v="Regional South and Connected Communities"/>
    <x v="4"/>
    <x v="0"/>
    <s v="Coed"/>
    <n v="356"/>
    <n v="19"/>
    <s v="Published"/>
    <n v="67.64"/>
    <n v="11"/>
    <n v="922"/>
    <x v="2"/>
    <n v="125"/>
    <x v="0"/>
    <n v="-35.920195"/>
    <n v="150.08015"/>
  </r>
  <r>
    <s v="8370"/>
    <s v="Tweed River High School"/>
    <s v="TWEED HEADS SOUTH"/>
    <s v="Tweed"/>
    <s v="Richmond - Tweed"/>
    <x v="0"/>
    <x v="0"/>
    <s v="Rural North"/>
    <x v="4"/>
    <x v="0"/>
    <s v="Coed"/>
    <n v="589.6"/>
    <n v="24"/>
    <s v="Published"/>
    <n v="141.50399999999999"/>
    <n v="13"/>
    <n v="940"/>
    <x v="2"/>
    <n v="120"/>
    <x v="0"/>
    <n v="-28.195651000000002"/>
    <n v="153.54101199999999"/>
  </r>
  <r>
    <s v="8371"/>
    <s v="Gloucester High School"/>
    <s v="Gloucester"/>
    <s v="Mid-Coast"/>
    <s v="Mid North Coast"/>
    <x v="1"/>
    <x v="1"/>
    <s v="Regional North and West"/>
    <x v="4"/>
    <x v="0"/>
    <s v="Coed"/>
    <n v="308.60000000000002"/>
    <n v="19"/>
    <s v="Published"/>
    <n v="58.634000000000007"/>
    <n v="2"/>
    <n v="950"/>
    <x v="2"/>
    <n v="116"/>
    <x v="0"/>
    <n v="-32.016660999999999"/>
    <n v="151.95955599999999"/>
  </r>
  <r>
    <s v="8372"/>
    <s v="The Forest High School"/>
    <s v="Allambie Heights"/>
    <s v="Northern Beaches"/>
    <s v="Sydney - Northern Beaches"/>
    <x v="0"/>
    <x v="0"/>
    <s v="Metropolitan North"/>
    <x v="4"/>
    <x v="0"/>
    <s v="Coed"/>
    <n v="767.8"/>
    <n v="3"/>
    <s v="Published"/>
    <n v="23.033999999999999"/>
    <n v="33"/>
    <n v="1062"/>
    <x v="3"/>
    <n v="58"/>
    <x v="3"/>
    <n v="-33.756509999999999"/>
    <n v="151.24444"/>
  </r>
  <r>
    <s v="8373"/>
    <s v="Five Islands Secondary College"/>
    <s v="Port Kembla"/>
    <s v="Wollongong"/>
    <s v="Illawarra"/>
    <x v="0"/>
    <x v="0"/>
    <s v="Regional South and Connected Communities"/>
    <x v="4"/>
    <x v="0"/>
    <s v="Coed"/>
    <n v="271.60000000000002"/>
    <n v="6"/>
    <s v="Published"/>
    <n v="16.295999999999999"/>
    <n v="12"/>
    <n v="983"/>
    <x v="2"/>
    <n v="107"/>
    <x v="1"/>
    <n v="-34.489274000000002"/>
    <n v="150.91354100000001"/>
  </r>
  <r>
    <s v="8374"/>
    <s v="Brisbane Water Secondary College Woy Woy Campus"/>
    <s v="WOY WOY"/>
    <s v="Central Coast (NSW)"/>
    <s v="Central Coast"/>
    <x v="0"/>
    <x v="0"/>
    <s v="Regional North"/>
    <x v="4"/>
    <x v="0"/>
    <s v="Coed"/>
    <n v="639.4"/>
    <n v="12"/>
    <s v="Published"/>
    <n v="76.727999999999994"/>
    <n v="13"/>
    <n v="974"/>
    <x v="2"/>
    <n v="115"/>
    <x v="3"/>
    <n v="-33.492686999999997"/>
    <n v="151.32358199999999"/>
  </r>
  <r>
    <s v="8377"/>
    <s v="Picnic Point High School"/>
    <s v="PICNIC POINT"/>
    <s v="Canterbury-Bankstown"/>
    <s v="Sydney - Inner South West"/>
    <x v="0"/>
    <x v="0"/>
    <s v="Metropolitan South and West"/>
    <x v="4"/>
    <x v="0"/>
    <s v="Coed"/>
    <n v="865"/>
    <n v="5"/>
    <s v="Published"/>
    <n v="43.25"/>
    <n v="37"/>
    <n v="1018"/>
    <x v="3"/>
    <n v="90"/>
    <x v="3"/>
    <n v="-33.964343999999997"/>
    <n v="151.01145700000001"/>
  </r>
  <r>
    <s v="8379"/>
    <s v="Pittwater High School"/>
    <s v="Mona Vale"/>
    <s v="Northern Beaches"/>
    <s v="Sydney - Northern Beaches"/>
    <x v="0"/>
    <x v="0"/>
    <s v="Metropolitan North"/>
    <x v="4"/>
    <x v="0"/>
    <s v="Coed"/>
    <n v="875.6"/>
    <n v="1"/>
    <s v="Published"/>
    <n v="8.7560000000000002"/>
    <n v="20"/>
    <n v="1071"/>
    <x v="3"/>
    <n v="54"/>
    <x v="3"/>
    <n v="-33.668258999999999"/>
    <n v="151.30266399999999"/>
  </r>
  <r>
    <s v="8381"/>
    <s v="Bankstown Senior College"/>
    <s v="Bankstown"/>
    <s v="Canterbury-Bankstown"/>
    <s v="Sydney - Inner South West"/>
    <x v="0"/>
    <x v="0"/>
    <s v="Metropolitan South and West"/>
    <x v="4"/>
    <x v="0"/>
    <s v="Coed"/>
    <n v="544.4"/>
    <n v="0"/>
    <s v="Published"/>
    <n v="0"/>
    <n v="100"/>
    <n v="847"/>
    <x v="1"/>
    <n v="250"/>
    <x v="0"/>
    <n v="-33.929121000000002"/>
    <n v="151.022569"/>
  </r>
  <r>
    <s v="8382"/>
    <s v="Castle Hill High School"/>
    <s v="Castle Hill"/>
    <s v="The Hills"/>
    <s v="Sydney - Baulkham Hills and Hawkesbury"/>
    <x v="0"/>
    <x v="0"/>
    <s v="Metropolitan North"/>
    <x v="4"/>
    <x v="0"/>
    <s v="Coed"/>
    <n v="1842"/>
    <n v="0"/>
    <s v="Published"/>
    <n v="0"/>
    <n v="68"/>
    <n v="1121"/>
    <x v="0"/>
    <n v="21"/>
    <x v="4"/>
    <n v="-33.726635000000002"/>
    <n v="150.99953400000001"/>
  </r>
  <r>
    <s v="8383"/>
    <s v="Nepean Creative and Performing Arts High School"/>
    <s v="Emu Plains"/>
    <s v="Penrith"/>
    <s v="Sydney - Outer West and Blue Mountains"/>
    <x v="0"/>
    <x v="0"/>
    <s v="Metropolitan South and West"/>
    <x v="4"/>
    <x v="0"/>
    <s v="Coed"/>
    <n v="802"/>
    <n v="10"/>
    <s v="Published"/>
    <n v="80.2"/>
    <n v="14"/>
    <n v="994"/>
    <x v="2"/>
    <n v="99"/>
    <x v="3"/>
    <n v="-33.747745000000002"/>
    <n v="150.668882"/>
  </r>
  <r>
    <s v="8384"/>
    <s v="Westfields Sports High School"/>
    <s v="FAIRFIELD WEST"/>
    <s v="Fairfield"/>
    <s v="Sydney - South West"/>
    <x v="0"/>
    <x v="0"/>
    <s v="Metropolitan South and West"/>
    <x v="4"/>
    <x v="0"/>
    <s v="Coed"/>
    <n v="1537.8"/>
    <n v="4"/>
    <s v="Published"/>
    <n v="61.512"/>
    <n v="64"/>
    <n v="967"/>
    <x v="2"/>
    <n v="128"/>
    <x v="4"/>
    <n v="-33.866933000000003"/>
    <n v="150.92043200000001"/>
  </r>
  <r>
    <s v="8385"/>
    <s v="Greystanes High School"/>
    <s v="Greystanes"/>
    <s v="Cumberland"/>
    <s v="Sydney - Parramatta"/>
    <x v="0"/>
    <x v="0"/>
    <s v="Metropolitan South"/>
    <x v="4"/>
    <x v="0"/>
    <s v="Coed"/>
    <n v="1090"/>
    <n v="3"/>
    <s v="Published"/>
    <n v="32.699999999999996"/>
    <n v="62"/>
    <n v="1003"/>
    <x v="3"/>
    <n v="103"/>
    <x v="4"/>
    <n v="-33.812494999999998"/>
    <n v="150.94035199999999"/>
  </r>
  <r>
    <s v="8386"/>
    <s v="Gymea Technology High School"/>
    <s v="Gymea"/>
    <s v="Sutherland"/>
    <s v="Sydney - Sutherland"/>
    <x v="0"/>
    <x v="0"/>
    <s v="Metropolitan South and West"/>
    <x v="4"/>
    <x v="0"/>
    <s v="Coed"/>
    <n v="552.79999999999995"/>
    <n v="4"/>
    <s v="Published"/>
    <n v="22.111999999999998"/>
    <n v="31"/>
    <n v="1048"/>
    <x v="3"/>
    <n v="66"/>
    <x v="0"/>
    <n v="-34.029985000000003"/>
    <n v="151.08338000000001"/>
  </r>
  <r>
    <s v="8388"/>
    <s v="Moss Vale High School"/>
    <s v="Moss Vale"/>
    <s v="Wingecarribee"/>
    <s v="Southern Highlands and Shoalhaven"/>
    <x v="1"/>
    <x v="1"/>
    <s v="Regional South and Connected Communities"/>
    <x v="4"/>
    <x v="0"/>
    <s v="Coed"/>
    <n v="789.8"/>
    <n v="6"/>
    <s v="Published"/>
    <n v="47.387999999999998"/>
    <n v="13"/>
    <n v="1015"/>
    <x v="3"/>
    <n v="81"/>
    <x v="3"/>
    <n v="-34.551482999999998"/>
    <n v="150.38529399999999"/>
  </r>
  <r>
    <s v="8389"/>
    <s v="Swansea High School"/>
    <s v="Caves Beach"/>
    <s v="Lake Macquarie"/>
    <s v="Newcastle and Lake Macquarie"/>
    <x v="0"/>
    <x v="0"/>
    <s v="Regional North"/>
    <x v="4"/>
    <x v="0"/>
    <s v="Coed"/>
    <n v="710"/>
    <n v="16"/>
    <s v="Published"/>
    <n v="113.60000000000001"/>
    <n v="4"/>
    <n v="972"/>
    <x v="2"/>
    <n v="111"/>
    <x v="3"/>
    <n v="-33.104232000000003"/>
    <n v="151.63982300000001"/>
  </r>
  <r>
    <s v="8390"/>
    <s v="Whitebridge High School"/>
    <s v="Whitebridge"/>
    <s v="Lake Macquarie"/>
    <s v="Newcastle and Lake Macquarie"/>
    <x v="0"/>
    <x v="0"/>
    <s v="Regional North"/>
    <x v="4"/>
    <x v="0"/>
    <s v="Coed"/>
    <n v="907.8"/>
    <n v="11"/>
    <s v="Published"/>
    <n v="99.85799999999999"/>
    <n v="8"/>
    <n v="1022"/>
    <x v="3"/>
    <n v="79"/>
    <x v="3"/>
    <n v="-32.972025000000002"/>
    <n v="151.712234"/>
  </r>
  <r>
    <s v="8391"/>
    <s v="Wingham High School"/>
    <s v="Wingham"/>
    <s v="Mid-Coast"/>
    <s v="Mid North Coast"/>
    <x v="1"/>
    <x v="1"/>
    <s v="Regional North and West"/>
    <x v="4"/>
    <x v="0"/>
    <s v="Coed"/>
    <n v="519.20000000000005"/>
    <n v="16"/>
    <s v="Published"/>
    <n v="83.072000000000003"/>
    <n v="3"/>
    <n v="932"/>
    <x v="2"/>
    <n v="126"/>
    <x v="0"/>
    <n v="-31.867397"/>
    <n v="152.382261"/>
  </r>
  <r>
    <s v="8392"/>
    <s v="West Wyalong High School"/>
    <s v="West Wyalong"/>
    <s v="Bland"/>
    <s v="Central West"/>
    <x v="2"/>
    <x v="2"/>
    <s v="Rural South and West"/>
    <x v="4"/>
    <x v="0"/>
    <s v="Coed"/>
    <n v="263"/>
    <n v="22"/>
    <s v="Published"/>
    <n v="57.86"/>
    <n v="4"/>
    <n v="926"/>
    <x v="2"/>
    <n v="116"/>
    <x v="1"/>
    <n v="-33.915793000000001"/>
    <n v="147.20201399999999"/>
  </r>
  <r>
    <s v="8393"/>
    <s v="Canley Vale High School"/>
    <s v="Canley Vale"/>
    <s v="Fairfield"/>
    <s v="Sydney - South West"/>
    <x v="0"/>
    <x v="0"/>
    <s v="Metropolitan South and West"/>
    <x v="4"/>
    <x v="0"/>
    <s v="Coed"/>
    <n v="1651"/>
    <m/>
    <s v="Suppressed"/>
    <s v=""/>
    <n v="96"/>
    <n v="954"/>
    <x v="2"/>
    <n v="139"/>
    <x v="4"/>
    <n v="-33.884644000000002"/>
    <n v="150.95165800000001"/>
  </r>
  <r>
    <s v="8394"/>
    <s v="Miller High School"/>
    <s v="MILLER"/>
    <s v="Liverpool"/>
    <s v="Sydney - South West"/>
    <x v="0"/>
    <x v="0"/>
    <s v="Metropolitan South and West"/>
    <x v="4"/>
    <x v="0"/>
    <s v="Coed"/>
    <n v="816"/>
    <n v="9"/>
    <s v="Published"/>
    <n v="73.44"/>
    <n v="83"/>
    <n v="878"/>
    <x v="1"/>
    <n v="186"/>
    <x v="3"/>
    <n v="-33.923589"/>
    <n v="150.88113899999999"/>
  </r>
  <r>
    <s v="8395"/>
    <s v="Pendle Hill High School"/>
    <s v="Wentworthville"/>
    <s v="Parramatta"/>
    <s v="Sydney - Parramatta"/>
    <x v="0"/>
    <x v="0"/>
    <s v="Metropolitan South"/>
    <x v="4"/>
    <x v="0"/>
    <s v="Coed"/>
    <n v="692"/>
    <n v="5"/>
    <s v="Published"/>
    <n v="34.6"/>
    <n v="71"/>
    <n v="1001"/>
    <x v="3"/>
    <n v="96"/>
    <x v="3"/>
    <n v="-33.793877000000002"/>
    <n v="150.96219400000001"/>
  </r>
  <r>
    <s v="8396"/>
    <s v="Windsor High School"/>
    <s v="McGraths Hill"/>
    <s v="Hawkesbury"/>
    <s v="Sydney - Baulkham Hills and Hawkesbury"/>
    <x v="0"/>
    <x v="0"/>
    <s v="Regional North"/>
    <x v="4"/>
    <x v="0"/>
    <s v="Coed"/>
    <n v="640.6"/>
    <n v="21"/>
    <s v="Published"/>
    <n v="134.52600000000001"/>
    <n v="13"/>
    <n v="923"/>
    <x v="2"/>
    <n v="132"/>
    <x v="3"/>
    <n v="-33.618653000000002"/>
    <n v="150.83355399999999"/>
  </r>
  <r>
    <s v="8397"/>
    <s v="Ashcroft High School"/>
    <s v="Ashcroft"/>
    <s v="Liverpool"/>
    <s v="Sydney - South West"/>
    <x v="0"/>
    <x v="0"/>
    <s v="Metropolitan South and West"/>
    <x v="4"/>
    <x v="0"/>
    <s v="Coed"/>
    <n v="701"/>
    <n v="16"/>
    <s v="Published"/>
    <n v="112.16"/>
    <n v="69"/>
    <n v="877"/>
    <x v="1"/>
    <n v="177"/>
    <x v="3"/>
    <n v="-33.920414000000001"/>
    <n v="150.89727199999999"/>
  </r>
  <r>
    <s v="8398"/>
    <s v="Condell Park High School"/>
    <s v="Condell Park"/>
    <s v="Canterbury-Bankstown"/>
    <s v="Sydney - Inner South West"/>
    <x v="0"/>
    <x v="0"/>
    <s v="Metropolitan South and West"/>
    <x v="4"/>
    <x v="0"/>
    <s v="Coed"/>
    <n v="876"/>
    <m/>
    <s v="Suppressed"/>
    <s v=""/>
    <n v="92"/>
    <n v="936"/>
    <x v="2"/>
    <n v="157"/>
    <x v="3"/>
    <n v="-33.923578999999997"/>
    <n v="151.001755"/>
  </r>
  <r>
    <s v="8399"/>
    <s v="Doonside High School"/>
    <s v="Doonside"/>
    <s v="Blacktown"/>
    <s v="Sydney - Blacktown"/>
    <x v="0"/>
    <x v="0"/>
    <s v="Metropolitan North"/>
    <x v="4"/>
    <x v="0"/>
    <s v="Coed"/>
    <n v="715"/>
    <n v="16"/>
    <s v="Published"/>
    <n v="114.4"/>
    <n v="53"/>
    <n v="917"/>
    <x v="2"/>
    <n v="144"/>
    <x v="3"/>
    <n v="-33.754708000000001"/>
    <n v="150.87418600000001"/>
  </r>
  <r>
    <s v="8400"/>
    <s v="St Ives High School"/>
    <s v="St Ives"/>
    <s v="Ku-ring-gai"/>
    <s v="Sydney - North Sydney and Hornsby"/>
    <x v="0"/>
    <x v="0"/>
    <s v="Metropolitan North"/>
    <x v="4"/>
    <x v="0"/>
    <s v="Coed"/>
    <n v="1750.1"/>
    <m/>
    <s v="Suppressed"/>
    <s v=""/>
    <n v="58"/>
    <n v="1125"/>
    <x v="0"/>
    <n v="17"/>
    <x v="4"/>
    <n v="-33.740147"/>
    <n v="151.167078"/>
  </r>
  <r>
    <s v="8401"/>
    <s v="Lurnea High School"/>
    <s v="LURNEA"/>
    <s v="Liverpool"/>
    <s v="Sydney - South West"/>
    <x v="0"/>
    <x v="0"/>
    <s v="Metropolitan South and West"/>
    <x v="4"/>
    <x v="0"/>
    <s v="Coed"/>
    <n v="694.6"/>
    <n v="4"/>
    <s v="Published"/>
    <n v="27.784000000000002"/>
    <n v="87"/>
    <n v="902"/>
    <x v="2"/>
    <n v="174"/>
    <x v="3"/>
    <n v="-33.941743000000002"/>
    <n v="150.89604299999999"/>
  </r>
  <r>
    <s v="8403"/>
    <s v="Mitchell High School"/>
    <s v="BLACKTOWN"/>
    <s v="Blacktown"/>
    <s v="Sydney - Blacktown"/>
    <x v="0"/>
    <x v="0"/>
    <s v="Metropolitan South and West"/>
    <x v="4"/>
    <x v="0"/>
    <s v="Coed"/>
    <n v="875"/>
    <n v="5"/>
    <s v="Published"/>
    <n v="43.75"/>
    <n v="61"/>
    <n v="978"/>
    <x v="2"/>
    <n v="112"/>
    <x v="3"/>
    <n v="-33.784795000000003"/>
    <n v="150.91597100000001"/>
  </r>
  <r>
    <s v="8404"/>
    <s v="Endeavour Sports High School"/>
    <s v="Caringbah"/>
    <s v="Sutherland"/>
    <s v="Sydney - Sutherland"/>
    <x v="0"/>
    <x v="0"/>
    <s v="Metropolitan South and West"/>
    <x v="4"/>
    <x v="0"/>
    <s v="Coed"/>
    <n v="1377.6"/>
    <n v="5"/>
    <s v="Published"/>
    <n v="68.88"/>
    <n v="28"/>
    <n v="1040"/>
    <x v="3"/>
    <n v="74"/>
    <x v="4"/>
    <n v="-34.030082999999998"/>
    <n v="151.11725100000001"/>
  </r>
  <r>
    <s v="8405"/>
    <s v="Erina High School"/>
    <s v="Erina"/>
    <s v="Central Coast (NSW)"/>
    <s v="Central Coast"/>
    <x v="0"/>
    <x v="0"/>
    <s v="Regional North"/>
    <x v="4"/>
    <x v="0"/>
    <s v="Coed"/>
    <n v="780.6"/>
    <n v="8"/>
    <s v="Published"/>
    <n v="62.448"/>
    <n v="11"/>
    <n v="996"/>
    <x v="2"/>
    <n v="100"/>
    <x v="3"/>
    <n v="-33.440278999999997"/>
    <n v="151.38150300000001"/>
  </r>
  <r>
    <s v="8406"/>
    <s v="South Grafton High School"/>
    <s v="South Grafton"/>
    <s v="Clarence Valley"/>
    <s v="Coffs Harbour - Grafton"/>
    <x v="1"/>
    <x v="1"/>
    <s v="Rural North"/>
    <x v="4"/>
    <x v="0"/>
    <s v="Coed"/>
    <n v="639"/>
    <n v="34"/>
    <s v="Published"/>
    <n v="217.26000000000002"/>
    <n v="3"/>
    <n v="875"/>
    <x v="1"/>
    <n v="149"/>
    <x v="3"/>
    <n v="-29.714229"/>
    <n v="152.929362"/>
  </r>
  <r>
    <s v="8407"/>
    <s v="Mount Austin High School"/>
    <s v="Wagga Wagga"/>
    <s v="Wagga Wagga"/>
    <s v="Riverina"/>
    <x v="1"/>
    <x v="1"/>
    <s v="Rural South and West"/>
    <x v="4"/>
    <x v="0"/>
    <s v="Coed"/>
    <n v="522"/>
    <n v="42"/>
    <s v="Published"/>
    <n v="219.23999999999998"/>
    <n v="19"/>
    <n v="822"/>
    <x v="1"/>
    <n v="180"/>
    <x v="0"/>
    <n v="-35.141908000000001"/>
    <n v="147.35386500000001"/>
  </r>
  <r>
    <s v="8408"/>
    <s v="Georges River College, Peakhurst Campus"/>
    <s v="Peakhurst"/>
    <s v="Georges River"/>
    <s v="Sydney - Inner South West"/>
    <x v="0"/>
    <x v="0"/>
    <s v="Metropolitan South"/>
    <x v="4"/>
    <x v="0"/>
    <s v="Coed"/>
    <n v="758"/>
    <n v="4"/>
    <s v="Published"/>
    <n v="30.32"/>
    <n v="58"/>
    <n v="1008"/>
    <x v="3"/>
    <n v="93"/>
    <x v="3"/>
    <n v="-33.966881999999998"/>
    <n v="151.05601300000001"/>
  </r>
  <r>
    <s v="8409"/>
    <s v="Scone High School"/>
    <s v="Scone"/>
    <s v="Upper Hunter"/>
    <s v="Hunter Valley exc Newcastle"/>
    <x v="1"/>
    <x v="1"/>
    <s v="Regional North and West"/>
    <x v="4"/>
    <x v="0"/>
    <s v="Coed"/>
    <n v="315.2"/>
    <n v="28"/>
    <s v="Published"/>
    <n v="88.256"/>
    <n v="5"/>
    <n v="894"/>
    <x v="1"/>
    <n v="132"/>
    <x v="0"/>
    <n v="-32.058129999999998"/>
    <n v="150.87311099999999"/>
  </r>
  <r>
    <s v="8410"/>
    <s v="Woonona High School"/>
    <s v="Woonona"/>
    <s v="Wollongong"/>
    <s v="Illawarra"/>
    <x v="0"/>
    <x v="0"/>
    <s v="Regional South and Connected Communities"/>
    <x v="4"/>
    <x v="0"/>
    <s v="Coed"/>
    <n v="766.3"/>
    <n v="6"/>
    <s v="Published"/>
    <n v="45.977999999999994"/>
    <n v="7"/>
    <n v="1030"/>
    <x v="3"/>
    <n v="79"/>
    <x v="3"/>
    <n v="-34.345036999999998"/>
    <n v="150.91010199999999"/>
  </r>
  <r>
    <s v="8411"/>
    <s v="West Wallsend High School"/>
    <s v="WEST WALLSEND"/>
    <s v="Lake Macquarie"/>
    <s v="Newcastle and Lake Macquarie"/>
    <x v="0"/>
    <x v="0"/>
    <s v="Regional North"/>
    <x v="4"/>
    <x v="0"/>
    <s v="Coed"/>
    <n v="631"/>
    <n v="17"/>
    <s v="Published"/>
    <n v="107.27000000000001"/>
    <n v="5"/>
    <n v="940"/>
    <x v="2"/>
    <n v="122"/>
    <x v="3"/>
    <n v="-32.910564999999998"/>
    <n v="151.58108300000001"/>
  </r>
  <r>
    <s v="8412"/>
    <s v="The Hills Sports High School"/>
    <s v="Seven Hills"/>
    <s v="Blacktown"/>
    <s v="Sydney - Blacktown"/>
    <x v="0"/>
    <x v="0"/>
    <s v="Metropolitan South and West"/>
    <x v="4"/>
    <x v="0"/>
    <s v="Coed"/>
    <n v="913"/>
    <n v="9"/>
    <s v="Published"/>
    <n v="82.17"/>
    <n v="46"/>
    <n v="967"/>
    <x v="2"/>
    <n v="114"/>
    <x v="3"/>
    <n v="-33.782184000000001"/>
    <n v="150.93883400000001"/>
  </r>
  <r>
    <s v="8413"/>
    <s v="Morisset High School"/>
    <s v="Morisset"/>
    <s v="Lake Macquarie"/>
    <s v="Newcastle and Lake Macquarie"/>
    <x v="0"/>
    <x v="0"/>
    <s v="Regional North"/>
    <x v="4"/>
    <x v="0"/>
    <s v="Coed"/>
    <n v="686.9"/>
    <n v="20"/>
    <s v="Published"/>
    <n v="137.38"/>
    <n v="7"/>
    <n v="929"/>
    <x v="2"/>
    <n v="126"/>
    <x v="3"/>
    <n v="-33.104657000000003"/>
    <n v="151.48662899999999"/>
  </r>
  <r>
    <s v="8414"/>
    <s v="Chatham High School"/>
    <s v="Taree"/>
    <s v="Mid-Coast"/>
    <s v="Mid North Coast"/>
    <x v="1"/>
    <x v="1"/>
    <s v="Regional North and West"/>
    <x v="4"/>
    <x v="0"/>
    <s v="Coed"/>
    <n v="491.6"/>
    <n v="47"/>
    <s v="Published"/>
    <n v="231.05199999999999"/>
    <n v="5"/>
    <n v="814"/>
    <x v="1"/>
    <n v="170"/>
    <x v="0"/>
    <n v="-31.895769999999999"/>
    <n v="152.480875"/>
  </r>
  <r>
    <s v="8415"/>
    <s v="Ryde Secondary College"/>
    <s v="Ryde"/>
    <s v="Ryde"/>
    <s v="Sydney - Ryde"/>
    <x v="0"/>
    <x v="0"/>
    <s v="Metropolitan North"/>
    <x v="4"/>
    <x v="2"/>
    <s v="Coed"/>
    <n v="1486.3"/>
    <n v="1"/>
    <s v="Published"/>
    <n v="14.863"/>
    <n v="67"/>
    <n v="1102"/>
    <x v="0"/>
    <n v="34"/>
    <x v="4"/>
    <n v="-33.813316"/>
    <n v="151.11917600000001"/>
  </r>
  <r>
    <s v="8416"/>
    <s v="Ku-ring-gai High School"/>
    <s v="NORTH TURRAMURRA"/>
    <s v="Ku-ring-gai"/>
    <s v="Sydney - North Sydney and Hornsby"/>
    <x v="0"/>
    <x v="0"/>
    <s v="Metropolitan North"/>
    <x v="4"/>
    <x v="0"/>
    <s v="Coed"/>
    <n v="535.6"/>
    <n v="2"/>
    <s v="Published"/>
    <n v="10.712000000000002"/>
    <n v="38"/>
    <n v="1088"/>
    <x v="3"/>
    <n v="43"/>
    <x v="0"/>
    <n v="-33.690973"/>
    <n v="151.153809"/>
  </r>
  <r>
    <s v="8417"/>
    <s v="Dubbo College South Campus"/>
    <s v="Dubbo"/>
    <s v="Dubbo"/>
    <s v="Far West and Orana"/>
    <x v="1"/>
    <x v="1"/>
    <s v="Regional North and West"/>
    <x v="4"/>
    <x v="0"/>
    <s v="Coed"/>
    <n v="687"/>
    <n v="46"/>
    <s v="Published"/>
    <n v="316.02000000000004"/>
    <n v="6"/>
    <n v="864"/>
    <x v="1"/>
    <n v="134"/>
    <x v="3"/>
    <n v="-32.270837"/>
    <n v="148.61068700000001"/>
  </r>
  <r>
    <s v="8418"/>
    <s v="Warilla High School"/>
    <s v="Barrack Heights"/>
    <s v="Shellharbour"/>
    <s v="Illawarra"/>
    <x v="0"/>
    <x v="0"/>
    <s v="Regional South and Connected Communities"/>
    <x v="4"/>
    <x v="0"/>
    <s v="Coed"/>
    <n v="1019.8"/>
    <n v="10"/>
    <s v="Published"/>
    <n v="101.98"/>
    <n v="17"/>
    <n v="968"/>
    <x v="2"/>
    <n v="116"/>
    <x v="4"/>
    <n v="-34.563813000000003"/>
    <n v="150.857991"/>
  </r>
  <r>
    <s v="8420"/>
    <s v="Evans High School"/>
    <s v="BLACKTOWN"/>
    <s v="Blacktown"/>
    <s v="Sydney - Blacktown"/>
    <x v="0"/>
    <x v="0"/>
    <s v="Metropolitan South and West"/>
    <x v="4"/>
    <x v="0"/>
    <s v="Coed"/>
    <n v="815"/>
    <n v="4"/>
    <s v="Published"/>
    <n v="32.6"/>
    <n v="77"/>
    <n v="935"/>
    <x v="2"/>
    <n v="155"/>
    <x v="3"/>
    <n v="-33.786512000000002"/>
    <n v="150.889725"/>
  </r>
  <r>
    <s v="8422"/>
    <s v="Killarney Heights High School"/>
    <s v="Killarney Heights"/>
    <s v="Northern Beaches"/>
    <s v="Sydney - Northern Beaches"/>
    <x v="0"/>
    <x v="0"/>
    <s v="Metropolitan North"/>
    <x v="4"/>
    <x v="0"/>
    <s v="Coed"/>
    <n v="968.6"/>
    <n v="0"/>
    <s v="Published"/>
    <n v="0"/>
    <n v="45"/>
    <n v="1132"/>
    <x v="0"/>
    <n v="22"/>
    <x v="3"/>
    <n v="-33.771925000000003"/>
    <n v="151.215215"/>
  </r>
  <r>
    <s v="8423"/>
    <s v="Kotara High School"/>
    <s v="Adamstown"/>
    <s v="Newcastle"/>
    <s v="Newcastle and Lake Macquarie"/>
    <x v="0"/>
    <x v="0"/>
    <s v="Regional North"/>
    <x v="4"/>
    <x v="0"/>
    <s v="Coed"/>
    <n v="1125.8"/>
    <n v="5"/>
    <s v="Published"/>
    <n v="56.29"/>
    <n v="12"/>
    <n v="1066"/>
    <x v="3"/>
    <n v="54"/>
    <x v="4"/>
    <n v="-32.947136999999998"/>
    <n v="151.70686799999999"/>
  </r>
  <r>
    <s v="8424"/>
    <s v="Holroyd High School"/>
    <s v="Greystanes"/>
    <s v="Cumberland"/>
    <s v="Sydney - Parramatta"/>
    <x v="0"/>
    <x v="0"/>
    <s v="Metropolitan South"/>
    <x v="4"/>
    <x v="0"/>
    <s v="Coed"/>
    <n v="547"/>
    <n v="1"/>
    <s v="Published"/>
    <n v="5.47"/>
    <n v="90"/>
    <n v="919"/>
    <x v="2"/>
    <n v="160"/>
    <x v="0"/>
    <n v="-33.832906000000001"/>
    <n v="150.95113699999999"/>
  </r>
  <r>
    <s v="8432"/>
    <s v="Engadine High School"/>
    <s v="Engadine"/>
    <s v="Sutherland"/>
    <s v="Sydney - Sutherland"/>
    <x v="0"/>
    <x v="0"/>
    <s v="Metropolitan South and West"/>
    <x v="4"/>
    <x v="0"/>
    <s v="Coed"/>
    <n v="1062.5999999999999"/>
    <n v="3"/>
    <s v="Published"/>
    <n v="31.877999999999997"/>
    <n v="9"/>
    <n v="1051"/>
    <x v="3"/>
    <n v="71"/>
    <x v="4"/>
    <n v="-34.062140999999997"/>
    <n v="151.019341"/>
  </r>
  <r>
    <s v="8433"/>
    <s v="Woolooware High School"/>
    <s v="Woolooware"/>
    <s v="Sutherland"/>
    <s v="Sydney - Sutherland"/>
    <x v="0"/>
    <x v="0"/>
    <s v="Metropolitan South and West"/>
    <x v="4"/>
    <x v="0"/>
    <s v="Coed"/>
    <n v="788"/>
    <n v="2"/>
    <s v="Published"/>
    <n v="15.76"/>
    <n v="19"/>
    <n v="1063"/>
    <x v="3"/>
    <n v="59"/>
    <x v="3"/>
    <n v="-34.039811"/>
    <n v="151.14559499999999"/>
  </r>
  <r>
    <s v="8435"/>
    <s v="Turramurra High School"/>
    <s v="South Turramurra"/>
    <s v="Ku-ring-gai"/>
    <s v="Sydney - North Sydney and Hornsby"/>
    <x v="0"/>
    <x v="0"/>
    <s v="Metropolitan North"/>
    <x v="4"/>
    <x v="0"/>
    <s v="Coed"/>
    <n v="985.8"/>
    <m/>
    <s v="Suppressed"/>
    <s v=""/>
    <n v="39"/>
    <n v="1118"/>
    <x v="0"/>
    <n v="19"/>
    <x v="3"/>
    <n v="-33.757306999999997"/>
    <n v="151.11478600000001"/>
  </r>
  <r>
    <s v="8436"/>
    <s v="Granville South Creative and Performing Arts High School"/>
    <s v="Guildford"/>
    <s v="Cumberland"/>
    <s v="Sydney - Parramatta"/>
    <x v="0"/>
    <x v="0"/>
    <s v="Metropolitan South"/>
    <x v="4"/>
    <x v="0"/>
    <s v="Coed"/>
    <n v="733"/>
    <n v="1"/>
    <s v="Published"/>
    <n v="7.33"/>
    <n v="96"/>
    <n v="855"/>
    <x v="1"/>
    <n v="205"/>
    <x v="3"/>
    <n v="-33.860626000000003"/>
    <n v="150.99759800000001"/>
  </r>
  <r>
    <s v="8437"/>
    <s v="Kirrawee High School"/>
    <s v="Kirrawee"/>
    <s v="Sutherland"/>
    <s v="Sydney - Sutherland"/>
    <x v="0"/>
    <x v="0"/>
    <s v="Metropolitan South and West"/>
    <x v="4"/>
    <x v="0"/>
    <s v="Coed"/>
    <n v="1185"/>
    <n v="2"/>
    <s v="Published"/>
    <n v="23.7"/>
    <n v="18"/>
    <n v="1092"/>
    <x v="3"/>
    <n v="45"/>
    <x v="4"/>
    <n v="-34.043480000000002"/>
    <n v="151.073475"/>
  </r>
  <r>
    <s v="8438"/>
    <s v="Pennant Hills High School"/>
    <s v="Pennant Hills"/>
    <s v="Hornsby"/>
    <s v="Sydney - Ryde"/>
    <x v="0"/>
    <x v="0"/>
    <s v="Metropolitan North"/>
    <x v="4"/>
    <x v="0"/>
    <s v="Coed"/>
    <n v="1130.3"/>
    <n v="1"/>
    <s v="Published"/>
    <n v="11.302999999999999"/>
    <n v="36"/>
    <n v="1109"/>
    <x v="0"/>
    <n v="28"/>
    <x v="4"/>
    <n v="-33.733691999999998"/>
    <n v="151.06108699999999"/>
  </r>
  <r>
    <s v="8439"/>
    <s v="Francis Greenway High School"/>
    <s v="Woodberry"/>
    <s v="Maitland"/>
    <s v="Newcastle and Lake Macquarie"/>
    <x v="0"/>
    <x v="0"/>
    <s v="Regional North and West"/>
    <x v="4"/>
    <x v="0"/>
    <s v="Coed"/>
    <n v="741.8"/>
    <n v="21"/>
    <s v="Published"/>
    <n v="155.77799999999999"/>
    <n v="6"/>
    <n v="912"/>
    <x v="2"/>
    <n v="144"/>
    <x v="3"/>
    <n v="-32.796979999999998"/>
    <n v="151.66077000000001"/>
  </r>
  <r>
    <s v="8440"/>
    <s v="Warners Bay High School"/>
    <s v="Warners Bay"/>
    <s v="Lake Macquarie"/>
    <s v="Newcastle and Lake Macquarie"/>
    <x v="0"/>
    <x v="0"/>
    <s v="Regional North"/>
    <x v="4"/>
    <x v="0"/>
    <s v="Coed"/>
    <n v="1159.2"/>
    <n v="4"/>
    <s v="Published"/>
    <n v="46.368000000000002"/>
    <n v="7"/>
    <n v="1056"/>
    <x v="3"/>
    <n v="65"/>
    <x v="4"/>
    <n v="-32.967703"/>
    <n v="151.65369100000001"/>
  </r>
  <r>
    <s v="8442"/>
    <s v="Gundagai High School"/>
    <s v="Gundagai"/>
    <s v="Cootamundra-Gundagai"/>
    <s v="Riverina"/>
    <x v="1"/>
    <x v="1"/>
    <s v="Rural South and West"/>
    <x v="4"/>
    <x v="0"/>
    <s v="Coed"/>
    <n v="153.6"/>
    <n v="11"/>
    <s v="Published"/>
    <n v="16.896000000000001"/>
    <m/>
    <n v="923"/>
    <x v="2"/>
    <n v="132"/>
    <x v="1"/>
    <n v="-35.057144000000001"/>
    <n v="148.09942100000001"/>
  </r>
  <r>
    <s v="8443"/>
    <s v="Colyton High School"/>
    <s v="St Marys"/>
    <s v="Penrith"/>
    <s v="Sydney - Outer West and Blue Mountains"/>
    <x v="0"/>
    <x v="0"/>
    <s v="Metropolitan South and West"/>
    <x v="4"/>
    <x v="0"/>
    <s v="Coed"/>
    <n v="764.9"/>
    <n v="11"/>
    <s v="Published"/>
    <n v="84.138999999999996"/>
    <n v="41"/>
    <n v="922"/>
    <x v="2"/>
    <n v="147"/>
    <x v="3"/>
    <n v="-33.777602000000002"/>
    <n v="150.797336"/>
  </r>
  <r>
    <s v="8444"/>
    <s v="Canobolas High School"/>
    <s v="ORANGE"/>
    <s v="Orange"/>
    <s v="Central West"/>
    <x v="1"/>
    <x v="1"/>
    <s v="Rural South and West"/>
    <x v="4"/>
    <x v="0"/>
    <s v="Coed"/>
    <n v="545.79999999999995"/>
    <n v="44"/>
    <s v="Published"/>
    <n v="240.15199999999999"/>
    <n v="6"/>
    <n v="838"/>
    <x v="1"/>
    <n v="156"/>
    <x v="0"/>
    <n v="-33.291758999999999"/>
    <n v="149.12174099999999"/>
  </r>
  <r>
    <s v="8446"/>
    <s v="Springwood High School"/>
    <s v="Faulconbridge"/>
    <s v="Blue Mountains"/>
    <s v="Sydney - Outer West and Blue Mountains"/>
    <x v="0"/>
    <x v="0"/>
    <s v="Regional North"/>
    <x v="4"/>
    <x v="0"/>
    <s v="Coed"/>
    <n v="565.20000000000005"/>
    <n v="7"/>
    <s v="Published"/>
    <n v="39.564000000000007"/>
    <n v="13"/>
    <n v="1027"/>
    <x v="3"/>
    <n v="74"/>
    <x v="0"/>
    <n v="-33.685057"/>
    <n v="150.55060800000001"/>
  </r>
  <r>
    <s v="8447"/>
    <s v="Carlingford High School"/>
    <s v="Carlingford"/>
    <s v="Parramatta"/>
    <s v="Sydney - Parramatta"/>
    <x v="0"/>
    <x v="0"/>
    <s v="Metropolitan North"/>
    <x v="4"/>
    <x v="0"/>
    <s v="Coed"/>
    <n v="1771.5"/>
    <n v="0"/>
    <s v="Published"/>
    <n v="0"/>
    <n v="83"/>
    <n v="1111"/>
    <x v="0"/>
    <n v="26"/>
    <x v="4"/>
    <n v="-33.765411999999998"/>
    <n v="151.05076399999999"/>
  </r>
  <r>
    <s v="8448"/>
    <s v="Bomaderry High School"/>
    <s v="Bomaderry"/>
    <s v="Shoalhaven"/>
    <s v="Southern Highlands and Shoalhaven"/>
    <x v="1"/>
    <x v="1"/>
    <s v="Regional South and Connected Communities"/>
    <x v="4"/>
    <x v="0"/>
    <s v="Coed"/>
    <n v="707"/>
    <n v="19"/>
    <s v="Published"/>
    <n v="134.33000000000001"/>
    <n v="7"/>
    <n v="955"/>
    <x v="2"/>
    <n v="112"/>
    <x v="3"/>
    <n v="-34.844037999999998"/>
    <n v="150.60272499999999"/>
  </r>
  <r>
    <s v="8449"/>
    <s v="Figtree High School"/>
    <s v="Figtree"/>
    <s v="Wollongong"/>
    <s v="Illawarra"/>
    <x v="0"/>
    <x v="0"/>
    <s v="Regional South and Connected Communities"/>
    <x v="4"/>
    <x v="0"/>
    <s v="Coed"/>
    <n v="879.6"/>
    <n v="7"/>
    <s v="Published"/>
    <n v="61.57200000000001"/>
    <n v="22"/>
    <n v="1013"/>
    <x v="3"/>
    <n v="92"/>
    <x v="3"/>
    <n v="-34.438352000000002"/>
    <n v="150.855197"/>
  </r>
  <r>
    <s v="8450"/>
    <s v="Tumbarumba High School"/>
    <s v="Tumbarumba"/>
    <s v="Snowy Valleys"/>
    <s v="Riverina"/>
    <x v="2"/>
    <x v="2"/>
    <s v="Rural South and West"/>
    <x v="4"/>
    <x v="0"/>
    <s v="Coed"/>
    <n v="147.6"/>
    <n v="24"/>
    <s v="Published"/>
    <n v="35.423999999999999"/>
    <n v="5"/>
    <n v="910"/>
    <x v="2"/>
    <n v="130"/>
    <x v="1"/>
    <n v="-35.783098000000003"/>
    <n v="148.01824500000001"/>
  </r>
  <r>
    <s v="8451"/>
    <s v="Coonamble High School"/>
    <s v="Coonamble"/>
    <s v="Coonamble"/>
    <s v="Far West and Orana"/>
    <x v="3"/>
    <x v="3"/>
    <s v="Regional South and Connected Communities"/>
    <x v="4"/>
    <x v="0"/>
    <s v="Coed"/>
    <n v="161"/>
    <n v="82"/>
    <s v="Published"/>
    <n v="132.01999999999998"/>
    <n v="4"/>
    <n v="733"/>
    <x v="1"/>
    <n v="176"/>
    <x v="1"/>
    <n v="-30.955763000000001"/>
    <n v="148.39135099999999"/>
  </r>
  <r>
    <s v="8452"/>
    <s v="Crookwell High School"/>
    <s v="CROOKWELL"/>
    <s v="Upper Lachlan"/>
    <s v="Capital Region"/>
    <x v="1"/>
    <x v="1"/>
    <s v="Regional South and Connected Communities"/>
    <x v="4"/>
    <x v="0"/>
    <s v="Coed"/>
    <n v="182"/>
    <n v="9"/>
    <s v="Published"/>
    <n v="16.38"/>
    <n v="3"/>
    <n v="940"/>
    <x v="2"/>
    <n v="122"/>
    <x v="1"/>
    <n v="-34.452753999999999"/>
    <n v="149.46696700000001"/>
  </r>
  <r>
    <s v="8453"/>
    <s v="Dorrigo High School"/>
    <s v="Dorrigo"/>
    <s v="Bellingen"/>
    <s v="Coffs Harbour - Grafton"/>
    <x v="1"/>
    <x v="1"/>
    <s v="Regional North and West"/>
    <x v="4"/>
    <x v="0"/>
    <s v="Coed"/>
    <n v="117.8"/>
    <n v="9"/>
    <s v="Published"/>
    <n v="10.601999999999999"/>
    <n v="16"/>
    <n v="951"/>
    <x v="2"/>
    <n v="116"/>
    <x v="1"/>
    <n v="-30.339221999999999"/>
    <n v="152.70549199999999"/>
  </r>
  <r>
    <s v="8454"/>
    <s v="Barrenjoey High School"/>
    <s v="Avalon"/>
    <s v="Northern Beaches"/>
    <s v="Sydney - Northern Beaches"/>
    <x v="0"/>
    <x v="0"/>
    <s v="Metropolitan North"/>
    <x v="4"/>
    <x v="0"/>
    <s v="Coed"/>
    <n v="859.5"/>
    <m/>
    <s v="Suppressed"/>
    <s v=""/>
    <n v="13"/>
    <n v="1081"/>
    <x v="3"/>
    <n v="46"/>
    <x v="3"/>
    <n v="-33.631169999999997"/>
    <n v="151.33392599999999"/>
  </r>
  <r>
    <s v="8455"/>
    <s v="Oxley High School"/>
    <s v="NORTH TAMWORTH"/>
    <s v="Tamworth"/>
    <s v="New England and North West"/>
    <x v="1"/>
    <x v="1"/>
    <s v="Rural North"/>
    <x v="4"/>
    <x v="0"/>
    <s v="Coed"/>
    <n v="1004.5"/>
    <n v="27"/>
    <s v="Published"/>
    <n v="271.21500000000003"/>
    <n v="8"/>
    <n v="936"/>
    <x v="2"/>
    <n v="109"/>
    <x v="4"/>
    <n v="-31.077902999999999"/>
    <n v="150.93907799999999"/>
  </r>
  <r>
    <s v="8456"/>
    <s v="Fairvale High School"/>
    <s v="Fairfield West"/>
    <s v="Fairfield"/>
    <s v="Sydney - South West"/>
    <x v="0"/>
    <x v="0"/>
    <s v="Metropolitan South and West"/>
    <x v="4"/>
    <x v="0"/>
    <s v="Coed"/>
    <n v="1320"/>
    <n v="2"/>
    <s v="Published"/>
    <n v="26.400000000000002"/>
    <n v="93"/>
    <n v="912"/>
    <x v="2"/>
    <n v="170"/>
    <x v="4"/>
    <n v="-33.873614000000003"/>
    <n v="150.92945900000001"/>
  </r>
  <r>
    <s v="8457"/>
    <s v="Killara High School"/>
    <s v="Killara"/>
    <s v="Ku-ring-gai"/>
    <s v="Sydney - North Sydney and Hornsby"/>
    <x v="0"/>
    <x v="0"/>
    <s v="Metropolitan North"/>
    <x v="4"/>
    <x v="0"/>
    <s v="Coed"/>
    <n v="1800.4"/>
    <m/>
    <s v="Suppressed"/>
    <s v=""/>
    <n v="64"/>
    <n v="1147"/>
    <x v="0"/>
    <n v="7"/>
    <x v="4"/>
    <n v="-33.756574999999998"/>
    <n v="151.174102"/>
  </r>
  <r>
    <s v="8458"/>
    <s v="Kingswood High School"/>
    <s v="Kingswood"/>
    <s v="Penrith"/>
    <s v="Sydney - Outer West and Blue Mountains"/>
    <x v="0"/>
    <x v="0"/>
    <s v="Metropolitan South and West"/>
    <x v="4"/>
    <x v="0"/>
    <s v="Coed"/>
    <n v="1005"/>
    <n v="14"/>
    <s v="Published"/>
    <n v="140.70000000000002"/>
    <n v="31"/>
    <n v="955"/>
    <x v="2"/>
    <n v="118"/>
    <x v="4"/>
    <n v="-33.770415999999997"/>
    <n v="150.71526299999999"/>
  </r>
  <r>
    <s v="8459"/>
    <s v="Chifley College Mount Druitt Campus"/>
    <s v="Mount Druitt"/>
    <s v="Blacktown"/>
    <s v="Sydney - Blacktown"/>
    <x v="0"/>
    <x v="0"/>
    <s v="Metropolitan North"/>
    <x v="4"/>
    <x v="0"/>
    <s v="Coed"/>
    <n v="648"/>
    <n v="21"/>
    <s v="Published"/>
    <n v="136.07999999999998"/>
    <n v="48"/>
    <n v="864"/>
    <x v="1"/>
    <n v="174"/>
    <x v="3"/>
    <n v="-33.744656999999997"/>
    <n v="150.812884"/>
  </r>
  <r>
    <s v="8460"/>
    <s v="James Busby High School"/>
    <s v="Green Valley"/>
    <s v="Liverpool"/>
    <s v="Sydney - South West"/>
    <x v="0"/>
    <x v="0"/>
    <s v="Metropolitan South and West"/>
    <x v="4"/>
    <x v="0"/>
    <s v="Coed"/>
    <n v="544"/>
    <n v="7"/>
    <s v="Published"/>
    <n v="38.080000000000005"/>
    <n v="81"/>
    <n v="902"/>
    <x v="2"/>
    <n v="172"/>
    <x v="0"/>
    <n v="-33.908963999999997"/>
    <n v="150.87403900000001"/>
  </r>
  <r>
    <s v="8461"/>
    <s v="Barham High School"/>
    <s v="Barham"/>
    <s v="Murray River"/>
    <s v="Murray"/>
    <x v="2"/>
    <x v="2"/>
    <s v="Rural South and West"/>
    <x v="4"/>
    <x v="0"/>
    <s v="Coed"/>
    <n v="183.2"/>
    <n v="10"/>
    <s v="Published"/>
    <n v="18.32"/>
    <n v="3"/>
    <n v="951"/>
    <x v="2"/>
    <n v="117"/>
    <x v="1"/>
    <n v="-35.622999999999998"/>
    <n v="144.13205500000001"/>
  </r>
  <r>
    <s v="8462"/>
    <s v="Narromine High School"/>
    <s v="NARROMINE"/>
    <s v="Narromine"/>
    <s v="Far West and Orana"/>
    <x v="2"/>
    <x v="2"/>
    <s v="Regional North and West"/>
    <x v="4"/>
    <x v="0"/>
    <s v="Coed"/>
    <n v="223"/>
    <n v="68"/>
    <s v="Published"/>
    <n v="151.64000000000001"/>
    <n v="24"/>
    <n v="787"/>
    <x v="1"/>
    <n v="160"/>
    <x v="1"/>
    <n v="-32.229655000000001"/>
    <n v="148.24258499999999"/>
  </r>
  <r>
    <s v="8463"/>
    <s v="Sylvania High School"/>
    <s v="Sylvania"/>
    <s v="Sutherland"/>
    <s v="Sydney - Sutherland"/>
    <x v="0"/>
    <x v="0"/>
    <s v="Metropolitan South and West"/>
    <x v="4"/>
    <x v="0"/>
    <s v="Coed"/>
    <n v="750"/>
    <n v="3"/>
    <s v="Published"/>
    <n v="22.5"/>
    <n v="47"/>
    <n v="1039"/>
    <x v="3"/>
    <n v="77"/>
    <x v="3"/>
    <n v="-34.017367"/>
    <n v="151.10352900000001"/>
  </r>
  <r>
    <s v="8464"/>
    <s v="Baulkham Hills High School"/>
    <s v="Baulkham Hills"/>
    <s v="The Hills"/>
    <s v="Sydney - Baulkham Hills and Hawkesbury"/>
    <x v="0"/>
    <x v="0"/>
    <s v="Metropolitan North"/>
    <x v="4"/>
    <x v="1"/>
    <s v="Coed"/>
    <n v="1222.3"/>
    <n v="0"/>
    <s v="Published"/>
    <n v="0"/>
    <n v="94"/>
    <n v="1203"/>
    <x v="0"/>
    <n v="2"/>
    <x v="4"/>
    <n v="-33.750227000000002"/>
    <n v="150.991499"/>
  </r>
  <r>
    <s v="8465"/>
    <s v="Tuggerah Lakes Secondary College The Entrance Campus"/>
    <s v="Shelly Beach"/>
    <s v="Central Coast (NSW)"/>
    <s v="Central Coast"/>
    <x v="0"/>
    <x v="0"/>
    <s v="Regional North"/>
    <x v="4"/>
    <x v="0"/>
    <s v="Coed"/>
    <n v="754"/>
    <n v="13"/>
    <s v="Published"/>
    <n v="98.02000000000001"/>
    <n v="7"/>
    <n v="987"/>
    <x v="2"/>
    <n v="100"/>
    <x v="3"/>
    <n v="-33.371256000000002"/>
    <n v="151.47661299999999"/>
  </r>
  <r>
    <s v="8466"/>
    <s v="Glendale Technology High School"/>
    <s v="Glendale"/>
    <s v="Lake Macquarie"/>
    <s v="Newcastle and Lake Macquarie"/>
    <x v="0"/>
    <x v="0"/>
    <s v="Regional North"/>
    <x v="4"/>
    <x v="0"/>
    <s v="Coed"/>
    <n v="800.1"/>
    <n v="17"/>
    <s v="Published"/>
    <n v="136.01700000000002"/>
    <n v="8"/>
    <n v="946"/>
    <x v="2"/>
    <n v="127"/>
    <x v="3"/>
    <n v="-32.925927999999999"/>
    <n v="151.64293799999999"/>
  </r>
  <r>
    <s v="8467"/>
    <s v="Henry Kendall High School"/>
    <s v="Gosford"/>
    <s v="Central Coast (NSW)"/>
    <s v="Central Coast"/>
    <x v="0"/>
    <x v="0"/>
    <s v="Regional North"/>
    <x v="4"/>
    <x v="0"/>
    <s v="Coed"/>
    <n v="789"/>
    <n v="7"/>
    <s v="Published"/>
    <n v="55.230000000000004"/>
    <n v="29"/>
    <n v="1030"/>
    <x v="3"/>
    <n v="75"/>
    <x v="3"/>
    <n v="-33.420757000000002"/>
    <n v="151.334496"/>
  </r>
  <r>
    <s v="8468"/>
    <s v="Mulwaree High School"/>
    <s v="Goulburn"/>
    <s v="Goulburn Mulwaree"/>
    <s v="Capital Region"/>
    <x v="1"/>
    <x v="1"/>
    <s v="Regional South and Connected Communities"/>
    <x v="4"/>
    <x v="0"/>
    <s v="Coed"/>
    <n v="817.2"/>
    <n v="12"/>
    <s v="Published"/>
    <n v="98.064000000000007"/>
    <n v="8"/>
    <n v="951"/>
    <x v="2"/>
    <n v="122"/>
    <x v="3"/>
    <n v="-34.728245000000001"/>
    <n v="149.73016899999999"/>
  </r>
  <r>
    <s v="8469"/>
    <s v="Orara High School"/>
    <s v="Coffs Harbour"/>
    <s v="Coffs Harbour"/>
    <s v="Coffs Harbour - Grafton"/>
    <x v="1"/>
    <x v="1"/>
    <s v="Regional North and West"/>
    <x v="4"/>
    <x v="0"/>
    <s v="Coed"/>
    <n v="856.2"/>
    <n v="24"/>
    <s v="Published"/>
    <n v="205.488"/>
    <n v="20"/>
    <n v="896"/>
    <x v="1"/>
    <n v="142"/>
    <x v="3"/>
    <n v="-30.282810999999999"/>
    <n v="153.11287899999999"/>
  </r>
  <r>
    <s v="8470"/>
    <s v="Wade High School"/>
    <s v="Griffith"/>
    <s v="Griffith"/>
    <s v="Riverina"/>
    <x v="2"/>
    <x v="2"/>
    <s v="Rural South and West"/>
    <x v="4"/>
    <x v="0"/>
    <s v="Coed"/>
    <n v="461"/>
    <n v="20"/>
    <s v="Published"/>
    <n v="92.2"/>
    <n v="18"/>
    <n v="918"/>
    <x v="2"/>
    <n v="127"/>
    <x v="0"/>
    <n v="-34.282314999999997"/>
    <n v="146.070718"/>
  </r>
  <r>
    <s v="8472"/>
    <s v="Dungog High School"/>
    <s v="DUNGOG"/>
    <s v="Dungog"/>
    <s v="Hunter Valley exc Newcastle"/>
    <x v="1"/>
    <x v="1"/>
    <s v="Regional North and West"/>
    <x v="4"/>
    <x v="0"/>
    <s v="Coed"/>
    <n v="565.20000000000005"/>
    <n v="18"/>
    <s v="Published"/>
    <n v="101.736"/>
    <n v="2"/>
    <n v="937"/>
    <x v="2"/>
    <n v="120"/>
    <x v="0"/>
    <n v="-32.396819000000001"/>
    <n v="151.750417"/>
  </r>
  <r>
    <s v="8473"/>
    <s v="Chifley College Senior Campus"/>
    <s v="MOUNT DRUITT"/>
    <s v="Blacktown"/>
    <s v="Sydney - Blacktown"/>
    <x v="0"/>
    <x v="0"/>
    <s v="Metropolitan North"/>
    <x v="4"/>
    <x v="0"/>
    <s v="Coed"/>
    <n v="499"/>
    <n v="23"/>
    <s v="Published"/>
    <n v="114.77000000000001"/>
    <n v="46"/>
    <n v="894"/>
    <x v="1"/>
    <n v="170"/>
    <x v="0"/>
    <n v="-33.769305000000003"/>
    <n v="150.82985500000001"/>
  </r>
  <r>
    <s v="8474"/>
    <s v="Lake Illawarra High School"/>
    <s v="Lake Illawarra"/>
    <s v="Shellharbour"/>
    <s v="Illawarra"/>
    <x v="0"/>
    <x v="0"/>
    <s v="Regional South and Connected Communities"/>
    <x v="4"/>
    <x v="0"/>
    <s v="Coed"/>
    <n v="541.6"/>
    <n v="23"/>
    <s v="Published"/>
    <n v="124.56800000000001"/>
    <n v="9"/>
    <n v="894"/>
    <x v="1"/>
    <n v="153"/>
    <x v="0"/>
    <n v="-34.541828000000002"/>
    <n v="150.850426"/>
  </r>
  <r>
    <s v="8475"/>
    <s v="Walgett Community College - High School"/>
    <s v="Walgett"/>
    <s v="Walgett"/>
    <s v="Far West and Orana"/>
    <x v="3"/>
    <x v="3"/>
    <s v="Regional South and Connected Communities"/>
    <x v="4"/>
    <x v="0"/>
    <s v="Coed"/>
    <n v="83"/>
    <n v="96"/>
    <s v="Published"/>
    <n v="79.679999999999993"/>
    <m/>
    <n v="677"/>
    <x v="1"/>
    <n v="216"/>
    <x v="2"/>
    <n v="-30.027113"/>
    <n v="148.118967"/>
  </r>
  <r>
    <s v="8476"/>
    <s v="Casula High School"/>
    <s v="Casula"/>
    <s v="Liverpool"/>
    <s v="Sydney - South West"/>
    <x v="0"/>
    <x v="0"/>
    <s v="Metropolitan South and West"/>
    <x v="4"/>
    <x v="0"/>
    <s v="Coed"/>
    <n v="1280"/>
    <n v="4"/>
    <s v="Published"/>
    <n v="51.2"/>
    <n v="78"/>
    <n v="957"/>
    <x v="2"/>
    <n v="133"/>
    <x v="4"/>
    <n v="-33.951230000000002"/>
    <n v="150.8937"/>
  </r>
  <r>
    <s v="8477"/>
    <s v="Kellyville High School"/>
    <s v="Kellyville"/>
    <s v="The Hills"/>
    <s v="Sydney - Baulkham Hills and Hawkesbury"/>
    <x v="0"/>
    <x v="0"/>
    <s v="Metropolitan North"/>
    <x v="4"/>
    <x v="0"/>
    <s v="Coed"/>
    <n v="869"/>
    <n v="1"/>
    <s v="Published"/>
    <n v="8.69"/>
    <n v="55"/>
    <n v="1086"/>
    <x v="3"/>
    <n v="44"/>
    <x v="3"/>
    <n v="-33.707777"/>
    <n v="150.969921"/>
  </r>
  <r>
    <s v="8479"/>
    <s v="Davidson High School"/>
    <s v="Frenchs Forest"/>
    <s v="Northern Beaches"/>
    <s v="Sydney - Northern Beaches"/>
    <x v="0"/>
    <x v="0"/>
    <s v="Metropolitan North"/>
    <x v="4"/>
    <x v="0"/>
    <s v="Coed"/>
    <n v="789.4"/>
    <m/>
    <s v="Suppressed"/>
    <s v=""/>
    <n v="18"/>
    <n v="1089"/>
    <x v="3"/>
    <n v="45"/>
    <x v="3"/>
    <n v="-33.744680000000002"/>
    <n v="151.205465"/>
  </r>
  <r>
    <s v="8480"/>
    <s v="Warrawong High School"/>
    <s v="Warrawong"/>
    <s v="Wollongong"/>
    <s v="Illawarra"/>
    <x v="0"/>
    <x v="0"/>
    <s v="Regional South and Connected Communities"/>
    <x v="4"/>
    <x v="0"/>
    <s v="Coed"/>
    <n v="591"/>
    <n v="11"/>
    <s v="Published"/>
    <n v="65.010000000000005"/>
    <n v="42"/>
    <n v="905"/>
    <x v="2"/>
    <n v="166"/>
    <x v="0"/>
    <n v="-34.480162999999997"/>
    <n v="150.87517800000001"/>
  </r>
  <r>
    <s v="8481"/>
    <s v="Galston High School"/>
    <s v="Galston"/>
    <s v="Hornsby"/>
    <s v="Sydney - Baulkham Hills and Hawkesbury"/>
    <x v="0"/>
    <x v="0"/>
    <s v="Regional North"/>
    <x v="4"/>
    <x v="0"/>
    <s v="Coed"/>
    <n v="570"/>
    <n v="2"/>
    <s v="Published"/>
    <n v="11.4"/>
    <n v="19"/>
    <n v="1044"/>
    <x v="3"/>
    <n v="73"/>
    <x v="0"/>
    <n v="-33.660930999999998"/>
    <n v="151.042348"/>
  </r>
  <r>
    <s v="8482"/>
    <s v="Lambton High School"/>
    <s v="Lambton"/>
    <s v="Newcastle"/>
    <s v="Newcastle and Lake Macquarie"/>
    <x v="0"/>
    <x v="0"/>
    <s v="Regional North"/>
    <x v="4"/>
    <x v="0"/>
    <s v="Coed"/>
    <n v="1171.5999999999999"/>
    <n v="8"/>
    <s v="Published"/>
    <n v="93.727999999999994"/>
    <n v="21"/>
    <n v="1057"/>
    <x v="3"/>
    <n v="59"/>
    <x v="4"/>
    <n v="-32.917918"/>
    <n v="151.72203400000001"/>
  </r>
  <r>
    <s v="8483"/>
    <s v="Kooringal High School"/>
    <s v="KOORINGAL"/>
    <s v="Wagga Wagga"/>
    <s v="Riverina"/>
    <x v="1"/>
    <x v="1"/>
    <s v="Rural South and West"/>
    <x v="4"/>
    <x v="2"/>
    <s v="Coed"/>
    <n v="839"/>
    <n v="14"/>
    <s v="Published"/>
    <n v="117.46000000000001"/>
    <n v="15"/>
    <n v="959"/>
    <x v="2"/>
    <n v="111"/>
    <x v="3"/>
    <n v="-35.142885999999997"/>
    <n v="147.381528"/>
  </r>
  <r>
    <s v="8484"/>
    <s v="Sydney Secondary College Balmain Campus"/>
    <s v="Rozelle"/>
    <s v="Inner West"/>
    <s v="Sydney - Inner West"/>
    <x v="0"/>
    <x v="0"/>
    <s v="Metropolitan South"/>
    <x v="4"/>
    <x v="2"/>
    <s v="Coed"/>
    <n v="854"/>
    <n v="5"/>
    <s v="Published"/>
    <n v="42.7"/>
    <n v="39"/>
    <n v="1112"/>
    <x v="0"/>
    <n v="30"/>
    <x v="3"/>
    <n v="-33.858505999999998"/>
    <n v="151.170052"/>
  </r>
  <r>
    <s v="8485"/>
    <s v="Hoxton Park High School"/>
    <s v="Hinchinbrook"/>
    <s v="Liverpool"/>
    <s v="Sydney - South West"/>
    <x v="0"/>
    <x v="0"/>
    <s v="Metropolitan South and West"/>
    <x v="4"/>
    <x v="0"/>
    <s v="Coed"/>
    <n v="894.8"/>
    <n v="3"/>
    <s v="Published"/>
    <n v="26.843999999999998"/>
    <n v="82"/>
    <n v="940"/>
    <x v="2"/>
    <n v="145"/>
    <x v="3"/>
    <n v="-33.92"/>
    <n v="150.86161999999999"/>
  </r>
  <r>
    <s v="8486"/>
    <s v="Bombala High School"/>
    <s v="Bombala"/>
    <s v="Snowy Monaro"/>
    <s v="Capital Region"/>
    <x v="2"/>
    <x v="2"/>
    <s v="Rural South and West"/>
    <x v="4"/>
    <x v="0"/>
    <s v="Coed"/>
    <n v="148"/>
    <n v="9"/>
    <s v="Published"/>
    <n v="13.32"/>
    <m/>
    <n v="946"/>
    <x v="2"/>
    <n v="117"/>
    <x v="1"/>
    <n v="-36.917647000000002"/>
    <n v="149.23192700000001"/>
  </r>
  <r>
    <s v="8487"/>
    <s v="Eden Marine High School"/>
    <s v="Eden"/>
    <s v="Bega Valley"/>
    <s v="Capital Region"/>
    <x v="2"/>
    <x v="2"/>
    <s v="Rural South and West"/>
    <x v="4"/>
    <x v="0"/>
    <s v="Coed"/>
    <n v="536"/>
    <n v="13"/>
    <s v="Published"/>
    <n v="69.680000000000007"/>
    <n v="4"/>
    <n v="956"/>
    <x v="2"/>
    <n v="109"/>
    <x v="0"/>
    <n v="-37.055008999999998"/>
    <n v="149.90731"/>
  </r>
  <r>
    <s v="8488"/>
    <s v="Chifley College Dunheved Campus"/>
    <s v="North St Marys"/>
    <s v="Penrith"/>
    <s v="Sydney - Outer West and Blue Mountains"/>
    <x v="0"/>
    <x v="0"/>
    <s v="Metropolitan North"/>
    <x v="4"/>
    <x v="0"/>
    <s v="Coed"/>
    <n v="586"/>
    <n v="28"/>
    <s v="Published"/>
    <n v="164.08"/>
    <n v="33"/>
    <n v="870"/>
    <x v="1"/>
    <n v="167"/>
    <x v="0"/>
    <n v="-33.749645999999998"/>
    <n v="150.78309300000001"/>
  </r>
  <r>
    <s v="8489"/>
    <s v="Kanahooka High School"/>
    <s v="Kanahooka"/>
    <s v="Wollongong"/>
    <s v="Illawarra"/>
    <x v="0"/>
    <x v="0"/>
    <s v="Regional South and Connected Communities"/>
    <x v="4"/>
    <x v="0"/>
    <s v="Coed"/>
    <n v="579.4"/>
    <n v="21"/>
    <s v="Published"/>
    <n v="121.67399999999999"/>
    <n v="10"/>
    <n v="912"/>
    <x v="2"/>
    <n v="141"/>
    <x v="0"/>
    <n v="-34.494652000000002"/>
    <n v="150.805362"/>
  </r>
  <r>
    <s v="8490"/>
    <s v="Macintyre High School"/>
    <s v="Inverell"/>
    <s v="Inverell"/>
    <s v="New England and North West"/>
    <x v="2"/>
    <x v="2"/>
    <s v="Rural North"/>
    <x v="4"/>
    <x v="0"/>
    <s v="Coed"/>
    <n v="486.4"/>
    <n v="24"/>
    <s v="Published"/>
    <n v="116.73599999999999"/>
    <n v="6"/>
    <n v="919"/>
    <x v="2"/>
    <n v="123"/>
    <x v="0"/>
    <n v="-29.767545999999999"/>
    <n v="151.129187"/>
  </r>
  <r>
    <s v="8491"/>
    <s v="Willyama High School"/>
    <s v="Broken Hill"/>
    <s v="Broken Hill"/>
    <s v="Far West and Orana"/>
    <x v="2"/>
    <x v="2"/>
    <s v="Rural South and West"/>
    <x v="4"/>
    <x v="0"/>
    <s v="Coed"/>
    <n v="570"/>
    <n v="22"/>
    <s v="Published"/>
    <n v="125.4"/>
    <n v="5"/>
    <n v="903"/>
    <x v="2"/>
    <n v="128"/>
    <x v="0"/>
    <n v="-31.936551999999999"/>
    <n v="141.47302199999999"/>
  </r>
  <r>
    <s v="8493"/>
    <s v="Airds High School"/>
    <s v="Campbelltown"/>
    <s v="Campbelltown (NSW)"/>
    <s v="Sydney - Outer South West"/>
    <x v="0"/>
    <x v="0"/>
    <s v="Regional South and Connected Communities"/>
    <x v="4"/>
    <x v="0"/>
    <s v="Coed"/>
    <n v="542"/>
    <n v="29"/>
    <s v="Published"/>
    <n v="157.17999999999998"/>
    <n v="35"/>
    <n v="875"/>
    <x v="1"/>
    <n v="165"/>
    <x v="0"/>
    <n v="-34.086883"/>
    <n v="150.82710900000001"/>
  </r>
  <r>
    <s v="8494"/>
    <s v="Coomealla High School"/>
    <s v="Dareton"/>
    <s v="Wentworth"/>
    <s v="Murray"/>
    <x v="2"/>
    <x v="2"/>
    <s v="Regional South and Connected Communities"/>
    <x v="4"/>
    <x v="0"/>
    <s v="Coed"/>
    <n v="190"/>
    <n v="42"/>
    <s v="Published"/>
    <n v="79.8"/>
    <n v="9"/>
    <n v="826"/>
    <x v="1"/>
    <n v="164"/>
    <x v="1"/>
    <n v="-34.095979999999997"/>
    <n v="142.060295"/>
  </r>
  <r>
    <s v="8495"/>
    <s v="Ulladulla High School"/>
    <s v="Ulladulla"/>
    <s v="Shoalhaven"/>
    <s v="Southern Highlands and Shoalhaven"/>
    <x v="1"/>
    <x v="1"/>
    <s v="Regional South and Connected Communities"/>
    <x v="4"/>
    <x v="0"/>
    <s v="Coed"/>
    <n v="1150.2"/>
    <n v="9"/>
    <s v="Published"/>
    <n v="103.518"/>
    <n v="6"/>
    <n v="993"/>
    <x v="2"/>
    <n v="93"/>
    <x v="4"/>
    <n v="-35.35821"/>
    <n v="150.47023999999999"/>
  </r>
  <r>
    <s v="8496"/>
    <s v="Chifley College Shalvey Campus"/>
    <s v="Shalvey"/>
    <s v="Blacktown"/>
    <s v="Sydney - Blacktown"/>
    <x v="0"/>
    <x v="0"/>
    <s v="Metropolitan North"/>
    <x v="4"/>
    <x v="0"/>
    <s v="Coed"/>
    <n v="391"/>
    <n v="38"/>
    <s v="Published"/>
    <n v="148.58000000000001"/>
    <n v="33"/>
    <n v="828"/>
    <x v="1"/>
    <n v="193"/>
    <x v="0"/>
    <n v="-33.730803999999999"/>
    <n v="150.80573999999999"/>
  </r>
  <r>
    <s v="8497"/>
    <s v="James Meehan High School"/>
    <s v="Macquarie Fields"/>
    <s v="Campbelltown (NSW)"/>
    <s v="Sydney - Outer South West"/>
    <x v="0"/>
    <x v="0"/>
    <s v="Metropolitan South and West"/>
    <x v="4"/>
    <x v="0"/>
    <s v="Coed"/>
    <n v="394.6"/>
    <n v="20"/>
    <s v="Published"/>
    <n v="78.920000000000016"/>
    <n v="48"/>
    <n v="884"/>
    <x v="1"/>
    <n v="171"/>
    <x v="0"/>
    <n v="-33.988351000000002"/>
    <n v="150.89228700000001"/>
  </r>
  <r>
    <s v="8498"/>
    <s v="Muirfield High School"/>
    <s v="North Rocks"/>
    <s v="Parramatta"/>
    <s v="Sydney - Parramatta"/>
    <x v="0"/>
    <x v="0"/>
    <s v="Metropolitan North"/>
    <x v="4"/>
    <x v="0"/>
    <s v="Coed"/>
    <n v="835.8"/>
    <n v="1"/>
    <s v="Published"/>
    <n v="8.3580000000000005"/>
    <n v="40"/>
    <n v="1082"/>
    <x v="3"/>
    <n v="47"/>
    <x v="3"/>
    <n v="-33.764695000000003"/>
    <n v="151.02229399999999"/>
  </r>
  <r>
    <s v="8499"/>
    <s v="Model Farms High School"/>
    <s v="Baulkham Hills"/>
    <s v="The Hills"/>
    <s v="Sydney - Baulkham Hills and Hawkesbury"/>
    <x v="0"/>
    <x v="0"/>
    <s v="Metropolitan North"/>
    <x v="4"/>
    <x v="0"/>
    <s v="Coed"/>
    <n v="1021"/>
    <n v="1"/>
    <s v="Published"/>
    <n v="10.210000000000001"/>
    <n v="46"/>
    <n v="1073"/>
    <x v="3"/>
    <n v="52"/>
    <x v="4"/>
    <n v="-33.76943"/>
    <n v="150.971394"/>
  </r>
  <r>
    <s v="8500"/>
    <s v="Girraween High School"/>
    <s v="GIRRAWEEN"/>
    <s v="Cumberland"/>
    <s v="Sydney - Parramatta"/>
    <x v="0"/>
    <x v="0"/>
    <s v="Metropolitan South"/>
    <x v="4"/>
    <x v="1"/>
    <s v="Coed"/>
    <n v="781.7"/>
    <n v="0"/>
    <s v="Published"/>
    <n v="0"/>
    <n v="97"/>
    <n v="1199"/>
    <x v="0"/>
    <n v="0"/>
    <x v="3"/>
    <n v="-33.799889999999998"/>
    <n v="150.94457700000001"/>
  </r>
  <r>
    <s v="8501"/>
    <s v="Moorebank High School"/>
    <s v="Moorebank"/>
    <s v="Liverpool"/>
    <s v="Sydney - South West"/>
    <x v="0"/>
    <x v="0"/>
    <s v="Metropolitan South and West"/>
    <x v="4"/>
    <x v="2"/>
    <s v="Coed"/>
    <n v="992"/>
    <n v="1"/>
    <s v="Published"/>
    <n v="9.92"/>
    <n v="81"/>
    <n v="1022"/>
    <x v="3"/>
    <n v="91"/>
    <x v="3"/>
    <n v="-33.925772000000002"/>
    <n v="150.958685"/>
  </r>
  <r>
    <s v="8502"/>
    <s v="Tomaree High School"/>
    <s v="Salamander Bay"/>
    <s v="Port Stephens"/>
    <s v="Hunter Valley exc Newcastle"/>
    <x v="1"/>
    <x v="1"/>
    <s v="Regional North"/>
    <x v="4"/>
    <x v="0"/>
    <s v="Coed"/>
    <n v="978.8"/>
    <n v="11"/>
    <s v="Published"/>
    <n v="107.66799999999999"/>
    <n v="9"/>
    <n v="970"/>
    <x v="2"/>
    <n v="107"/>
    <x v="3"/>
    <n v="-32.735883999999999"/>
    <n v="152.1122"/>
  </r>
  <r>
    <s v="8503"/>
    <s v="Billabong High School"/>
    <s v="Culcairn"/>
    <s v="Greater Hume"/>
    <s v="Murray"/>
    <x v="1"/>
    <x v="1"/>
    <s v="Rural South and West"/>
    <x v="4"/>
    <x v="0"/>
    <s v="Coed"/>
    <n v="312"/>
    <n v="11"/>
    <s v="Published"/>
    <n v="34.32"/>
    <n v="3"/>
    <n v="946"/>
    <x v="2"/>
    <n v="124"/>
    <x v="0"/>
    <n v="-35.660874"/>
    <n v="147.04393099999999"/>
  </r>
  <r>
    <s v="8504"/>
    <s v="Fort Street High School"/>
    <s v="PETERSHAM"/>
    <s v="Inner West"/>
    <s v="Sydney - City and Inner South"/>
    <x v="0"/>
    <x v="0"/>
    <s v="Metropolitan South"/>
    <x v="4"/>
    <x v="1"/>
    <s v="Coed"/>
    <n v="916.4"/>
    <m/>
    <s v="Suppressed"/>
    <s v=""/>
    <n v="78"/>
    <n v="1176"/>
    <x v="0"/>
    <n v="11"/>
    <x v="3"/>
    <n v="-33.890196000000003"/>
    <n v="151.15289999999999"/>
  </r>
  <r>
    <s v="8505"/>
    <s v="Murray High School"/>
    <s v="Lavington"/>
    <s v="Albury"/>
    <s v="Murray"/>
    <x v="1"/>
    <x v="1"/>
    <s v="Rural South and West"/>
    <x v="4"/>
    <x v="0"/>
    <s v="Coed"/>
    <n v="575"/>
    <n v="9"/>
    <s v="Published"/>
    <n v="51.75"/>
    <n v="18"/>
    <n v="934"/>
    <x v="2"/>
    <n v="131"/>
    <x v="0"/>
    <n v="-36.035173"/>
    <n v="146.946383"/>
  </r>
  <r>
    <s v="8506"/>
    <s v="Tempe High School"/>
    <s v="Tempe"/>
    <s v="Inner West"/>
    <s v="Sydney - City and Inner South"/>
    <x v="0"/>
    <x v="0"/>
    <s v="Metropolitan South"/>
    <x v="4"/>
    <x v="2"/>
    <s v="Coed"/>
    <n v="984.3"/>
    <n v="3"/>
    <s v="Published"/>
    <n v="29.528999999999996"/>
    <n v="60"/>
    <n v="1096"/>
    <x v="3"/>
    <n v="38"/>
    <x v="3"/>
    <n v="-33.919750000000001"/>
    <n v="151.16094000000001"/>
  </r>
  <r>
    <s v="8507"/>
    <s v="Sydney Secondary College Leichhardt Campus"/>
    <s v="Leichhardt"/>
    <s v="Inner West"/>
    <s v="Sydney - Inner West"/>
    <x v="0"/>
    <x v="0"/>
    <s v="Metropolitan South"/>
    <x v="4"/>
    <x v="2"/>
    <s v="Coed"/>
    <n v="784"/>
    <n v="4"/>
    <s v="Published"/>
    <n v="31.36"/>
    <n v="38"/>
    <n v="1104"/>
    <x v="0"/>
    <n v="31"/>
    <x v="3"/>
    <n v="-33.879463000000001"/>
    <n v="151.15900300000001"/>
  </r>
  <r>
    <s v="8508"/>
    <s v="Callaghan College Waratah Campus"/>
    <s v="Waratah"/>
    <s v="Newcastle"/>
    <s v="Newcastle and Lake Macquarie"/>
    <x v="0"/>
    <x v="0"/>
    <s v="Regional North"/>
    <x v="4"/>
    <x v="0"/>
    <s v="Coed"/>
    <n v="848"/>
    <n v="16"/>
    <s v="Published"/>
    <n v="135.68"/>
    <n v="25"/>
    <n v="957"/>
    <x v="2"/>
    <n v="112"/>
    <x v="3"/>
    <n v="-32.904741999999999"/>
    <n v="151.72916499999999"/>
  </r>
  <r>
    <s v="8509"/>
    <s v="Newcastle High School"/>
    <s v="HAMILTON"/>
    <s v="Newcastle"/>
    <s v="Newcastle and Lake Macquarie"/>
    <x v="0"/>
    <x v="0"/>
    <s v="Regional North"/>
    <x v="4"/>
    <x v="0"/>
    <s v="Coed"/>
    <n v="1072"/>
    <n v="13"/>
    <s v="Published"/>
    <n v="139.36000000000001"/>
    <n v="14"/>
    <n v="1027"/>
    <x v="3"/>
    <n v="74"/>
    <x v="4"/>
    <n v="-32.931677000000001"/>
    <n v="151.75837799999999"/>
  </r>
  <r>
    <s v="8510"/>
    <s v="Merewether High School"/>
    <s v="Broadmeadow"/>
    <s v="Newcastle"/>
    <s v="Newcastle and Lake Macquarie"/>
    <x v="0"/>
    <x v="0"/>
    <s v="Regional North"/>
    <x v="4"/>
    <x v="1"/>
    <s v="Coed"/>
    <n v="1070.5999999999999"/>
    <n v="3"/>
    <s v="Published"/>
    <n v="32.117999999999995"/>
    <n v="34"/>
    <n v="1206"/>
    <x v="0"/>
    <n v="5"/>
    <x v="4"/>
    <n v="-32.929684000000002"/>
    <n v="151.73474899999999"/>
  </r>
  <r>
    <s v="8511"/>
    <s v="Northern Beaches Secondary College Cromer Campus"/>
    <s v="Cromer"/>
    <s v="Northern Beaches"/>
    <s v="Sydney - Northern Beaches"/>
    <x v="0"/>
    <x v="0"/>
    <s v="Metropolitan North"/>
    <x v="4"/>
    <x v="0"/>
    <s v="Coed"/>
    <n v="1156"/>
    <n v="3"/>
    <s v="Published"/>
    <n v="34.68"/>
    <n v="29"/>
    <n v="1056"/>
    <x v="3"/>
    <n v="66"/>
    <x v="4"/>
    <n v="-33.737765000000003"/>
    <n v="151.28445300000001"/>
  </r>
  <r>
    <s v="8512"/>
    <s v="Narrabeen Sports High School"/>
    <s v="NORTH NARRABEEN"/>
    <s v="Northern Beaches"/>
    <s v="Sydney - Northern Beaches"/>
    <x v="0"/>
    <x v="0"/>
    <s v="Metropolitan North"/>
    <x v="4"/>
    <x v="0"/>
    <s v="Coed"/>
    <n v="793.6"/>
    <n v="2"/>
    <s v="Published"/>
    <n v="15.872000000000002"/>
    <n v="20"/>
    <n v="1042"/>
    <x v="3"/>
    <n v="71"/>
    <x v="3"/>
    <n v="-33.700941"/>
    <n v="151.29840100000001"/>
  </r>
  <r>
    <s v="8513"/>
    <s v="Brisbane Water Secondary College Umina Campus"/>
    <s v="Umina"/>
    <s v="Central Coast (NSW)"/>
    <s v="Central Coast"/>
    <x v="0"/>
    <x v="0"/>
    <s v="Regional North"/>
    <x v="4"/>
    <x v="0"/>
    <s v="Coed"/>
    <n v="787"/>
    <n v="13"/>
    <s v="Published"/>
    <n v="102.31"/>
    <n v="10"/>
    <n v="966"/>
    <x v="2"/>
    <n v="112"/>
    <x v="3"/>
    <n v="-33.507421000000001"/>
    <n v="151.30813900000001"/>
  </r>
  <r>
    <s v="8514"/>
    <s v="Plumpton High School"/>
    <s v="Plumpton"/>
    <s v="Blacktown"/>
    <s v="Sydney - Blacktown"/>
    <x v="0"/>
    <x v="0"/>
    <s v="Metropolitan South and West"/>
    <x v="4"/>
    <x v="0"/>
    <s v="Coed"/>
    <n v="1182"/>
    <n v="7"/>
    <s v="Published"/>
    <n v="82.740000000000009"/>
    <n v="61"/>
    <n v="966"/>
    <x v="2"/>
    <n v="121"/>
    <x v="4"/>
    <n v="-33.748125999999999"/>
    <n v="150.835498"/>
  </r>
  <r>
    <s v="8515"/>
    <s v="Gorokan High School"/>
    <s v="LAKE HAVEN"/>
    <s v="Central Coast (NSW)"/>
    <s v="Central Coast"/>
    <x v="0"/>
    <x v="0"/>
    <s v="Regional North"/>
    <x v="4"/>
    <x v="2"/>
    <s v="Coed"/>
    <n v="978.5"/>
    <n v="21"/>
    <s v="Published"/>
    <n v="205.48499999999999"/>
    <n v="9"/>
    <n v="923"/>
    <x v="2"/>
    <n v="136"/>
    <x v="3"/>
    <n v="-33.242182"/>
    <n v="151.50823299999999"/>
  </r>
  <r>
    <s v="8516"/>
    <s v="Cambridge Park High School"/>
    <s v="Cambridge Park"/>
    <s v="Penrith"/>
    <s v="Sydney - Outer West and Blue Mountains"/>
    <x v="0"/>
    <x v="0"/>
    <s v="Metropolitan North"/>
    <x v="4"/>
    <x v="0"/>
    <s v="Coed"/>
    <n v="633"/>
    <n v="18"/>
    <s v="Published"/>
    <n v="113.94"/>
    <n v="20"/>
    <n v="916"/>
    <x v="2"/>
    <n v="146"/>
    <x v="3"/>
    <n v="-33.752164"/>
    <n v="150.73289199999999"/>
  </r>
  <r>
    <s v="8517"/>
    <s v="Denison College of Secondary Education, Kelso High Campus"/>
    <s v="Kelso"/>
    <s v="Bathurst"/>
    <s v="Central West"/>
    <x v="1"/>
    <x v="1"/>
    <s v="Regional North and West"/>
    <x v="4"/>
    <x v="0"/>
    <s v="Coed"/>
    <n v="812"/>
    <n v="20"/>
    <s v="Published"/>
    <n v="162.4"/>
    <n v="5"/>
    <n v="936"/>
    <x v="2"/>
    <n v="120"/>
    <x v="3"/>
    <n v="-33.410541000000002"/>
    <n v="149.61444"/>
  </r>
  <r>
    <s v="8518"/>
    <s v="Canowindra High School"/>
    <s v="CANOWINDRA"/>
    <s v="Cabonne"/>
    <s v="Central West"/>
    <x v="1"/>
    <x v="1"/>
    <s v="Rural South and West"/>
    <x v="4"/>
    <x v="0"/>
    <s v="Coed"/>
    <n v="237.4"/>
    <n v="15"/>
    <s v="Published"/>
    <n v="35.61"/>
    <n v="5"/>
    <n v="945"/>
    <x v="2"/>
    <n v="121"/>
    <x v="1"/>
    <n v="-33.558920000000001"/>
    <n v="148.670951"/>
  </r>
  <r>
    <s v="8519"/>
    <s v="Warialda High School"/>
    <s v="Warialda"/>
    <s v="Gwydir"/>
    <s v="New England and North West"/>
    <x v="2"/>
    <x v="2"/>
    <s v="Rural North"/>
    <x v="4"/>
    <x v="0"/>
    <s v="Coed"/>
    <n v="197.4"/>
    <n v="20"/>
    <s v="Published"/>
    <n v="39.480000000000004"/>
    <n v="3"/>
    <n v="900"/>
    <x v="2"/>
    <n v="133"/>
    <x v="1"/>
    <n v="-29.547875000000001"/>
    <n v="150.574806"/>
  </r>
  <r>
    <s v="8520"/>
    <s v="The Rivers Secondary College, Kadina High Campus"/>
    <s v="Goonellabah"/>
    <s v="Lismore"/>
    <s v="Richmond - Tweed"/>
    <x v="1"/>
    <x v="1"/>
    <s v="Rural North"/>
    <x v="4"/>
    <x v="0"/>
    <s v="Coed"/>
    <n v="262"/>
    <n v="33"/>
    <s v="Published"/>
    <n v="86.460000000000008"/>
    <n v="8"/>
    <n v="884"/>
    <x v="1"/>
    <n v="146"/>
    <x v="1"/>
    <n v="-28.817879999999999"/>
    <n v="153.33864"/>
  </r>
  <r>
    <s v="8521"/>
    <s v="Elderslie High School"/>
    <s v="NARELLAN"/>
    <s v="Camden"/>
    <s v="Sydney - Outer South West"/>
    <x v="0"/>
    <x v="0"/>
    <s v="Regional South and Connected Communities"/>
    <x v="4"/>
    <x v="0"/>
    <s v="Coed"/>
    <n v="857"/>
    <n v="7"/>
    <s v="Published"/>
    <n v="59.990000000000009"/>
    <n v="19"/>
    <n v="988"/>
    <x v="2"/>
    <n v="108"/>
    <x v="3"/>
    <n v="-34.052602999999998"/>
    <n v="150.715295"/>
  </r>
  <r>
    <s v="8522"/>
    <s v="Blaxland High School"/>
    <s v="Blaxland"/>
    <s v="Blue Mountains"/>
    <s v="Sydney - Outer West and Blue Mountains"/>
    <x v="0"/>
    <x v="0"/>
    <s v="Regional North"/>
    <x v="4"/>
    <x v="0"/>
    <s v="Coed"/>
    <n v="996.8"/>
    <n v="5"/>
    <s v="Published"/>
    <n v="49.84"/>
    <n v="12"/>
    <n v="1065"/>
    <x v="3"/>
    <n v="57"/>
    <x v="3"/>
    <n v="-33.754246999999999"/>
    <n v="150.60858999999999"/>
  </r>
  <r>
    <s v="8524"/>
    <s v="Karabar High School"/>
    <s v="Queanbeyan"/>
    <s v="Queanbeyan-Palerang"/>
    <s v="Capital Region"/>
    <x v="0"/>
    <x v="0"/>
    <s v="Rural South and West"/>
    <x v="4"/>
    <x v="2"/>
    <s v="Coed"/>
    <n v="723"/>
    <n v="15"/>
    <s v="Published"/>
    <n v="108.45"/>
    <n v="16"/>
    <n v="982"/>
    <x v="2"/>
    <n v="103"/>
    <x v="3"/>
    <n v="-35.365336999999997"/>
    <n v="149.22482199999999"/>
  </r>
  <r>
    <s v="8525"/>
    <s v="Peel High School"/>
    <s v="Tamworth"/>
    <s v="Tamworth"/>
    <s v="New England and North West"/>
    <x v="1"/>
    <x v="1"/>
    <s v="Regional South and Connected Communities"/>
    <x v="4"/>
    <x v="2"/>
    <s v="Coed"/>
    <n v="629"/>
    <n v="47"/>
    <s v="Published"/>
    <n v="295.63"/>
    <n v="5"/>
    <n v="831"/>
    <x v="1"/>
    <n v="160"/>
    <x v="3"/>
    <n v="-31.099764"/>
    <n v="150.89299"/>
  </r>
  <r>
    <s v="8526"/>
    <s v="Colo High School"/>
    <s v="NORTH RICHMOND"/>
    <s v="Hawkesbury"/>
    <s v="Sydney - Outer West and Blue Mountains"/>
    <x v="0"/>
    <x v="0"/>
    <s v="Regional North"/>
    <x v="4"/>
    <x v="0"/>
    <s v="Coed"/>
    <n v="806.6"/>
    <n v="9"/>
    <s v="Published"/>
    <n v="72.593999999999994"/>
    <n v="8"/>
    <n v="1001"/>
    <x v="3"/>
    <n v="87"/>
    <x v="3"/>
    <n v="-33.569358999999999"/>
    <n v="150.70820399999999"/>
  </r>
  <r>
    <s v="8527"/>
    <s v="Toormina High School"/>
    <s v="Toormina"/>
    <s v="Coffs Harbour"/>
    <s v="Coffs Harbour - Grafton"/>
    <x v="1"/>
    <x v="1"/>
    <s v="Regional North and West"/>
    <x v="4"/>
    <x v="0"/>
    <s v="Coed"/>
    <n v="738"/>
    <n v="21"/>
    <s v="Published"/>
    <n v="154.97999999999999"/>
    <n v="7"/>
    <n v="941"/>
    <x v="2"/>
    <n v="121"/>
    <x v="3"/>
    <n v="-30.351016000000001"/>
    <n v="153.08439899999999"/>
  </r>
  <r>
    <s v="8528"/>
    <s v="Chifley College Bidwill Campus"/>
    <s v="Bidwill"/>
    <s v="Blacktown"/>
    <s v="Sydney - Blacktown"/>
    <x v="0"/>
    <x v="0"/>
    <s v="Metropolitan North"/>
    <x v="4"/>
    <x v="0"/>
    <s v="Coed"/>
    <n v="720"/>
    <n v="26"/>
    <s v="Published"/>
    <n v="187.20000000000002"/>
    <n v="45"/>
    <n v="849"/>
    <x v="1"/>
    <n v="191"/>
    <x v="3"/>
    <n v="-33.733854000000001"/>
    <n v="150.827271"/>
  </r>
  <r>
    <s v="8530"/>
    <s v="Newtown High School of Performing Arts"/>
    <s v="Newtown"/>
    <s v="Sydney"/>
    <s v="Sydney - City and Inner South"/>
    <x v="0"/>
    <x v="0"/>
    <s v="Metropolitan South"/>
    <x v="4"/>
    <x v="0"/>
    <s v="Coed"/>
    <n v="1144.2"/>
    <n v="2"/>
    <s v="Published"/>
    <n v="22.884"/>
    <n v="29"/>
    <n v="1127"/>
    <x v="0"/>
    <n v="16"/>
    <x v="4"/>
    <n v="-33.899534000000003"/>
    <n v="151.178338"/>
  </r>
  <r>
    <s v="8531"/>
    <s v="St Johns Park High School"/>
    <s v="St Johns Park"/>
    <s v="Fairfield"/>
    <s v="Sydney - South West"/>
    <x v="0"/>
    <x v="0"/>
    <s v="Metropolitan South and West"/>
    <x v="4"/>
    <x v="0"/>
    <s v="Coed"/>
    <n v="921.2"/>
    <n v="2"/>
    <s v="Published"/>
    <n v="18.424000000000003"/>
    <n v="91"/>
    <n v="927"/>
    <x v="2"/>
    <n v="158"/>
    <x v="3"/>
    <n v="-33.873072999999998"/>
    <n v="150.89200199999999"/>
  </r>
  <r>
    <s v="8532"/>
    <s v="Leumeah High School"/>
    <s v="Leumeah"/>
    <s v="Campbelltown (NSW)"/>
    <s v="Sydney - Outer South West"/>
    <x v="0"/>
    <x v="0"/>
    <s v="Metropolitan South and West"/>
    <x v="4"/>
    <x v="0"/>
    <s v="Coed"/>
    <n v="691"/>
    <n v="8"/>
    <s v="Published"/>
    <n v="55.28"/>
    <n v="49"/>
    <n v="972"/>
    <x v="2"/>
    <n v="116"/>
    <x v="3"/>
    <n v="-34.054338999999999"/>
    <n v="150.84737000000001"/>
  </r>
  <r>
    <s v="8533"/>
    <s v="Terrigal High School"/>
    <s v="Terrigal"/>
    <s v="Central Coast (NSW)"/>
    <s v="Central Coast"/>
    <x v="0"/>
    <x v="0"/>
    <s v="Regional North"/>
    <x v="4"/>
    <x v="0"/>
    <s v="Coed"/>
    <n v="847"/>
    <n v="7"/>
    <s v="Published"/>
    <n v="59.290000000000006"/>
    <n v="11"/>
    <n v="1044"/>
    <x v="3"/>
    <n v="65"/>
    <x v="3"/>
    <n v="-33.442166999999998"/>
    <n v="151.42934199999999"/>
  </r>
  <r>
    <s v="8534"/>
    <s v="Great Lakes College Forster Campus"/>
    <s v="Forster"/>
    <s v="Mid-Coast"/>
    <s v="Mid North Coast"/>
    <x v="1"/>
    <x v="1"/>
    <s v="Regional North and West"/>
    <x v="4"/>
    <x v="0"/>
    <s v="Coed"/>
    <n v="478"/>
    <n v="24"/>
    <s v="Published"/>
    <n v="114.72"/>
    <n v="6"/>
    <n v="936"/>
    <x v="2"/>
    <n v="115"/>
    <x v="0"/>
    <n v="-32.215651999999999"/>
    <n v="152.52788000000001"/>
  </r>
  <r>
    <s v="8535"/>
    <s v="Concord High School"/>
    <s v="Concord"/>
    <s v="Canada Bay"/>
    <s v="Sydney - Inner West"/>
    <x v="0"/>
    <x v="0"/>
    <s v="Metropolitan South"/>
    <x v="4"/>
    <x v="0"/>
    <s v="Coed"/>
    <n v="1205"/>
    <n v="1"/>
    <s v="Published"/>
    <n v="12.05"/>
    <n v="69"/>
    <n v="1068"/>
    <x v="3"/>
    <n v="55"/>
    <x v="4"/>
    <n v="-33.864061999999997"/>
    <n v="151.10927100000001"/>
  </r>
  <r>
    <s v="8536"/>
    <s v="Narooma High School"/>
    <s v="Narooma"/>
    <s v="Eurobodalla"/>
    <s v="Capital Region"/>
    <x v="2"/>
    <x v="2"/>
    <s v="Regional South and Connected Communities"/>
    <x v="4"/>
    <x v="0"/>
    <s v="Coed"/>
    <n v="462.8"/>
    <n v="23"/>
    <s v="Published"/>
    <n v="106.444"/>
    <n v="5"/>
    <n v="936"/>
    <x v="2"/>
    <n v="110"/>
    <x v="0"/>
    <n v="-36.235506000000001"/>
    <n v="150.128648"/>
  </r>
  <r>
    <s v="8539"/>
    <s v="Sydney Secondary College Blackwattle Bay Campus"/>
    <s v="Glebe"/>
    <s v="Sydney"/>
    <s v="Sydney - City and Inner South"/>
    <x v="0"/>
    <x v="0"/>
    <s v="Metropolitan South"/>
    <x v="4"/>
    <x v="2"/>
    <s v="Coed"/>
    <n v="786.9"/>
    <n v="3"/>
    <s v="Published"/>
    <n v="23.606999999999999"/>
    <n v="40"/>
    <n v="1094"/>
    <x v="3"/>
    <n v="31"/>
    <x v="3"/>
    <n v="-33.875141999999997"/>
    <n v="151.188357"/>
  </r>
  <r>
    <s v="8540"/>
    <s v="Marrickville High School"/>
    <s v="Marrickville"/>
    <s v="Inner West"/>
    <s v="Sydney - City and Inner South"/>
    <x v="0"/>
    <x v="0"/>
    <s v="Metropolitan South"/>
    <x v="4"/>
    <x v="0"/>
    <s v="Coed"/>
    <n v="624.20000000000005"/>
    <n v="4"/>
    <s v="Published"/>
    <n v="24.968000000000004"/>
    <n v="45"/>
    <n v="1052"/>
    <x v="3"/>
    <n v="62"/>
    <x v="3"/>
    <n v="-33.905780999999998"/>
    <n v="151.15599499999999"/>
  </r>
  <r>
    <s v="8541"/>
    <s v="Keira High School"/>
    <s v="Fairy Meadow"/>
    <s v="Wollongong"/>
    <s v="Illawarra"/>
    <x v="0"/>
    <x v="0"/>
    <s v="Regional South and Connected Communities"/>
    <x v="4"/>
    <x v="0"/>
    <s v="Coed"/>
    <n v="723"/>
    <n v="7"/>
    <s v="Published"/>
    <n v="50.610000000000007"/>
    <n v="40"/>
    <n v="984"/>
    <x v="2"/>
    <n v="110"/>
    <x v="3"/>
    <n v="-34.405999999999999"/>
    <n v="150.8879"/>
  </r>
  <r>
    <s v="8542"/>
    <s v="Smiths Hill High School"/>
    <s v="Wollongong"/>
    <s v="Wollongong"/>
    <s v="Illawarra"/>
    <x v="0"/>
    <x v="0"/>
    <s v="Regional South and Connected Communities"/>
    <x v="4"/>
    <x v="1"/>
    <s v="Coed"/>
    <n v="735.4"/>
    <n v="1"/>
    <s v="Published"/>
    <n v="7.3540000000000001"/>
    <n v="42"/>
    <n v="1186"/>
    <x v="0"/>
    <n v="10"/>
    <x v="3"/>
    <n v="-34.418889"/>
    <n v="150.89561"/>
  </r>
  <r>
    <s v="8543"/>
    <s v="Dubbo College Delroy Campus"/>
    <s v="Dubbo West"/>
    <s v="Dubbo"/>
    <s v="Far West and Orana"/>
    <x v="1"/>
    <x v="1"/>
    <s v="Regional North and West"/>
    <x v="4"/>
    <x v="0"/>
    <s v="Coed"/>
    <n v="468"/>
    <n v="59"/>
    <s v="Published"/>
    <n v="276.12"/>
    <n v="5"/>
    <n v="804"/>
    <x v="1"/>
    <n v="165"/>
    <x v="0"/>
    <n v="-32.251618999999998"/>
    <n v="148.582683"/>
  </r>
  <r>
    <s v="8544"/>
    <s v="Lisarow High School"/>
    <s v="LISAROW"/>
    <s v="Central Coast (NSW)"/>
    <s v="Central Coast"/>
    <x v="0"/>
    <x v="0"/>
    <s v="Regional North"/>
    <x v="4"/>
    <x v="0"/>
    <s v="Coed"/>
    <n v="727.6"/>
    <n v="9"/>
    <s v="Published"/>
    <n v="65.483999999999995"/>
    <n v="11"/>
    <n v="1014"/>
    <x v="3"/>
    <n v="87"/>
    <x v="3"/>
    <n v="-33.385326999999997"/>
    <n v="151.37035399999999"/>
  </r>
  <r>
    <s v="8545"/>
    <s v="South Sydney High School"/>
    <s v="MAROUBRA"/>
    <s v="Randwick"/>
    <s v="Sydney - Eastern Suburbs"/>
    <x v="0"/>
    <x v="0"/>
    <s v="Metropolitan South"/>
    <x v="4"/>
    <x v="0"/>
    <s v="Coed"/>
    <n v="793.8"/>
    <n v="6"/>
    <s v="Published"/>
    <n v="47.627999999999993"/>
    <n v="43"/>
    <n v="1037"/>
    <x v="3"/>
    <n v="72"/>
    <x v="3"/>
    <n v="-33.944153999999997"/>
    <n v="151.234397"/>
  </r>
  <r>
    <s v="8546"/>
    <s v="Gulgong High School"/>
    <s v="GULGONG"/>
    <s v="Mid-Western"/>
    <s v="Central West"/>
    <x v="2"/>
    <x v="2"/>
    <s v="Regional North and West"/>
    <x v="4"/>
    <x v="0"/>
    <s v="Coed"/>
    <n v="213"/>
    <n v="28"/>
    <s v="Published"/>
    <n v="59.640000000000008"/>
    <m/>
    <n v="868"/>
    <x v="1"/>
    <n v="144"/>
    <x v="1"/>
    <n v="-32.360171999999999"/>
    <n v="149.54000199999999"/>
  </r>
  <r>
    <s v="8547"/>
    <s v="Northlakes High School"/>
    <s v="San Remo"/>
    <s v="Central Coast (NSW)"/>
    <s v="Central Coast"/>
    <x v="0"/>
    <x v="0"/>
    <s v="Regional North"/>
    <x v="4"/>
    <x v="0"/>
    <s v="Coed"/>
    <n v="789"/>
    <n v="21"/>
    <s v="Published"/>
    <n v="165.69"/>
    <n v="6"/>
    <n v="917"/>
    <x v="2"/>
    <n v="140"/>
    <x v="3"/>
    <n v="-33.216762000000003"/>
    <n v="151.513395"/>
  </r>
  <r>
    <s v="8548"/>
    <s v="Woolgoolga High School"/>
    <s v="Woolgoolga"/>
    <s v="Coffs Harbour"/>
    <s v="Coffs Harbour - Grafton"/>
    <x v="1"/>
    <x v="1"/>
    <s v="Rural North"/>
    <x v="4"/>
    <x v="0"/>
    <s v="Coed"/>
    <n v="866.8"/>
    <n v="15"/>
    <s v="Published"/>
    <n v="130.01999999999998"/>
    <n v="16"/>
    <n v="969"/>
    <x v="2"/>
    <n v="100"/>
    <x v="3"/>
    <n v="-30.100448"/>
    <n v="153.190225"/>
  </r>
  <r>
    <s v="8550"/>
    <s v="Fairfield High School"/>
    <s v="Fairfield"/>
    <s v="Fairfield"/>
    <s v="Sydney - South West"/>
    <x v="0"/>
    <x v="0"/>
    <s v="Metropolitan South and West"/>
    <x v="4"/>
    <x v="0"/>
    <s v="Coed"/>
    <n v="1123"/>
    <n v="1"/>
    <s v="Published"/>
    <n v="11.23"/>
    <n v="94"/>
    <n v="878"/>
    <x v="1"/>
    <n v="200"/>
    <x v="4"/>
    <n v="-33.865214000000002"/>
    <n v="150.95864700000001"/>
  </r>
  <r>
    <s v="8551"/>
    <s v="Sarah Redfern High School"/>
    <s v="Minto"/>
    <s v="Campbelltown (NSW)"/>
    <s v="Sydney - Outer South West"/>
    <x v="0"/>
    <x v="0"/>
    <s v="Metropolitan South and West"/>
    <x v="4"/>
    <x v="0"/>
    <s v="Coed"/>
    <n v="652"/>
    <n v="8"/>
    <s v="Published"/>
    <n v="52.160000000000004"/>
    <n v="67"/>
    <n v="967"/>
    <x v="2"/>
    <n v="120"/>
    <x v="3"/>
    <n v="-34.026781999999997"/>
    <n v="150.85087999999999"/>
  </r>
  <r>
    <s v="8552"/>
    <s v="Crestwood High School"/>
    <s v="Baulkham Hills"/>
    <s v="The Hills"/>
    <s v="Sydney - Baulkham Hills and Hawkesbury"/>
    <x v="0"/>
    <x v="0"/>
    <s v="Metropolitan North"/>
    <x v="4"/>
    <x v="0"/>
    <s v="Coed"/>
    <n v="1020.9"/>
    <n v="1"/>
    <s v="Published"/>
    <n v="10.209"/>
    <n v="61"/>
    <n v="1103"/>
    <x v="0"/>
    <n v="34"/>
    <x v="4"/>
    <n v="-33.743606999999997"/>
    <n v="150.975672"/>
  </r>
  <r>
    <s v="8553"/>
    <s v="Macquarie Fields High School"/>
    <s v="Macquarie Fields"/>
    <s v="Campbelltown (NSW)"/>
    <s v="Sydney - Outer South West"/>
    <x v="0"/>
    <x v="0"/>
    <s v="Metropolitan South and West"/>
    <x v="4"/>
    <x v="2"/>
    <s v="Coed"/>
    <n v="1089"/>
    <n v="1"/>
    <s v="Published"/>
    <n v="10.89"/>
    <n v="87"/>
    <n v="1081"/>
    <x v="3"/>
    <n v="43"/>
    <x v="4"/>
    <n v="-33.996783999999998"/>
    <n v="150.88490100000001"/>
  </r>
  <r>
    <s v="8554"/>
    <s v="Hastings Secondary College, Westport Campus"/>
    <s v="Port Macquarie"/>
    <s v="Port Macquarie-Hastings"/>
    <s v="Mid North Coast"/>
    <x v="1"/>
    <x v="1"/>
    <s v="Regional North and West"/>
    <x v="4"/>
    <x v="0"/>
    <s v="Coed"/>
    <n v="611.20000000000005"/>
    <n v="25"/>
    <s v="Published"/>
    <n v="152.80000000000001"/>
    <n v="6"/>
    <n v="919"/>
    <x v="2"/>
    <n v="125"/>
    <x v="3"/>
    <n v="-31.435345000000002"/>
    <n v="152.895386"/>
  </r>
  <r>
    <s v="8555"/>
    <s v="Rose Bay Secondary College"/>
    <s v="Dover Heights"/>
    <s v="Waverley"/>
    <s v="Sydney - Eastern Suburbs"/>
    <x v="0"/>
    <x v="0"/>
    <s v="Metropolitan South"/>
    <x v="4"/>
    <x v="2"/>
    <s v="Coed"/>
    <n v="1125.0999999999999"/>
    <n v="1"/>
    <s v="Published"/>
    <n v="11.250999999999999"/>
    <n v="46"/>
    <n v="1107"/>
    <x v="0"/>
    <n v="30"/>
    <x v="4"/>
    <n v="-33.878346999999998"/>
    <n v="151.27612099999999"/>
  </r>
  <r>
    <s v="8556"/>
    <s v="Alexandria Park Community School"/>
    <s v="Alexandria"/>
    <s v="Sydney"/>
    <s v="Sydney - City and Inner South"/>
    <x v="0"/>
    <x v="0"/>
    <s v="Metropolitan South"/>
    <x v="1"/>
    <x v="2"/>
    <s v="Coed"/>
    <n v="1311.6"/>
    <n v="14"/>
    <s v="Published"/>
    <n v="183.624"/>
    <n v="57"/>
    <n v="1052"/>
    <x v="3"/>
    <n v="52"/>
    <x v="4"/>
    <n v="-33.901164000000001"/>
    <n v="151.196518"/>
  </r>
  <r>
    <s v="8559"/>
    <s v="Jamison High School"/>
    <s v="SOUTH PENRITH"/>
    <s v="Penrith"/>
    <s v="Sydney - Outer West and Blue Mountains"/>
    <x v="0"/>
    <x v="0"/>
    <s v="Metropolitan South and West"/>
    <x v="4"/>
    <x v="0"/>
    <s v="Coed"/>
    <n v="833.8"/>
    <n v="12"/>
    <s v="Published"/>
    <n v="100.056"/>
    <n v="15"/>
    <n v="964"/>
    <x v="2"/>
    <n v="119"/>
    <x v="3"/>
    <n v="-33.775334999999998"/>
    <n v="150.69811799999999"/>
  </r>
  <r>
    <s v="8560"/>
    <s v="Prairiewood High School"/>
    <s v="PRAIRIEWOOD"/>
    <s v="Fairfield"/>
    <s v="Sydney - South West"/>
    <x v="0"/>
    <x v="0"/>
    <s v="Metropolitan South and West"/>
    <x v="4"/>
    <x v="2"/>
    <s v="Coed"/>
    <n v="1283.9000000000001"/>
    <n v="2"/>
    <s v="Published"/>
    <n v="25.678000000000001"/>
    <n v="86"/>
    <n v="978"/>
    <x v="2"/>
    <n v="123"/>
    <x v="4"/>
    <n v="-33.859479999999998"/>
    <n v="150.90170900000001"/>
  </r>
  <r>
    <s v="8561"/>
    <s v="Shoalhaven High School"/>
    <s v="Nowra"/>
    <s v="Shoalhaven"/>
    <s v="Southern Highlands and Shoalhaven"/>
    <x v="1"/>
    <x v="1"/>
    <s v="Regional South and Connected Communities"/>
    <x v="4"/>
    <x v="0"/>
    <s v="Coed"/>
    <n v="609.4"/>
    <n v="36"/>
    <s v="Published"/>
    <n v="219.38399999999999"/>
    <n v="4"/>
    <n v="862"/>
    <x v="1"/>
    <n v="159"/>
    <x v="3"/>
    <n v="-34.897295999999997"/>
    <n v="150.610096"/>
  </r>
  <r>
    <s v="8562"/>
    <s v="Irrawang High School"/>
    <s v="RAYMOND TERRACE"/>
    <s v="Port Stephens"/>
    <s v="Hunter Valley exc Newcastle"/>
    <x v="0"/>
    <x v="0"/>
    <s v="Regional North"/>
    <x v="4"/>
    <x v="0"/>
    <s v="Coed"/>
    <n v="809.8"/>
    <n v="24"/>
    <s v="Published"/>
    <n v="194.35199999999998"/>
    <n v="5"/>
    <n v="916"/>
    <x v="2"/>
    <n v="134"/>
    <x v="3"/>
    <n v="-32.761513000000001"/>
    <n v="151.76686100000001"/>
  </r>
  <r>
    <s v="8563"/>
    <s v="Tuggerah Lakes Secondary College Berkeley Vale Campus"/>
    <s v="Berkeley Vale"/>
    <s v="Central Coast (NSW)"/>
    <s v="Central Coast"/>
    <x v="0"/>
    <x v="0"/>
    <s v="Regional North"/>
    <x v="4"/>
    <x v="0"/>
    <s v="Coed"/>
    <n v="851"/>
    <n v="18"/>
    <s v="Published"/>
    <n v="153.18"/>
    <n v="7"/>
    <n v="959"/>
    <x v="2"/>
    <n v="110"/>
    <x v="3"/>
    <n v="-33.341698000000001"/>
    <n v="151.42475099999999"/>
  </r>
  <r>
    <s v="8564"/>
    <s v="Holsworthy High School"/>
    <s v="Holsworthy"/>
    <s v="Liverpool"/>
    <s v="Sydney - South West"/>
    <x v="0"/>
    <x v="0"/>
    <s v="Metropolitan South and West"/>
    <x v="4"/>
    <x v="0"/>
    <s v="Coed"/>
    <n v="693"/>
    <n v="6"/>
    <s v="Published"/>
    <n v="41.58"/>
    <n v="39"/>
    <n v="1000"/>
    <x v="3"/>
    <n v="98"/>
    <x v="3"/>
    <n v="-33.955528000000001"/>
    <n v="150.95231999999999"/>
  </r>
  <r>
    <s v="8565"/>
    <s v="Hawkesbury High School"/>
    <s v="Freemans Reach"/>
    <s v="Hawkesbury"/>
    <s v="Sydney - Baulkham Hills and Hawkesbury"/>
    <x v="0"/>
    <x v="0"/>
    <s v="Regional North"/>
    <x v="4"/>
    <x v="0"/>
    <s v="Coed"/>
    <n v="417.3"/>
    <n v="12"/>
    <s v="Published"/>
    <n v="50.076000000000001"/>
    <n v="5"/>
    <n v="946"/>
    <x v="2"/>
    <n v="116"/>
    <x v="0"/>
    <n v="-33.559541000000003"/>
    <n v="150.79803899999999"/>
  </r>
  <r>
    <s v="8566"/>
    <s v="Melville High School"/>
    <s v="Kempsey"/>
    <s v="Kempsey"/>
    <s v="Mid North Coast"/>
    <x v="1"/>
    <x v="1"/>
    <s v="Regional South and Connected Communities"/>
    <x v="4"/>
    <x v="0"/>
    <s v="Coed"/>
    <n v="355"/>
    <n v="43"/>
    <s v="Published"/>
    <n v="152.65"/>
    <n v="5"/>
    <n v="849"/>
    <x v="1"/>
    <n v="147"/>
    <x v="0"/>
    <n v="-31.090019999999999"/>
    <n v="152.82510400000001"/>
  </r>
  <r>
    <s v="8567"/>
    <s v="Northern Beaches Secondary College Manly Campus"/>
    <s v="North Curl Curl"/>
    <s v="Northern Beaches"/>
    <s v="Sydney - Northern Beaches"/>
    <x v="0"/>
    <x v="0"/>
    <s v="Metropolitan North"/>
    <x v="4"/>
    <x v="1"/>
    <s v="Coed"/>
    <n v="764.9"/>
    <m/>
    <s v="Suppressed"/>
    <s v=""/>
    <n v="60"/>
    <n v="1217"/>
    <x v="0"/>
    <n v="0"/>
    <x v="3"/>
    <n v="-33.762388000000001"/>
    <n v="151.28135499999999"/>
  </r>
  <r>
    <s v="8568"/>
    <s v="Northern Beaches Secondary College Freshwater Senior Campus"/>
    <s v="FRESHWATER"/>
    <s v="Northern Beaches"/>
    <s v="Sydney - Northern Beaches"/>
    <x v="0"/>
    <x v="0"/>
    <s v="Metropolitan North"/>
    <x v="4"/>
    <x v="0"/>
    <s v="Coed"/>
    <n v="646.29999999999995"/>
    <m/>
    <s v="Suppressed"/>
    <s v=""/>
    <n v="18"/>
    <n v="1098"/>
    <x v="3"/>
    <n v="33"/>
    <x v="3"/>
    <n v="-33.767510000000001"/>
    <n v="151.27997500000001"/>
  </r>
  <r>
    <s v="8569"/>
    <s v="Eagle Vale Sports High School"/>
    <s v="Eagle Vale"/>
    <s v="Campbelltown (NSW)"/>
    <s v="Sydney - Outer South West"/>
    <x v="0"/>
    <x v="0"/>
    <s v="Regional South and Connected Communities"/>
    <x v="4"/>
    <x v="0"/>
    <s v="Coed"/>
    <n v="662"/>
    <n v="10"/>
    <s v="Published"/>
    <n v="66.2"/>
    <n v="48"/>
    <n v="932"/>
    <x v="2"/>
    <n v="150"/>
    <x v="3"/>
    <n v="-34.039942000000003"/>
    <n v="150.80354299999999"/>
  </r>
  <r>
    <s v="8570"/>
    <s v="Ambarvale High School"/>
    <s v="Rosemeadow"/>
    <s v="Campbelltown (NSW)"/>
    <s v="Sydney - Outer South West"/>
    <x v="0"/>
    <x v="0"/>
    <s v="Regional South and Connected Communities"/>
    <x v="4"/>
    <x v="0"/>
    <s v="Coed"/>
    <n v="807"/>
    <n v="14"/>
    <s v="Published"/>
    <n v="112.98"/>
    <n v="36"/>
    <n v="925"/>
    <x v="2"/>
    <n v="147"/>
    <x v="3"/>
    <n v="-34.099983999999999"/>
    <n v="150.80193800000001"/>
  </r>
  <r>
    <s v="8571"/>
    <s v="St Clair High School"/>
    <s v="ST CLAIR"/>
    <s v="Penrith"/>
    <s v="Sydney - Outer West and Blue Mountains"/>
    <x v="0"/>
    <x v="0"/>
    <s v="Metropolitan South and West"/>
    <x v="4"/>
    <x v="0"/>
    <s v="Coed"/>
    <n v="716.8"/>
    <n v="9"/>
    <s v="Published"/>
    <n v="64.512"/>
    <n v="37"/>
    <n v="956"/>
    <x v="2"/>
    <n v="126"/>
    <x v="3"/>
    <n v="-33.794217000000003"/>
    <n v="150.78679399999999"/>
  </r>
  <r>
    <s v="8572"/>
    <s v="Rutherford Technology High School"/>
    <s v="RUTHERFORD"/>
    <s v="Maitland"/>
    <s v="Hunter Valley exc Newcastle"/>
    <x v="0"/>
    <x v="0"/>
    <s v="Regional North and West"/>
    <x v="4"/>
    <x v="0"/>
    <s v="Coed"/>
    <n v="1404.6"/>
    <n v="21"/>
    <s v="Published"/>
    <n v="294.96599999999995"/>
    <n v="9"/>
    <n v="922"/>
    <x v="2"/>
    <n v="133"/>
    <x v="4"/>
    <n v="-32.711235000000002"/>
    <n v="151.53142399999999"/>
  </r>
  <r>
    <s v="8573"/>
    <s v="Winmalee High School"/>
    <s v="Winmalee"/>
    <s v="Blue Mountains"/>
    <s v="Sydney - Outer West and Blue Mountains"/>
    <x v="0"/>
    <x v="0"/>
    <s v="Regional North"/>
    <x v="4"/>
    <x v="0"/>
    <s v="Coed"/>
    <n v="698"/>
    <n v="6"/>
    <s v="Published"/>
    <n v="41.879999999999995"/>
    <n v="6"/>
    <n v="1040"/>
    <x v="3"/>
    <n v="69"/>
    <x v="3"/>
    <n v="-33.676046999999997"/>
    <n v="150.615138"/>
  </r>
  <r>
    <s v="8574"/>
    <s v="Mount View High School"/>
    <s v="CESSNOCK"/>
    <s v="Cessnock"/>
    <s v="Hunter Valley exc Newcastle"/>
    <x v="0"/>
    <x v="0"/>
    <s v="Regional North"/>
    <x v="4"/>
    <x v="0"/>
    <s v="Coed"/>
    <n v="929.4"/>
    <n v="24"/>
    <s v="Published"/>
    <n v="223.05599999999998"/>
    <n v="5"/>
    <n v="911"/>
    <x v="2"/>
    <n v="136"/>
    <x v="3"/>
    <n v="-32.827955000000003"/>
    <n v="151.333246"/>
  </r>
  <r>
    <s v="8575"/>
    <s v="Robert Townson High School"/>
    <s v="Raby"/>
    <s v="Campbelltown (NSW)"/>
    <s v="Sydney - Outer South West"/>
    <x v="0"/>
    <x v="0"/>
    <s v="Metropolitan South and West"/>
    <x v="4"/>
    <x v="0"/>
    <s v="Coed"/>
    <n v="741.8"/>
    <n v="8"/>
    <s v="Published"/>
    <n v="59.343999999999994"/>
    <n v="63"/>
    <n v="963"/>
    <x v="2"/>
    <n v="121"/>
    <x v="3"/>
    <n v="-34.015329999999999"/>
    <n v="150.817995"/>
  </r>
  <r>
    <s v="8577"/>
    <s v="Byron Bay High School"/>
    <s v="Byron Bay"/>
    <s v="Byron"/>
    <s v="Richmond - Tweed"/>
    <x v="1"/>
    <x v="1"/>
    <s v="Rural North"/>
    <x v="4"/>
    <x v="0"/>
    <s v="Coed"/>
    <n v="817.8"/>
    <n v="5"/>
    <s v="Published"/>
    <n v="40.89"/>
    <n v="19"/>
    <n v="1050"/>
    <x v="3"/>
    <n v="59"/>
    <x v="3"/>
    <n v="-28.667572"/>
    <n v="153.61605700000001"/>
  </r>
  <r>
    <s v="8578"/>
    <s v="Alstonville High School"/>
    <s v="Alstonville"/>
    <s v="Ballina"/>
    <s v="Richmond - Tweed"/>
    <x v="1"/>
    <x v="1"/>
    <s v="Rural North"/>
    <x v="4"/>
    <x v="0"/>
    <s v="Coed"/>
    <n v="521.20000000000005"/>
    <n v="8"/>
    <s v="Published"/>
    <n v="41.696000000000005"/>
    <n v="6"/>
    <n v="990"/>
    <x v="2"/>
    <n v="94"/>
    <x v="0"/>
    <n v="-28.838812000000001"/>
    <n v="153.43375599999999"/>
  </r>
  <r>
    <s v="8579"/>
    <s v="Kingscliff High School"/>
    <s v="Kingscliff"/>
    <s v="Tweed"/>
    <s v="Richmond - Tweed"/>
    <x v="0"/>
    <x v="0"/>
    <s v="Rural North"/>
    <x v="4"/>
    <x v="0"/>
    <s v="Coed"/>
    <n v="902.6"/>
    <n v="12"/>
    <s v="Published"/>
    <n v="108.312"/>
    <n v="8"/>
    <n v="991"/>
    <x v="2"/>
    <n v="86"/>
    <x v="3"/>
    <n v="-28.266567999999999"/>
    <n v="153.57047399999999"/>
  </r>
  <r>
    <s v="8580"/>
    <s v="Cranebrook High School"/>
    <s v="Cranebrook"/>
    <s v="Penrith"/>
    <s v="Sydney - Outer West and Blue Mountains"/>
    <x v="0"/>
    <x v="0"/>
    <s v="Metropolitan North"/>
    <x v="4"/>
    <x v="0"/>
    <s v="Coed"/>
    <n v="871"/>
    <n v="23"/>
    <s v="Published"/>
    <n v="200.33"/>
    <n v="18"/>
    <n v="916"/>
    <x v="2"/>
    <n v="139"/>
    <x v="3"/>
    <n v="-33.721662000000002"/>
    <n v="150.709812"/>
  </r>
  <r>
    <s v="8581"/>
    <s v="Batemans Bay High School"/>
    <s v="Batehaven"/>
    <s v="Eurobodalla"/>
    <s v="Capital Region"/>
    <x v="1"/>
    <x v="1"/>
    <s v="Regional South and Connected Communities"/>
    <x v="4"/>
    <x v="0"/>
    <s v="Coed"/>
    <n v="534"/>
    <n v="29"/>
    <s v="Published"/>
    <n v="154.85999999999999"/>
    <n v="7"/>
    <n v="902"/>
    <x v="2"/>
    <n v="132"/>
    <x v="0"/>
    <n v="-35.729246000000003"/>
    <n v="150.194447"/>
  </r>
  <r>
    <s v="8582"/>
    <s v="Bossley Park High School"/>
    <s v="Bossley Park"/>
    <s v="Fairfield"/>
    <s v="Sydney - South West"/>
    <x v="0"/>
    <x v="0"/>
    <s v="Metropolitan South and West"/>
    <x v="4"/>
    <x v="0"/>
    <s v="Coed"/>
    <n v="1104.9000000000001"/>
    <n v="1"/>
    <s v="Published"/>
    <n v="11.049000000000001"/>
    <n v="81"/>
    <n v="961"/>
    <x v="2"/>
    <n v="139"/>
    <x v="4"/>
    <n v="-33.870958000000002"/>
    <n v="150.87537900000001"/>
  </r>
  <r>
    <s v="8583"/>
    <s v="Menai High School"/>
    <s v="Menai"/>
    <s v="Sutherland"/>
    <s v="Sydney - Sutherland"/>
    <x v="0"/>
    <x v="0"/>
    <s v="Metropolitan South and West"/>
    <x v="4"/>
    <x v="0"/>
    <s v="Coed"/>
    <n v="1062"/>
    <n v="3"/>
    <s v="Published"/>
    <n v="31.86"/>
    <n v="37"/>
    <n v="1046"/>
    <x v="3"/>
    <n v="73"/>
    <x v="4"/>
    <n v="-34.002904000000001"/>
    <n v="151.02385100000001"/>
  </r>
  <r>
    <s v="8584"/>
    <s v="Elizabeth Macarthur High School"/>
    <s v="Narellan"/>
    <s v="Camden"/>
    <s v="Sydney - Outer South West"/>
    <x v="0"/>
    <x v="0"/>
    <s v="Regional South and Connected Communities"/>
    <x v="4"/>
    <x v="2"/>
    <s v="Coed"/>
    <n v="1399.2"/>
    <n v="7"/>
    <s v="Published"/>
    <n v="97.944000000000017"/>
    <n v="38"/>
    <n v="1014"/>
    <x v="3"/>
    <n v="86"/>
    <x v="4"/>
    <n v="-34.057071999999998"/>
    <n v="150.74009100000001"/>
  </r>
  <r>
    <s v="8585"/>
    <s v="Kincumber High School"/>
    <s v="Kincumber"/>
    <s v="Central Coast (NSW)"/>
    <s v="Central Coast"/>
    <x v="0"/>
    <x v="0"/>
    <s v="Regional North"/>
    <x v="4"/>
    <x v="0"/>
    <s v="Coed"/>
    <n v="1002"/>
    <n v="6"/>
    <s v="Published"/>
    <n v="60.12"/>
    <n v="8"/>
    <n v="1045"/>
    <x v="3"/>
    <n v="67"/>
    <x v="4"/>
    <n v="-33.464894000000001"/>
    <n v="151.38251600000001"/>
  </r>
  <r>
    <s v="8586"/>
    <s v="Albion Park High School"/>
    <s v="Albion Park"/>
    <s v="Shellharbour"/>
    <s v="Illawarra"/>
    <x v="0"/>
    <x v="0"/>
    <s v="Regional South and Connected Communities"/>
    <x v="4"/>
    <x v="0"/>
    <s v="Coed"/>
    <n v="899.8"/>
    <n v="11"/>
    <s v="Published"/>
    <n v="98.977999999999994"/>
    <n v="6"/>
    <n v="964"/>
    <x v="2"/>
    <n v="114"/>
    <x v="3"/>
    <n v="-34.576701999999997"/>
    <n v="150.773359"/>
  </r>
  <r>
    <s v="8587"/>
    <s v="Sydney Distance Education High School"/>
    <s v="Woolloomooloo"/>
    <s v="Sydney"/>
    <s v="Sydney - City and Inner South"/>
    <x v="0"/>
    <x v="0"/>
    <s v="Metropolitan South"/>
    <x v="4"/>
    <x v="0"/>
    <s v="Coed"/>
    <n v="560.79999999999995"/>
    <n v="12"/>
    <s v="Published"/>
    <n v="67.295999999999992"/>
    <n v="17"/>
    <n v="1032"/>
    <x v="3"/>
    <n v="84"/>
    <x v="0"/>
    <n v="-33.871053000000003"/>
    <n v="151.22098"/>
  </r>
  <r>
    <s v="8588"/>
    <s v="NSW School of Languages"/>
    <s v="Petersham"/>
    <s v="Inner West"/>
    <s v="Sydney - City and Inner South"/>
    <x v="0"/>
    <x v="0"/>
    <s v="Metropolitan South"/>
    <x v="4"/>
    <x v="0"/>
    <s v="Coed"/>
    <m/>
    <m/>
    <s v="Suppressed"/>
    <s v=""/>
    <m/>
    <m/>
    <x v="4"/>
    <m/>
    <x v="5"/>
    <n v="-33.894807"/>
    <n v="151.150285"/>
  </r>
  <r>
    <s v="8589"/>
    <s v="Thomas Reddall High School"/>
    <s v="Ambarvale"/>
    <s v="Campbelltown (NSW)"/>
    <s v="Sydney - Outer South West"/>
    <x v="0"/>
    <x v="0"/>
    <s v="Regional South and Connected Communities"/>
    <x v="4"/>
    <x v="0"/>
    <s v="Coed"/>
    <n v="488"/>
    <n v="19"/>
    <s v="Published"/>
    <n v="92.72"/>
    <n v="40"/>
    <n v="908"/>
    <x v="2"/>
    <n v="150"/>
    <x v="0"/>
    <n v="-34.082028999999999"/>
    <n v="150.80148800000001"/>
  </r>
  <r>
    <s v="8590"/>
    <s v="Erskine Park High School"/>
    <s v="Erskine Park"/>
    <s v="Penrith"/>
    <s v="Sydney - Outer West and Blue Mountains"/>
    <x v="0"/>
    <x v="0"/>
    <s v="Metropolitan South and West"/>
    <x v="4"/>
    <x v="0"/>
    <s v="Coed"/>
    <n v="834.2"/>
    <n v="9"/>
    <s v="Published"/>
    <n v="75.078000000000003"/>
    <n v="28"/>
    <n v="962"/>
    <x v="2"/>
    <n v="122"/>
    <x v="3"/>
    <n v="-33.807898999999999"/>
    <n v="150.80296200000001"/>
  </r>
  <r>
    <s v="8591"/>
    <s v="Narara Valley High School"/>
    <s v="Narara"/>
    <s v="Central Coast (NSW)"/>
    <s v="Central Coast"/>
    <x v="0"/>
    <x v="0"/>
    <s v="Regional North"/>
    <x v="4"/>
    <x v="0"/>
    <s v="Coed"/>
    <n v="628.79999999999995"/>
    <n v="14"/>
    <s v="Published"/>
    <n v="88.031999999999996"/>
    <n v="12"/>
    <n v="974"/>
    <x v="2"/>
    <n v="109"/>
    <x v="3"/>
    <n v="-33.398421999999997"/>
    <n v="151.33406400000001"/>
  </r>
  <r>
    <s v="8592"/>
    <s v="Cherrybrook Technology High School"/>
    <s v="CHERRYBROOK"/>
    <s v="Hornsby"/>
    <s v="Sydney - Baulkham Hills and Hawkesbury"/>
    <x v="0"/>
    <x v="0"/>
    <s v="Metropolitan North"/>
    <x v="4"/>
    <x v="0"/>
    <s v="Coed"/>
    <n v="2097.4"/>
    <m/>
    <s v="Suppressed"/>
    <s v=""/>
    <n v="77"/>
    <n v="1146"/>
    <x v="0"/>
    <n v="9"/>
    <x v="4"/>
    <n v="-33.719852000000003"/>
    <n v="151.03758300000001"/>
  </r>
  <r>
    <s v="8593"/>
    <s v="Vincentia High School"/>
    <s v="Vincentia"/>
    <s v="Shoalhaven"/>
    <s v="Southern Highlands and Shoalhaven"/>
    <x v="1"/>
    <x v="1"/>
    <s v="Regional South and Connected Communities"/>
    <x v="4"/>
    <x v="0"/>
    <s v="Coed"/>
    <n v="926.6"/>
    <n v="21"/>
    <s v="Published"/>
    <n v="194.58599999999998"/>
    <n v="8"/>
    <n v="933"/>
    <x v="2"/>
    <n v="122"/>
    <x v="3"/>
    <n v="-35.077697999999998"/>
    <n v="150.662803"/>
  </r>
  <r>
    <s v="8594"/>
    <s v="Quakers Hill High School"/>
    <s v="QUAKERS HILL"/>
    <s v="Blacktown"/>
    <s v="Sydney - Blacktown"/>
    <x v="0"/>
    <x v="0"/>
    <s v="Metropolitan North"/>
    <x v="4"/>
    <x v="0"/>
    <s v="Coed"/>
    <n v="925"/>
    <n v="5"/>
    <s v="Published"/>
    <n v="46.25"/>
    <n v="45"/>
    <n v="1025"/>
    <x v="3"/>
    <n v="79"/>
    <x v="3"/>
    <n v="-33.729813"/>
    <n v="150.89644999999999"/>
  </r>
  <r>
    <s v="8595"/>
    <s v="Nambucca Heads High School"/>
    <s v="Nambucca Heads"/>
    <s v="Nambucca Valley"/>
    <s v="Mid North Coast"/>
    <x v="1"/>
    <x v="1"/>
    <s v="Regional North and West"/>
    <x v="4"/>
    <x v="0"/>
    <s v="Coed"/>
    <n v="314"/>
    <n v="32"/>
    <s v="Published"/>
    <n v="100.48"/>
    <n v="8"/>
    <n v="890"/>
    <x v="1"/>
    <n v="142"/>
    <x v="0"/>
    <n v="-30.640826000000001"/>
    <n v="152.98461399999999"/>
  </r>
  <r>
    <s v="8596"/>
    <s v="Wollumbin High School"/>
    <s v="Murwillumbah"/>
    <s v="Tweed"/>
    <s v="Richmond - Tweed"/>
    <x v="1"/>
    <x v="1"/>
    <s v="Rural North"/>
    <x v="4"/>
    <x v="0"/>
    <s v="Coed"/>
    <n v="161"/>
    <n v="17"/>
    <s v="Published"/>
    <n v="27.37"/>
    <n v="6"/>
    <n v="938"/>
    <x v="2"/>
    <n v="136"/>
    <x v="1"/>
    <n v="-28.333658"/>
    <n v="153.362515"/>
  </r>
  <r>
    <s v="8598"/>
    <s v="Oberon High School"/>
    <s v="Oberon"/>
    <s v="Oberon"/>
    <s v="Central West"/>
    <x v="1"/>
    <x v="1"/>
    <s v="Regional North and West"/>
    <x v="4"/>
    <x v="0"/>
    <s v="Coed"/>
    <n v="204"/>
    <n v="12"/>
    <s v="Published"/>
    <n v="24.48"/>
    <n v="9"/>
    <n v="934"/>
    <x v="2"/>
    <n v="129"/>
    <x v="1"/>
    <n v="-33.701690999999997"/>
    <n v="149.861132"/>
  </r>
  <r>
    <s v="8599"/>
    <s v="Bradfield College"/>
    <s v="St Leonards"/>
    <s v="Willoughby"/>
    <s v="Sydney - North Sydney and Hornsby"/>
    <x v="0"/>
    <x v="0"/>
    <s v="Unassigned"/>
    <x v="4"/>
    <x v="0"/>
    <s v="Coed"/>
    <n v="292.10000000000002"/>
    <m/>
    <s v="Suppressed"/>
    <s v=""/>
    <m/>
    <n v="1108"/>
    <x v="0"/>
    <m/>
    <x v="1"/>
    <n v="-33.820467999999998"/>
    <n v="151.188457"/>
  </r>
  <r>
    <s v="8600"/>
    <s v="Secondary College of Languages"/>
    <s v="Parramatta"/>
    <s v="Parramatta"/>
    <m/>
    <x v="0"/>
    <x v="0"/>
    <s v="Metropolitan North"/>
    <x v="5"/>
    <x v="0"/>
    <s v="Coed"/>
    <m/>
    <m/>
    <s v="Suppressed"/>
    <s v=""/>
    <m/>
    <m/>
    <x v="4"/>
    <m/>
    <x v="5"/>
    <n v="-33.813784300000002"/>
    <n v="151.00868019999999"/>
  </r>
  <r>
    <s v="8804"/>
    <s v="Belmore Boys High School"/>
    <s v="Belmore"/>
    <s v="Canterbury-Bankstown"/>
    <s v="Sydney - Inner South West"/>
    <x v="0"/>
    <x v="0"/>
    <s v="Metropolitan South"/>
    <x v="4"/>
    <x v="0"/>
    <s v="Boys"/>
    <n v="614"/>
    <m/>
    <s v="Suppressed"/>
    <s v=""/>
    <n v="98"/>
    <n v="953"/>
    <x v="2"/>
    <n v="137"/>
    <x v="3"/>
    <n v="-33.910795999999998"/>
    <n v="151.08557500000001"/>
  </r>
  <r>
    <s v="8806"/>
    <s v="Canterbury Girls High School"/>
    <s v="Canterbury"/>
    <s v="Canterbury-Bankstown"/>
    <s v="Sydney - Inner West"/>
    <x v="0"/>
    <x v="0"/>
    <s v="Metropolitan South"/>
    <x v="4"/>
    <x v="0"/>
    <s v="Girls"/>
    <n v="720"/>
    <n v="4"/>
    <s v="Published"/>
    <n v="28.8"/>
    <n v="59"/>
    <n v="1059"/>
    <x v="3"/>
    <n v="58"/>
    <x v="3"/>
    <n v="-33.907263999999998"/>
    <n v="151.12263100000001"/>
  </r>
  <r>
    <s v="8811"/>
    <s v="Granville Boys High School"/>
    <s v="Granville"/>
    <s v="Cumberland"/>
    <s v="Sydney - Parramatta"/>
    <x v="0"/>
    <x v="0"/>
    <s v="Metropolitan South"/>
    <x v="4"/>
    <x v="2"/>
    <s v="Boys"/>
    <n v="832.5"/>
    <m/>
    <s v="Suppressed"/>
    <s v=""/>
    <n v="96"/>
    <n v="961"/>
    <x v="2"/>
    <n v="139"/>
    <x v="3"/>
    <n v="-33.834617999999999"/>
    <n v="151.00881699999999"/>
  </r>
  <r>
    <s v="8813"/>
    <s v="Georges River College, Hurstville Campus"/>
    <s v="Hurstville"/>
    <s v="Georges River"/>
    <s v="Sydney - Inner South West"/>
    <x v="0"/>
    <x v="0"/>
    <s v="Metropolitan South"/>
    <x v="4"/>
    <x v="0"/>
    <s v="Coed"/>
    <n v="267"/>
    <m/>
    <s v="Suppressed"/>
    <s v=""/>
    <n v="86"/>
    <n v="1017"/>
    <x v="3"/>
    <n v="97"/>
    <x v="1"/>
    <n v="-33.962826"/>
    <n v="151.10980799999999"/>
  </r>
  <r>
    <s v="8819"/>
    <s v="Hunter School of Performing Arts"/>
    <s v="Broadmeadow"/>
    <s v="Newcastle"/>
    <s v="Newcastle and Lake Macquarie"/>
    <x v="0"/>
    <x v="0"/>
    <s v="Regional North"/>
    <x v="1"/>
    <x v="0"/>
    <s v="Coed"/>
    <n v="1089.5"/>
    <n v="6"/>
    <s v="Published"/>
    <n v="65.37"/>
    <n v="12"/>
    <n v="1085"/>
    <x v="3"/>
    <n v="41"/>
    <x v="4"/>
    <n v="-32.924826000000003"/>
    <n v="151.72761399999999"/>
  </r>
  <r>
    <s v="8822"/>
    <s v="Macarthur Girls High School"/>
    <s v="Parramatta"/>
    <s v="Parramatta"/>
    <s v="Sydney - Parramatta"/>
    <x v="0"/>
    <x v="0"/>
    <s v="Metropolitan South"/>
    <x v="4"/>
    <x v="0"/>
    <s v="Girls"/>
    <n v="996.6"/>
    <n v="1"/>
    <s v="Published"/>
    <n v="9.9660000000000011"/>
    <n v="92"/>
    <n v="1071"/>
    <x v="3"/>
    <n v="52"/>
    <x v="3"/>
    <n v="-33.813085999999998"/>
    <n v="151.01249899999999"/>
  </r>
  <r>
    <s v="8831"/>
    <s v="Northern Beaches Secondary College Mackellar Girls Campus"/>
    <s v="Manly Vale"/>
    <s v="Northern Beaches"/>
    <s v="Sydney - Northern Beaches"/>
    <x v="0"/>
    <x v="0"/>
    <s v="Metropolitan North"/>
    <x v="4"/>
    <x v="0"/>
    <s v="Girls"/>
    <n v="1021"/>
    <n v="1"/>
    <s v="Published"/>
    <n v="10.210000000000001"/>
    <n v="33"/>
    <n v="1115"/>
    <x v="0"/>
    <n v="30"/>
    <x v="4"/>
    <n v="-33.782108999999998"/>
    <n v="151.272401"/>
  </r>
  <r>
    <s v="8832"/>
    <s v="Ashfield Boys High School"/>
    <s v="Ashfield"/>
    <s v="Inner West"/>
    <s v="Sydney - Inner West"/>
    <x v="0"/>
    <x v="0"/>
    <s v="Metropolitan South"/>
    <x v="4"/>
    <x v="0"/>
    <s v="Boys"/>
    <n v="751"/>
    <n v="2"/>
    <s v="Published"/>
    <n v="15.02"/>
    <n v="60"/>
    <n v="1074"/>
    <x v="3"/>
    <n v="50"/>
    <x v="3"/>
    <n v="-33.889547"/>
    <n v="151.12921900000001"/>
  </r>
  <r>
    <s v="8833"/>
    <s v="Dulwich High School of Visual Arts and Design"/>
    <s v="Dulwich Hill"/>
    <s v="Inner West"/>
    <s v="Sydney - Inner West"/>
    <x v="0"/>
    <x v="0"/>
    <s v="Metropolitan South"/>
    <x v="4"/>
    <x v="0"/>
    <s v="Coed"/>
    <n v="803.6"/>
    <n v="3"/>
    <s v="Published"/>
    <n v="24.108000000000001"/>
    <n v="36"/>
    <n v="1092"/>
    <x v="3"/>
    <n v="35"/>
    <x v="3"/>
    <n v="-33.904038"/>
    <n v="151.14487099999999"/>
  </r>
  <r>
    <s v="8851"/>
    <s v="Northern Beaches Secondary College Balgowlah Boys Campus"/>
    <s v="Balgowlah"/>
    <s v="Northern Beaches"/>
    <s v="Sydney - Northern Beaches"/>
    <x v="0"/>
    <x v="0"/>
    <s v="Metropolitan North"/>
    <x v="4"/>
    <x v="0"/>
    <s v="Boys"/>
    <n v="1099.4000000000001"/>
    <n v="1"/>
    <s v="Published"/>
    <n v="10.994000000000002"/>
    <n v="25"/>
    <n v="1115"/>
    <x v="0"/>
    <n v="24"/>
    <x v="4"/>
    <n v="-33.796405"/>
    <n v="151.25460699999999"/>
  </r>
  <r>
    <s v="8852"/>
    <s v="The Jannali High School"/>
    <s v="Jannali"/>
    <s v="Sutherland"/>
    <s v="Sydney - Sutherland"/>
    <x v="0"/>
    <x v="0"/>
    <s v="Metropolitan South and West"/>
    <x v="4"/>
    <x v="0"/>
    <s v="Coed"/>
    <n v="925"/>
    <n v="3"/>
    <s v="Published"/>
    <n v="27.75"/>
    <n v="15"/>
    <n v="1051"/>
    <x v="3"/>
    <n v="61"/>
    <x v="3"/>
    <n v="-34.021611999999998"/>
    <n v="151.061927"/>
  </r>
  <r>
    <s v="8854"/>
    <s v="Birrong Girls High School"/>
    <s v="Birrong"/>
    <s v="Canterbury-Bankstown"/>
    <s v="Sydney - Inner South West"/>
    <x v="0"/>
    <x v="0"/>
    <s v="Metropolitan South"/>
    <x v="4"/>
    <x v="0"/>
    <s v="Girls"/>
    <n v="726"/>
    <n v="1"/>
    <s v="Published"/>
    <n v="7.26"/>
    <n v="91"/>
    <n v="956"/>
    <x v="2"/>
    <n v="149"/>
    <x v="3"/>
    <n v="-33.889479999999999"/>
    <n v="151.02570800000001"/>
  </r>
  <r>
    <s v="8857"/>
    <s v="Georges River College, Penshurst Campus"/>
    <s v="Penshurst"/>
    <s v="Georges River"/>
    <s v="Sydney - Inner South West"/>
    <x v="0"/>
    <x v="0"/>
    <s v="Metropolitan South"/>
    <x v="4"/>
    <x v="0"/>
    <s v="Coed"/>
    <n v="488"/>
    <n v="1"/>
    <s v="Published"/>
    <n v="4.88"/>
    <n v="76"/>
    <n v="1038"/>
    <x v="3"/>
    <n v="77"/>
    <x v="0"/>
    <n v="-33.964070999999997"/>
    <n v="151.08600999999999"/>
  </r>
  <r>
    <s v="8870"/>
    <s v="St Marys Senior High School"/>
    <s v="St Marys"/>
    <s v="Penrith"/>
    <s v="Sydney - Outer West and Blue Mountains"/>
    <x v="0"/>
    <x v="0"/>
    <s v="Metropolitan North"/>
    <x v="4"/>
    <x v="0"/>
    <s v="Coed"/>
    <n v="925.1"/>
    <n v="2"/>
    <s v="Published"/>
    <n v="18.502000000000002"/>
    <n v="72"/>
    <n v="1052"/>
    <x v="3"/>
    <n v="52"/>
    <x v="3"/>
    <n v="-33.763119000000003"/>
    <n v="150.77002400000001"/>
  </r>
  <r>
    <s v="8878"/>
    <s v="Bulli High School"/>
    <s v="Bulli"/>
    <s v="Wollongong"/>
    <s v="Illawarra"/>
    <x v="0"/>
    <x v="0"/>
    <s v="Regional South and Connected Communities"/>
    <x v="4"/>
    <x v="0"/>
    <s v="Coed"/>
    <n v="978.6"/>
    <n v="4"/>
    <s v="Published"/>
    <n v="39.143999999999998"/>
    <n v="12"/>
    <n v="1058"/>
    <x v="3"/>
    <n v="61"/>
    <x v="3"/>
    <n v="-34.337246999999998"/>
    <n v="150.921143"/>
  </r>
  <r>
    <s v="8880"/>
    <s v="Callaghan College Jesmond Senior Campus"/>
    <s v="Jesmond"/>
    <s v="Newcastle"/>
    <s v="Newcastle and Lake Macquarie"/>
    <x v="0"/>
    <x v="0"/>
    <s v="Regional North"/>
    <x v="4"/>
    <x v="0"/>
    <s v="Coed"/>
    <n v="646.9"/>
    <n v="12"/>
    <s v="Published"/>
    <n v="77.628"/>
    <n v="24"/>
    <n v="980"/>
    <x v="2"/>
    <n v="111"/>
    <x v="3"/>
    <n v="-32.900970999999998"/>
    <n v="151.696335"/>
  </r>
  <r>
    <s v="8884"/>
    <s v="Epping Boys High School"/>
    <s v="Eastwood"/>
    <s v="Ryde"/>
    <s v="Sydney - Ryde"/>
    <x v="0"/>
    <x v="0"/>
    <s v="Metropolitan North"/>
    <x v="4"/>
    <x v="0"/>
    <s v="Boys"/>
    <n v="1491.4"/>
    <n v="1"/>
    <s v="Published"/>
    <n v="14.914000000000001"/>
    <n v="77"/>
    <n v="1117"/>
    <x v="0"/>
    <n v="17"/>
    <x v="4"/>
    <n v="-33.769452999999999"/>
    <n v="151.09964500000001"/>
  </r>
  <r>
    <s v="8888"/>
    <s v="Wiley Park Girls High School"/>
    <s v="Punchbowl"/>
    <s v="Canterbury-Bankstown"/>
    <s v="Sydney - Inner South West"/>
    <x v="0"/>
    <x v="0"/>
    <s v="Metropolitan South"/>
    <x v="4"/>
    <x v="0"/>
    <s v="Girls"/>
    <n v="588"/>
    <m/>
    <s v="Suppressed"/>
    <s v=""/>
    <n v="96"/>
    <n v="954"/>
    <x v="2"/>
    <n v="144"/>
    <x v="0"/>
    <n v="-33.924357000000001"/>
    <n v="151.06654499999999"/>
  </r>
  <r>
    <s v="8892"/>
    <s v="Arthur Phillip High School"/>
    <s v="PARRAMATTA"/>
    <s v="Parramatta"/>
    <s v="Sydney - Parramatta"/>
    <x v="0"/>
    <x v="0"/>
    <s v="Metropolitan South"/>
    <x v="4"/>
    <x v="0"/>
    <s v="Coed"/>
    <n v="1636"/>
    <n v="1"/>
    <s v="Published"/>
    <n v="16.36"/>
    <n v="91"/>
    <n v="994"/>
    <x v="2"/>
    <n v="110"/>
    <x v="4"/>
    <n v="-33.815714999999997"/>
    <n v="151.007474"/>
  </r>
  <r>
    <s v="8903"/>
    <s v="Cardiff High School"/>
    <s v="Cardiff"/>
    <s v="Lake Macquarie"/>
    <s v="Newcastle and Lake Macquarie"/>
    <x v="0"/>
    <x v="0"/>
    <s v="Regional North"/>
    <x v="4"/>
    <x v="0"/>
    <s v="Coed"/>
    <n v="776.4"/>
    <n v="16"/>
    <s v="Published"/>
    <n v="124.224"/>
    <n v="9"/>
    <n v="986"/>
    <x v="2"/>
    <n v="100"/>
    <x v="3"/>
    <n v="-32.951363000000001"/>
    <n v="151.670299"/>
  </r>
  <r>
    <s v="8905"/>
    <s v="Cumberland High School"/>
    <s v="CARLINGFORD"/>
    <s v="Parramatta"/>
    <s v="Sydney - Parramatta"/>
    <x v="0"/>
    <x v="0"/>
    <s v="Metropolitan North"/>
    <x v="4"/>
    <x v="0"/>
    <s v="Coed"/>
    <n v="1171.9000000000001"/>
    <n v="2"/>
    <s v="Published"/>
    <n v="23.438000000000002"/>
    <n v="79"/>
    <n v="1060"/>
    <x v="3"/>
    <n v="61"/>
    <x v="4"/>
    <n v="-33.785204999999998"/>
    <n v="151.03689800000001"/>
  </r>
  <r>
    <s v="8906"/>
    <s v="Oak Flats High School"/>
    <s v="Oak Flats"/>
    <s v="Shellharbour"/>
    <s v="Illawarra"/>
    <x v="0"/>
    <x v="0"/>
    <s v="Regional South and Connected Communities"/>
    <x v="4"/>
    <x v="0"/>
    <s v="Coed"/>
    <n v="647.6"/>
    <n v="14"/>
    <s v="Published"/>
    <n v="90.664000000000016"/>
    <n v="9"/>
    <n v="932"/>
    <x v="2"/>
    <n v="137"/>
    <x v="3"/>
    <n v="-34.559744999999999"/>
    <n v="150.83408"/>
  </r>
  <r>
    <s v="8907"/>
    <s v="Riverstone High School"/>
    <s v="RIVERSTONE"/>
    <s v="Blacktown"/>
    <s v="Sydney - Blacktown"/>
    <x v="0"/>
    <x v="0"/>
    <s v="Metropolitan North"/>
    <x v="4"/>
    <x v="0"/>
    <s v="Coed"/>
    <n v="861"/>
    <n v="9"/>
    <s v="Published"/>
    <n v="77.489999999999995"/>
    <n v="49"/>
    <n v="979"/>
    <x v="2"/>
    <n v="104"/>
    <x v="3"/>
    <n v="-33.678882999999999"/>
    <n v="150.875744"/>
  </r>
  <r>
    <s v="8908"/>
    <s v="Rooty Hill High School"/>
    <s v="ROOTY HILL"/>
    <s v="Blacktown"/>
    <s v="Sydney - Blacktown"/>
    <x v="0"/>
    <x v="0"/>
    <s v="Metropolitan South and West"/>
    <x v="4"/>
    <x v="0"/>
    <s v="Coed"/>
    <n v="1108.8"/>
    <n v="6"/>
    <s v="Published"/>
    <n v="66.527999999999992"/>
    <n v="61"/>
    <n v="958"/>
    <x v="2"/>
    <n v="121"/>
    <x v="4"/>
    <n v="-33.770840999999997"/>
    <n v="150.83814799999999"/>
  </r>
  <r>
    <s v="8909"/>
    <s v="Toronto High School"/>
    <s v="Toronto"/>
    <s v="Lake Macquarie"/>
    <s v="Newcastle and Lake Macquarie"/>
    <x v="0"/>
    <x v="0"/>
    <s v="Regional North"/>
    <x v="4"/>
    <x v="0"/>
    <s v="Coed"/>
    <n v="948.6"/>
    <n v="18"/>
    <s v="Published"/>
    <n v="170.74799999999999"/>
    <n v="6"/>
    <n v="961"/>
    <x v="2"/>
    <n v="116"/>
    <x v="3"/>
    <n v="-33.008794000000002"/>
    <n v="151.58202199999999"/>
  </r>
  <r>
    <s v="8910"/>
    <s v="Cammeraygal High School"/>
    <s v="Crows Nest"/>
    <s v="North Sydney"/>
    <s v="Sydney - North Sydney and Hornsby"/>
    <x v="0"/>
    <x v="0"/>
    <s v="Metropolitan North"/>
    <x v="4"/>
    <x v="0"/>
    <s v="Coed"/>
    <n v="905"/>
    <n v="1"/>
    <s v="Published"/>
    <n v="9.0500000000000007"/>
    <n v="48"/>
    <n v="1135"/>
    <x v="0"/>
    <n v="18"/>
    <x v="3"/>
    <n v="-33.832161999999997"/>
    <n v="151.20303999999999"/>
  </r>
  <r>
    <s v="8911"/>
    <s v="The Ponds High School"/>
    <s v="The Ponds"/>
    <s v="Blacktown"/>
    <s v="Sydney - Blacktown"/>
    <x v="0"/>
    <x v="0"/>
    <s v="Metropolitan North"/>
    <x v="4"/>
    <x v="0"/>
    <s v="Coed"/>
    <n v="2318"/>
    <n v="1"/>
    <s v="Published"/>
    <n v="23.18"/>
    <n v="78"/>
    <n v="1118"/>
    <x v="0"/>
    <n v="16"/>
    <x v="4"/>
    <n v="-33.703299999999999"/>
    <n v="150.89764"/>
  </r>
  <r>
    <s v="8912"/>
    <s v="Aurora College"/>
    <s v="LINDFIELD"/>
    <s v="Ku-ring-gai"/>
    <s v="Sydney - North Sydney and Hornsby"/>
    <x v="0"/>
    <x v="0"/>
    <s v="Metropolitan North"/>
    <x v="4"/>
    <x v="2"/>
    <s v="Coed"/>
    <m/>
    <m/>
    <s v="Suppressed"/>
    <s v=""/>
    <m/>
    <m/>
    <x v="4"/>
    <m/>
    <x v="5"/>
    <n v="-33.789700000000003"/>
    <n v="151.16069999999999"/>
  </r>
  <r>
    <s v="8913"/>
    <s v="Inner Sydney High School"/>
    <s v="Surry Hills"/>
    <s v="Sydney"/>
    <s v="Sydney - City and Inner South"/>
    <x v="0"/>
    <x v="0"/>
    <s v="Metropolitan South"/>
    <x v="4"/>
    <x v="0"/>
    <s v="Coed"/>
    <n v="1159.5999999999999"/>
    <n v="4"/>
    <s v="Published"/>
    <n v="46.384"/>
    <n v="47"/>
    <n v="1104"/>
    <x v="0"/>
    <n v="27"/>
    <x v="4"/>
    <n v="-33.889372000000002"/>
    <n v="151.20603"/>
  </r>
  <r>
    <s v="8914"/>
    <s v="Richmond Agricultural Centre"/>
    <s v="Richmond"/>
    <s v="Hawkesbury"/>
    <s v="Sydney - Outer West and Blue Mountains"/>
    <x v="0"/>
    <x v="0"/>
    <s v="Regional North"/>
    <x v="4"/>
    <x v="0"/>
    <s v="Coed"/>
    <n v="11"/>
    <n v="0"/>
    <s v="Published"/>
    <n v="0"/>
    <n v="64"/>
    <n v="1098"/>
    <x v="3"/>
    <n v="30"/>
    <x v="2"/>
    <n v="-33.614026000000003"/>
    <n v="150.753568"/>
  </r>
  <r>
    <s v="8915"/>
    <s v="Armidale Secondary College"/>
    <s v="Armidale"/>
    <s v="Armidale"/>
    <s v="New England and North West"/>
    <x v="1"/>
    <x v="1"/>
    <s v="Rural North"/>
    <x v="4"/>
    <x v="2"/>
    <s v="Coed"/>
    <n v="1026.4000000000001"/>
    <n v="23"/>
    <s v="Published"/>
    <n v="236.07200000000003"/>
    <n v="32"/>
    <n v="928"/>
    <x v="2"/>
    <n v="123"/>
    <x v="4"/>
    <n v="-30.519371"/>
    <n v="151.65034800000001"/>
  </r>
  <r>
    <s v="8916"/>
    <s v="Oran Park High School"/>
    <s v="ORAN PARK"/>
    <s v="Camden"/>
    <s v="Sydney - South West"/>
    <x v="0"/>
    <x v="0"/>
    <s v="Regional South and Connected Communities"/>
    <x v="4"/>
    <x v="0"/>
    <s v="Coed"/>
    <n v="1579"/>
    <n v="6"/>
    <s v="Published"/>
    <n v="94.74"/>
    <n v="55"/>
    <n v="1002"/>
    <x v="3"/>
    <n v="95"/>
    <x v="4"/>
    <n v="-33.998987999999997"/>
    <n v="150.73630499999999"/>
  </r>
  <r>
    <s v="8918"/>
    <s v="Wentworth Point High School"/>
    <s v="WENTWORTH POINT"/>
    <s v="Parramatta"/>
    <s v="Sydney - Parramatta"/>
    <x v="0"/>
    <x v="0"/>
    <s v="Metropolitan South"/>
    <x v="4"/>
    <x v="0"/>
    <s v="Coed"/>
    <n v="188"/>
    <m/>
    <s v="Suppressed"/>
    <s v=""/>
    <n v="88"/>
    <n v="1062"/>
    <x v="3"/>
    <n v="49"/>
    <x v="1"/>
    <n v="-33.823990000000002"/>
    <n v="151.08073999999999"/>
  </r>
  <r>
    <s v="8919"/>
    <s v="Bungendore High School"/>
    <s v="Bungendore"/>
    <s v="Queanbeyan-Palerang"/>
    <s v="Capital Region"/>
    <x v="1"/>
    <x v="1"/>
    <s v="Rural South and West"/>
    <x v="4"/>
    <x v="0"/>
    <s v="Coed"/>
    <n v="197"/>
    <n v="6"/>
    <s v="Published"/>
    <n v="11.82"/>
    <n v="4"/>
    <n v="1026"/>
    <x v="3"/>
    <n v="78"/>
    <x v="1"/>
    <n v="-35.253602999999998"/>
    <n v="149.445707"/>
  </r>
  <r>
    <s v="8921"/>
    <s v="Melonba High School"/>
    <s v="Marsden Park"/>
    <s v="Blacktown"/>
    <s v="Sydney - Blacktown"/>
    <x v="0"/>
    <x v="0"/>
    <s v="Metropolitan North"/>
    <x v="4"/>
    <x v="0"/>
    <s v="Coed"/>
    <n v="704"/>
    <n v="2"/>
    <s v="Published"/>
    <n v="14.08"/>
    <n v="84"/>
    <n v="1073"/>
    <x v="3"/>
    <n v="37"/>
    <x v="3"/>
    <n v="-33.697398999999997"/>
    <n v="150.80276799999999"/>
  </r>
  <r>
    <s v="8922"/>
    <s v="Jerrabomberra High School"/>
    <s v="Jerrabomberra"/>
    <s v="Queanbeyan-Palerang"/>
    <s v="Capital Region"/>
    <x v="0"/>
    <x v="0"/>
    <s v="Rural South and West"/>
    <x v="4"/>
    <x v="0"/>
    <s v="Coed"/>
    <n v="333"/>
    <n v="5"/>
    <s v="Published"/>
    <n v="16.650000000000002"/>
    <n v="18"/>
    <n v="1068"/>
    <x v="3"/>
    <n v="58"/>
    <x v="0"/>
    <n v="-35.388309999999997"/>
    <n v="149.19359399999999"/>
  </r>
  <r>
    <s v="8924"/>
    <s v="Jindabyne High School"/>
    <s v="Jindabyne"/>
    <s v="Snowy Monaro"/>
    <s v="Capital Region"/>
    <x v="2"/>
    <x v="2"/>
    <s v="Rural South and West"/>
    <x v="4"/>
    <x v="0"/>
    <s v="Coed"/>
    <n v="277"/>
    <n v="5"/>
    <s v="Published"/>
    <n v="13.850000000000001"/>
    <n v="8"/>
    <n v="1009"/>
    <x v="3"/>
    <n v="80"/>
    <x v="1"/>
    <n v="-36.416671000000001"/>
    <n v="148.61931799999999"/>
  </r>
  <r>
    <s v="8926"/>
    <s v="Randwick High School"/>
    <s v="Randwick"/>
    <s v="Randwick"/>
    <s v="Sydney - Eastern Suburbs"/>
    <x v="0"/>
    <x v="0"/>
    <s v="Metropolitan South"/>
    <x v="4"/>
    <x v="0"/>
    <s v="Coed"/>
    <n v="1460"/>
    <n v="2"/>
    <s v="Published"/>
    <n v="29.2"/>
    <n v="54"/>
    <n v="1071"/>
    <x v="3"/>
    <n v="50"/>
    <x v="4"/>
    <n v="-33.921832000000002"/>
    <n v="151.23944"/>
  </r>
  <r>
    <s v="8927"/>
    <s v="Gledswood Hills High School"/>
    <s v="GLEDSWOOD HILLS"/>
    <s v="Camden"/>
    <s v="Sydney - South West"/>
    <x v="0"/>
    <x v="0"/>
    <s v="Regional South and Connected Communities"/>
    <x v="4"/>
    <x v="0"/>
    <s v="Coed"/>
    <n v="87"/>
    <m/>
    <s v="Suppressed"/>
    <s v=""/>
    <n v="60"/>
    <n v="1013"/>
    <x v="3"/>
    <n v="84"/>
    <x v="2"/>
    <n v="-34.022494000000002"/>
    <n v="150.769597"/>
  </r>
  <r>
    <s v="8933"/>
    <s v="Bayside High School"/>
    <s v="Kogarah"/>
    <s v="Bayside (NSW)"/>
    <s v="Sydney - Inner South West"/>
    <x v="0"/>
    <x v="0"/>
    <s v="Metropolitan South"/>
    <x v="4"/>
    <x v="0"/>
    <s v="Coed"/>
    <m/>
    <m/>
    <s v="Suppressed"/>
    <s v=""/>
    <m/>
    <m/>
    <x v="4"/>
    <n v="82"/>
    <x v="5"/>
    <n v="-33.967395499999995"/>
    <n v="151.13741450000001"/>
  </r>
  <r>
    <s v="8935"/>
    <s v="Box Hill High School"/>
    <s v="Box Hill"/>
    <s v="The Hills"/>
    <s v="Sydney - Baulkham Hills and Hawkesbury"/>
    <x v="0"/>
    <x v="0"/>
    <s v="Metropolitan North"/>
    <x v="4"/>
    <x v="0"/>
    <s v="Coed"/>
    <m/>
    <m/>
    <s v="Suppressed"/>
    <s v=""/>
    <m/>
    <m/>
    <x v="4"/>
    <n v="33"/>
    <x v="5"/>
    <n v="-33.645699999999998"/>
    <n v="150.8989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2BF7A-9D53-4A6F-BD31-271C3E848AA8}"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rowHeaderCaption="Remoteness">
  <location ref="A3:D8" firstHeaderRow="0" firstDataRow="1" firstDataCol="1" rowPageCount="1" colPageCount="1"/>
  <pivotFields count="23">
    <pivotField showAll="0"/>
    <pivotField showAll="0"/>
    <pivotField showAll="0"/>
    <pivotField showAll="0"/>
    <pivotField showAll="0"/>
    <pivotField axis="axisRow" showAll="0" sortType="ascending">
      <items count="6">
        <item x="1"/>
        <item x="0"/>
        <item x="2"/>
        <item x="3"/>
        <item x="4"/>
        <item t="default"/>
      </items>
      <autoSortScope>
        <pivotArea dataOnly="0" outline="0" fieldPosition="0">
          <references count="1">
            <reference field="4294967294" count="1" selected="0">
              <x v="2"/>
            </reference>
          </references>
        </pivotArea>
      </autoSortScope>
    </pivotField>
    <pivotField axis="axisPage" multipleItemSelectionAllowed="1" showAll="0">
      <items count="6">
        <item x="0"/>
        <item x="1"/>
        <item x="2"/>
        <item x="3"/>
        <item x="4"/>
        <item t="default"/>
      </items>
    </pivotField>
    <pivotField showAll="0"/>
    <pivotField showAll="0">
      <items count="8">
        <item x="1"/>
        <item x="6"/>
        <item x="3"/>
        <item x="5"/>
        <item x="0"/>
        <item x="2"/>
        <item x="4"/>
        <item t="default"/>
      </items>
    </pivotField>
    <pivotField showAll="0">
      <items count="4">
        <item x="1"/>
        <item x="0"/>
        <item x="2"/>
        <item t="default"/>
      </items>
    </pivotField>
    <pivotField showAll="0"/>
    <pivotField dataField="1" showAll="0"/>
    <pivotField showAll="0"/>
    <pivotField showAll="0"/>
    <pivotField dataField="1" showAll="0"/>
    <pivotField showAll="0"/>
    <pivotField showAll="0"/>
    <pivotField showAll="0"/>
    <pivotField showAll="0"/>
    <pivotField showAll="0">
      <items count="7">
        <item x="2"/>
        <item x="1"/>
        <item x="0"/>
        <item x="3"/>
        <item x="4"/>
        <item x="5"/>
        <item t="default"/>
      </items>
    </pivotField>
    <pivotField showAll="0"/>
    <pivotField showAll="0"/>
    <pivotField dataField="1" dragToRow="0" dragToCol="0" dragToPage="0" showAll="0" defaultSubtotal="0"/>
  </pivotFields>
  <rowFields count="1">
    <field x="5"/>
  </rowFields>
  <rowItems count="5">
    <i>
      <x v="1"/>
    </i>
    <i>
      <x/>
    </i>
    <i>
      <x v="2"/>
    </i>
    <i>
      <x v="3"/>
    </i>
    <i>
      <x v="4"/>
    </i>
  </rowItems>
  <colFields count="1">
    <field x="-2"/>
  </colFields>
  <colItems count="3">
    <i>
      <x/>
    </i>
    <i i="1">
      <x v="1"/>
    </i>
    <i i="2">
      <x v="2"/>
    </i>
  </colItems>
  <pageFields count="1">
    <pageField fld="6" hier="-1"/>
  </pageFields>
  <dataFields count="3">
    <dataField name="Total FTE" fld="11" baseField="0" baseItem="0" numFmtId="165"/>
    <dataField name="Indigenous FTE" fld="14" baseField="5" baseItem="0" numFmtId="165"/>
    <dataField name="Indigenous % of enrolment" fld="22" baseField="5" baseItem="0"/>
  </dataFields>
  <formats count="13">
    <format dxfId="858">
      <pivotArea collapsedLevelsAreSubtotals="1" fieldPosition="0">
        <references count="2">
          <reference field="4294967294" count="1" selected="0">
            <x v="2"/>
          </reference>
          <reference field="5" count="1">
            <x v="0"/>
          </reference>
        </references>
      </pivotArea>
    </format>
    <format dxfId="857">
      <pivotArea collapsedLevelsAreSubtotals="1" fieldPosition="0">
        <references count="2">
          <reference field="4294967294" count="1" selected="0">
            <x v="2"/>
          </reference>
          <reference field="5" count="4">
            <x v="1"/>
            <x v="2"/>
            <x v="3"/>
            <x v="4"/>
          </reference>
        </references>
      </pivotArea>
    </format>
    <format dxfId="856">
      <pivotArea type="all" dataOnly="0" outline="0" fieldPosition="0"/>
    </format>
    <format dxfId="855">
      <pivotArea outline="0" collapsedLevelsAreSubtotals="1" fieldPosition="0"/>
    </format>
    <format dxfId="854">
      <pivotArea field="5" type="button" dataOnly="0" labelOnly="1" outline="0" axis="axisRow" fieldPosition="0"/>
    </format>
    <format dxfId="853">
      <pivotArea dataOnly="0" labelOnly="1" fieldPosition="0">
        <references count="1">
          <reference field="5" count="0"/>
        </references>
      </pivotArea>
    </format>
    <format dxfId="852">
      <pivotArea dataOnly="0" labelOnly="1" outline="0" fieldPosition="0">
        <references count="1">
          <reference field="4294967294" count="3">
            <x v="0"/>
            <x v="1"/>
            <x v="2"/>
          </reference>
        </references>
      </pivotArea>
    </format>
    <format dxfId="851">
      <pivotArea outline="0" fieldPosition="0">
        <references count="1">
          <reference field="4294967294" count="1">
            <x v="0"/>
          </reference>
        </references>
      </pivotArea>
    </format>
    <format dxfId="850">
      <pivotArea outline="0" fieldPosition="0">
        <references count="1">
          <reference field="4294967294" count="1">
            <x v="1"/>
          </reference>
        </references>
      </pivotArea>
    </format>
    <format dxfId="849">
      <pivotArea field="5" type="button" dataOnly="0" labelOnly="1" outline="0" axis="axisRow" fieldPosition="0"/>
    </format>
    <format dxfId="848">
      <pivotArea dataOnly="0" labelOnly="1" outline="0" fieldPosition="0">
        <references count="1">
          <reference field="4294967294" count="3">
            <x v="0"/>
            <x v="1"/>
            <x v="2"/>
          </reference>
        </references>
      </pivotArea>
    </format>
    <format dxfId="847">
      <pivotArea field="5" type="button" dataOnly="0" labelOnly="1" outline="0" axis="axisRow" fieldPosition="0"/>
    </format>
    <format dxfId="846">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E0540-5461-4FB0-895E-3D3CDD979823}"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rowHeaderCaption="Remoteness ">
  <location ref="A3:E8" firstHeaderRow="0" firstDataRow="1" firstDataCol="1" rowPageCount="1" colPageCount="1"/>
  <pivotFields count="23">
    <pivotField showAll="0"/>
    <pivotField showAll="0"/>
    <pivotField showAll="0"/>
    <pivotField showAll="0"/>
    <pivotField showAll="0"/>
    <pivotField axis="axisRow" showAll="0">
      <items count="6">
        <item x="0"/>
        <item x="1"/>
        <item x="2"/>
        <item x="3"/>
        <item x="4"/>
        <item t="default"/>
      </items>
    </pivotField>
    <pivotField axis="axisPage" multipleItemSelectionAllowed="1" showAll="0">
      <items count="6">
        <item x="0"/>
        <item x="1"/>
        <item x="2"/>
        <item x="3"/>
        <item x="4"/>
        <item t="default"/>
      </items>
    </pivotField>
    <pivotField showAll="0"/>
    <pivotField showAll="0">
      <items count="8">
        <item x="1"/>
        <item x="6"/>
        <item x="3"/>
        <item x="5"/>
        <item x="0"/>
        <item x="2"/>
        <item x="4"/>
        <item t="default"/>
      </items>
    </pivotField>
    <pivotField showAll="0">
      <items count="4">
        <item x="1"/>
        <item x="0"/>
        <item x="2"/>
        <item t="default"/>
      </items>
    </pivotField>
    <pivotField showAll="0"/>
    <pivotField dataField="1" showAll="0"/>
    <pivotField showAll="0"/>
    <pivotField showAll="0"/>
    <pivotField dataField="1" showAll="0"/>
    <pivotField showAll="0"/>
    <pivotField showAll="0"/>
    <pivotField showAll="0"/>
    <pivotField showAll="0"/>
    <pivotField showAll="0">
      <items count="7">
        <item x="2"/>
        <item x="1"/>
        <item x="0"/>
        <item x="3"/>
        <item x="4"/>
        <item x="5"/>
        <item t="default"/>
      </items>
    </pivotField>
    <pivotField showAll="0"/>
    <pivotField showAll="0"/>
    <pivotField dragToRow="0" dragToCol="0" dragToPage="0" showAll="0" defaultSubtotal="0"/>
  </pivotFields>
  <rowFields count="1">
    <field x="5"/>
  </rowFields>
  <rowItems count="5">
    <i>
      <x/>
    </i>
    <i>
      <x v="1"/>
    </i>
    <i>
      <x v="2"/>
    </i>
    <i>
      <x v="3"/>
    </i>
    <i>
      <x v="4"/>
    </i>
  </rowItems>
  <colFields count="1">
    <field x="-2"/>
  </colFields>
  <colItems count="4">
    <i>
      <x/>
    </i>
    <i i="1">
      <x v="1"/>
    </i>
    <i i="2">
      <x v="2"/>
    </i>
    <i i="3">
      <x v="3"/>
    </i>
  </colItems>
  <pageFields count="1">
    <pageField fld="6" hier="-1"/>
  </pageFields>
  <dataFields count="4">
    <dataField name="Total FTE" fld="11" baseField="0" baseItem="0" numFmtId="165"/>
    <dataField name="% of all students" fld="11" showDataAs="percentOfTotal" baseField="0" baseItem="0" numFmtId="164"/>
    <dataField name="Indigenous FTE" fld="14" baseField="0" baseItem="0" numFmtId="165"/>
    <dataField name="% of all Indigenous students" fld="14" subtotal="count" showDataAs="percentOfTotal" baseField="0" baseItem="0" numFmtId="164"/>
  </dataFields>
  <formats count="12">
    <format dxfId="845">
      <pivotArea field="5" type="button" dataOnly="0" labelOnly="1" outline="0" axis="axisRow" fieldPosition="0"/>
    </format>
    <format dxfId="844">
      <pivotArea dataOnly="0" labelOnly="1" outline="0" fieldPosition="0">
        <references count="1">
          <reference field="4294967294" count="4">
            <x v="0"/>
            <x v="1"/>
            <x v="2"/>
            <x v="3"/>
          </reference>
        </references>
      </pivotArea>
    </format>
    <format dxfId="843">
      <pivotArea field="5" type="button" dataOnly="0" labelOnly="1" outline="0" axis="axisRow" fieldPosition="0"/>
    </format>
    <format dxfId="842">
      <pivotArea dataOnly="0" labelOnly="1" outline="0" fieldPosition="0">
        <references count="1">
          <reference field="4294967294" count="4">
            <x v="0"/>
            <x v="1"/>
            <x v="2"/>
            <x v="3"/>
          </reference>
        </references>
      </pivotArea>
    </format>
    <format dxfId="841">
      <pivotArea outline="0" fieldPosition="0">
        <references count="1">
          <reference field="4294967294" count="1">
            <x v="2"/>
          </reference>
        </references>
      </pivotArea>
    </format>
    <format dxfId="840">
      <pivotArea type="all" dataOnly="0" outline="0" fieldPosition="0"/>
    </format>
    <format dxfId="839">
      <pivotArea outline="0" collapsedLevelsAreSubtotals="1" fieldPosition="0"/>
    </format>
    <format dxfId="838">
      <pivotArea field="5" type="button" dataOnly="0" labelOnly="1" outline="0" axis="axisRow" fieldPosition="0"/>
    </format>
    <format dxfId="837">
      <pivotArea dataOnly="0" labelOnly="1" fieldPosition="0">
        <references count="1">
          <reference field="5" count="0"/>
        </references>
      </pivotArea>
    </format>
    <format dxfId="836">
      <pivotArea dataOnly="0" labelOnly="1" outline="0" fieldPosition="0">
        <references count="1">
          <reference field="4294967294" count="4">
            <x v="0"/>
            <x v="1"/>
            <x v="2"/>
            <x v="3"/>
          </reference>
        </references>
      </pivotArea>
    </format>
    <format dxfId="835">
      <pivotArea field="5" type="button" dataOnly="0" labelOnly="1" outline="0" axis="axisRow" fieldPosition="0"/>
    </format>
    <format dxfId="834">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26E5A0-EC88-4859-839D-49F801EF7FD9}"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ICSEA_Band">
  <location ref="A3:C8" firstHeaderRow="0" firstDataRow="1" firstDataCol="1"/>
  <pivotFields count="23">
    <pivotField dataField="1" showAll="0"/>
    <pivotField showAll="0"/>
    <pivotField showAll="0"/>
    <pivotField showAll="0"/>
    <pivotField showAll="0"/>
    <pivotField showAll="0"/>
    <pivotField showAll="0">
      <items count="6">
        <item x="0"/>
        <item x="1"/>
        <item x="2"/>
        <item x="3"/>
        <item x="4"/>
        <item t="default"/>
      </items>
    </pivotField>
    <pivotField showAll="0"/>
    <pivotField showAll="0">
      <items count="8">
        <item x="1"/>
        <item x="6"/>
        <item x="3"/>
        <item x="5"/>
        <item x="0"/>
        <item x="2"/>
        <item x="4"/>
        <item t="default"/>
      </items>
    </pivotField>
    <pivotField showAll="0">
      <items count="4">
        <item x="1"/>
        <item x="0"/>
        <item x="2"/>
        <item t="default"/>
      </items>
    </pivotField>
    <pivotField showAll="0"/>
    <pivotField showAll="0"/>
    <pivotField dataField="1" showAll="0"/>
    <pivotField showAll="0"/>
    <pivotField showAll="0"/>
    <pivotField showAll="0"/>
    <pivotField showAll="0"/>
    <pivotField axis="axisRow" showAll="0" sortType="ascending">
      <items count="6">
        <item x="1"/>
        <item x="2"/>
        <item x="3"/>
        <item x="0"/>
        <item x="4"/>
        <item t="default"/>
      </items>
    </pivotField>
    <pivotField showAll="0"/>
    <pivotField showAll="0">
      <items count="7">
        <item x="2"/>
        <item x="1"/>
        <item x="0"/>
        <item x="3"/>
        <item x="4"/>
        <item x="5"/>
        <item t="default"/>
      </items>
    </pivotField>
    <pivotField showAll="0"/>
    <pivotField showAll="0"/>
    <pivotField dragToRow="0" dragToCol="0" dragToPage="0" showAll="0" defaultSubtotal="0"/>
  </pivotFields>
  <rowFields count="1">
    <field x="17"/>
  </rowFields>
  <rowItems count="5">
    <i>
      <x/>
    </i>
    <i>
      <x v="1"/>
    </i>
    <i>
      <x v="2"/>
    </i>
    <i>
      <x v="3"/>
    </i>
    <i>
      <x v="4"/>
    </i>
  </rowItems>
  <colFields count="1">
    <field x="-2"/>
  </colFields>
  <colItems count="2">
    <i>
      <x/>
    </i>
    <i i="1">
      <x v="1"/>
    </i>
  </colItems>
  <dataFields count="2">
    <dataField name="Total Schools" fld="0" subtotal="count" baseField="17" baseItem="0"/>
    <dataField name="Avg Indigenous %" fld="12" subtotal="average" baseField="0" baseItem="0" numFmtId="166"/>
  </dataFields>
  <formats count="14">
    <format dxfId="833">
      <pivotArea field="17" type="button" dataOnly="0" labelOnly="1" outline="0" axis="axisRow" fieldPosition="0"/>
    </format>
    <format dxfId="832">
      <pivotArea dataOnly="0" labelOnly="1" outline="0" fieldPosition="0">
        <references count="1">
          <reference field="4294967294" count="1">
            <x v="0"/>
          </reference>
        </references>
      </pivotArea>
    </format>
    <format dxfId="831">
      <pivotArea field="17" type="button" dataOnly="0" labelOnly="1" outline="0" axis="axisRow" fieldPosition="0"/>
    </format>
    <format dxfId="830">
      <pivotArea dataOnly="0" labelOnly="1" outline="0" fieldPosition="0">
        <references count="1">
          <reference field="4294967294" count="1">
            <x v="0"/>
          </reference>
        </references>
      </pivotArea>
    </format>
    <format dxfId="829">
      <pivotArea dataOnly="0" labelOnly="1" grandRow="1" outline="0" fieldPosition="0"/>
    </format>
    <format dxfId="828">
      <pivotArea outline="0" fieldPosition="0">
        <references count="1">
          <reference field="4294967294" count="1">
            <x v="1"/>
          </reference>
        </references>
      </pivotArea>
    </format>
    <format dxfId="827">
      <pivotArea outline="0" collapsedLevelsAreSubtotals="1" fieldPosition="0">
        <references count="1">
          <reference field="4294967294" count="1" selected="0">
            <x v="1"/>
          </reference>
        </references>
      </pivotArea>
    </format>
    <format dxfId="826">
      <pivotArea type="all" dataOnly="0" outline="0" fieldPosition="0"/>
    </format>
    <format dxfId="825">
      <pivotArea outline="0" collapsedLevelsAreSubtotals="1" fieldPosition="0"/>
    </format>
    <format dxfId="824">
      <pivotArea field="17" type="button" dataOnly="0" labelOnly="1" outline="0" axis="axisRow" fieldPosition="0"/>
    </format>
    <format dxfId="823">
      <pivotArea dataOnly="0" labelOnly="1" fieldPosition="0">
        <references count="1">
          <reference field="17" count="0"/>
        </references>
      </pivotArea>
    </format>
    <format dxfId="822">
      <pivotArea dataOnly="0" labelOnly="1" outline="0" fieldPosition="0">
        <references count="1">
          <reference field="4294967294" count="2">
            <x v="0"/>
            <x v="1"/>
          </reference>
        </references>
      </pivotArea>
    </format>
    <format dxfId="821">
      <pivotArea field="17" type="button" dataOnly="0" labelOnly="1" outline="0" axis="axisRow" fieldPosition="0"/>
    </format>
    <format dxfId="82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E429BA-FBD4-46DB-BD17-ED82FA32937A}"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C10" firstHeaderRow="0" firstDataRow="1" firstDataCol="1" rowPageCount="1" colPageCount="1"/>
  <pivotFields count="23">
    <pivotField dataField="1" showAll="0"/>
    <pivotField showAll="0"/>
    <pivotField showAll="0"/>
    <pivotField showAll="0"/>
    <pivotField showAll="0"/>
    <pivotField showAll="0"/>
    <pivotField showAll="0">
      <items count="6">
        <item x="0"/>
        <item x="1"/>
        <item x="2"/>
        <item x="3"/>
        <item x="4"/>
        <item t="default"/>
      </items>
    </pivotField>
    <pivotField showAll="0"/>
    <pivotField axis="axisRow" showAll="0" sortType="descending">
      <items count="8">
        <item x="1"/>
        <item x="6"/>
        <item x="3"/>
        <item x="5"/>
        <item x="0"/>
        <item x="2"/>
        <item x="4"/>
        <item t="default"/>
      </items>
      <autoSortScope>
        <pivotArea dataOnly="0" outline="0" fieldPosition="0">
          <references count="1">
            <reference field="4294967294" count="1" selected="0">
              <x v="1"/>
            </reference>
          </references>
        </pivotArea>
      </autoSortScope>
    </pivotField>
    <pivotField name="Selective School Status" axis="axisPage" multipleItemSelectionAllowed="1" showAll="0">
      <items count="4">
        <item x="1"/>
        <item x="0"/>
        <item x="2"/>
        <item t="default"/>
      </items>
    </pivotField>
    <pivotField showAll="0"/>
    <pivotField showAll="0"/>
    <pivotField dataField="1" showAll="0"/>
    <pivotField showAll="0"/>
    <pivotField showAll="0"/>
    <pivotField showAll="0"/>
    <pivotField showAll="0"/>
    <pivotField showAll="0"/>
    <pivotField showAll="0"/>
    <pivotField showAll="0">
      <items count="7">
        <item x="2"/>
        <item x="1"/>
        <item x="0"/>
        <item x="3"/>
        <item x="4"/>
        <item x="5"/>
        <item t="default"/>
      </items>
    </pivotField>
    <pivotField showAll="0"/>
    <pivotField showAll="0"/>
    <pivotField dragToRow="0" dragToCol="0" dragToPage="0" showAll="0" defaultSubtotal="0"/>
  </pivotFields>
  <rowFields count="1">
    <field x="8"/>
  </rowFields>
  <rowItems count="7">
    <i>
      <x/>
    </i>
    <i>
      <x v="5"/>
    </i>
    <i>
      <x v="4"/>
    </i>
    <i>
      <x v="6"/>
    </i>
    <i>
      <x v="2"/>
    </i>
    <i>
      <x v="1"/>
    </i>
    <i>
      <x v="3"/>
    </i>
  </rowItems>
  <colFields count="1">
    <field x="-2"/>
  </colFields>
  <colItems count="2">
    <i>
      <x/>
    </i>
    <i i="1">
      <x v="1"/>
    </i>
  </colItems>
  <pageFields count="1">
    <pageField fld="9" hier="-1"/>
  </pageFields>
  <dataFields count="2">
    <dataField name="Total Schools" fld="0" subtotal="count" baseField="0" baseItem="0"/>
    <dataField name="Avg indigenous %" fld="12" subtotal="average" baseField="0" baseItem="0" numFmtId="166"/>
  </dataFields>
  <formats count="10">
    <format dxfId="819">
      <pivotArea type="all" dataOnly="0" outline="0" fieldPosition="0"/>
    </format>
    <format dxfId="818">
      <pivotArea outline="0" collapsedLevelsAreSubtotals="1" fieldPosition="0"/>
    </format>
    <format dxfId="817">
      <pivotArea field="8" type="button" dataOnly="0" labelOnly="1" outline="0" axis="axisRow" fieldPosition="0"/>
    </format>
    <format dxfId="816">
      <pivotArea dataOnly="0" labelOnly="1" fieldPosition="0">
        <references count="1">
          <reference field="8" count="0"/>
        </references>
      </pivotArea>
    </format>
    <format dxfId="815">
      <pivotArea dataOnly="0" labelOnly="1" outline="0" fieldPosition="0">
        <references count="1">
          <reference field="4294967294" count="2">
            <x v="0"/>
            <x v="1"/>
          </reference>
        </references>
      </pivotArea>
    </format>
    <format dxfId="814">
      <pivotArea outline="0" collapsedLevelsAreSubtotals="1" fieldPosition="0">
        <references count="1">
          <reference field="4294967294" count="1" selected="0">
            <x v="1"/>
          </reference>
        </references>
      </pivotArea>
    </format>
    <format dxfId="813">
      <pivotArea field="8" type="button" dataOnly="0" labelOnly="1" outline="0" axis="axisRow" fieldPosition="0"/>
    </format>
    <format dxfId="812">
      <pivotArea dataOnly="0" labelOnly="1" outline="0" fieldPosition="0">
        <references count="1">
          <reference field="4294967294" count="2">
            <x v="0"/>
            <x v="1"/>
          </reference>
        </references>
      </pivotArea>
    </format>
    <format dxfId="811">
      <pivotArea field="8" type="button" dataOnly="0" labelOnly="1" outline="0" axis="axisRow" fieldPosition="0"/>
    </format>
    <format dxfId="810">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ment_band" xr10:uid="{95905948-578B-422B-A0EC-84EECC542FAA}" sourceName="Enrolment_band">
  <pivotTables>
    <pivotTable tabId="6" name="PivotTable1"/>
    <pivotTable tabId="8" name="PivotTable3"/>
    <pivotTable tabId="9" name="PivotTable4"/>
    <pivotTable tabId="7" name="PivotTable2"/>
  </pivotTables>
  <data>
    <tabular pivotCacheId="1572155564">
      <items count="6">
        <i x="2" s="1"/>
        <i x="1" s="1"/>
        <i x="0"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ective_school" xr10:uid="{10A4397C-86D4-469D-9B56-F7B1A91F7625}" sourceName="Selective_school">
  <pivotTables>
    <pivotTable tabId="6" name="PivotTable1"/>
    <pivotTable tabId="8" name="PivotTable3"/>
    <pivotTable tabId="9" name="PivotTable4"/>
    <pivotTable tabId="7" name="PivotTable2"/>
  </pivotTables>
  <data>
    <tabular pivotCacheId="157215556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of_schooling" xr10:uid="{3BE9B3E3-BCB4-4C4B-921D-CA780BD10241}" sourceName="Level_of_schooling">
  <pivotTables>
    <pivotTable tabId="6" name="PivotTable1"/>
    <pivotTable tabId="8" name="PivotTable3"/>
    <pivotTable tabId="9" name="PivotTable4"/>
    <pivotTable tabId="7" name="PivotTable2"/>
  </pivotTables>
  <data>
    <tabular pivotCacheId="1572155564">
      <items count="7">
        <i x="1" s="1"/>
        <i x="6" s="1"/>
        <i x="3" s="1"/>
        <i x="5"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ness_order" xr10:uid="{C1ACFD98-DD7E-4CFD-9AA6-2392863DE8D1}" sourceName="Remoteness_order">
  <pivotTables>
    <pivotTable tabId="6" name="PivotTable1"/>
    <pivotTable tabId="8" name="PivotTable3"/>
    <pivotTable tabId="9" name="PivotTable4"/>
    <pivotTable tabId="7" name="PivotTable2"/>
  </pivotTables>
  <data>
    <tabular pivotCacheId="157215556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rolment_band" xr10:uid="{5DC89344-7B5D-46EE-AE8E-E0C115AF3718}" cache="Slicer_Enrolment_band" caption="Enrolment_band" columnCount="5" rowHeight="241300"/>
  <slicer name="Selective_school" xr10:uid="{CD8445ED-2F77-43A8-B42E-966C1C46A500}" cache="Slicer_Selective_school" caption="Selective_school" columnCount="5" rowHeight="241300"/>
  <slicer name="Level_of_schooling" xr10:uid="{D2229F87-59EC-4324-8366-CFD9F5566DF0}" cache="Slicer_Level_of_schooling" caption="Level_of_schooling" columnCount="5" rowHeight="241300"/>
  <slicer name="Remoteness_order" xr10:uid="{BA390C0A-D2E9-4C93-8F09-107EBDC4515D}" cache="Slicer_Remoteness_order" caption="Remoteness_order"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chools" displayName="tblSchools" ref="A1:V2211" totalsRowShown="0" headerRowDxfId="809" headerRowBorderDxfId="808" tableBorderDxfId="807" totalsRowBorderDxfId="806">
  <autoFilter ref="A1:V2211" xr:uid="{00000000-0009-0000-0100-000001000000}"/>
  <tableColumns count="22">
    <tableColumn id="1" xr3:uid="{00000000-0010-0000-0000-000001000000}" name="School_code" dataDxfId="805"/>
    <tableColumn id="2" xr3:uid="{00000000-0010-0000-0000-000002000000}" name="School_name" dataDxfId="804"/>
    <tableColumn id="3" xr3:uid="{00000000-0010-0000-0000-000003000000}" name="Town_suburb" dataDxfId="803"/>
    <tableColumn id="4" xr3:uid="{00000000-0010-0000-0000-000004000000}" name="LGA" dataDxfId="802"/>
    <tableColumn id="5" xr3:uid="{00000000-0010-0000-0000-000005000000}" name="SA4" dataDxfId="801"/>
    <tableColumn id="6" xr3:uid="{00000000-0010-0000-0000-000006000000}" name="ASGS_remoteness" dataDxfId="800"/>
    <tableColumn id="7" xr3:uid="{00000000-0010-0000-0000-000007000000}" name="Remoteness_order" dataDxfId="799"/>
    <tableColumn id="8" xr3:uid="{00000000-0010-0000-0000-000008000000}" name="Operational_directorate" dataDxfId="798"/>
    <tableColumn id="9" xr3:uid="{00000000-0010-0000-0000-000009000000}" name="Level_of_schooling" dataDxfId="797"/>
    <tableColumn id="10" xr3:uid="{00000000-0010-0000-0000-00000A000000}" name="Selective_school" dataDxfId="796"/>
    <tableColumn id="11" xr3:uid="{00000000-0010-0000-0000-00000B000000}" name="School_gender" dataDxfId="795"/>
    <tableColumn id="12" xr3:uid="{00000000-0010-0000-0000-00000C000000}" name="Enrolment_FTE" dataDxfId="794"/>
    <tableColumn id="13" xr3:uid="{00000000-0010-0000-0000-00000D000000}" name="Indigenous_pct" dataDxfId="793" dataCellStyle="Percent"/>
    <tableColumn id="14" xr3:uid="{00000000-0010-0000-0000-00000E000000}" name="Indigenous_status" dataDxfId="792">
      <calculatedColumnFormula>IF(M2="","Suppressed","Published")</calculatedColumnFormula>
    </tableColumn>
    <tableColumn id="15" xr3:uid="{00000000-0010-0000-0000-00000F000000}" name="Indigenous_FTE_est" dataDxfId="791"/>
    <tableColumn id="16" xr3:uid="{00000000-0010-0000-0000-000010000000}" name="LBOTE_pct" dataDxfId="790"/>
    <tableColumn id="17" xr3:uid="{00000000-0010-0000-0000-000011000000}" name="ICSEA_value" dataDxfId="789"/>
    <tableColumn id="18" xr3:uid="{00000000-0010-0000-0000-000012000000}" name="ICSEA_band" dataDxfId="788">
      <calculatedColumnFormula>IF(Q2="","No ICSEA",IF(Q2&lt;900,"1",IF(Q2&lt;1000,"2",IF(Q2&lt;1100,"3","4"))))</calculatedColumnFormula>
    </tableColumn>
    <tableColumn id="19" xr3:uid="{00000000-0010-0000-0000-000013000000}" name="FOEI_value" dataDxfId="787"/>
    <tableColumn id="20" xr3:uid="{00000000-0010-0000-0000-000014000000}" name="Enrolment_band" dataDxfId="786">
      <calculatedColumnFormula>IF(L2="","No enrolment",IF(L2&lt;100,"1",IF(L2&lt;300,"2",IF(L2&lt;600,"3",IF(L2&lt;1000,"4","5")))))</calculatedColumnFormula>
    </tableColumn>
    <tableColumn id="21" xr3:uid="{00000000-0010-0000-0000-000015000000}" name="Latitude" dataDxfId="785"/>
    <tableColumn id="22" xr3:uid="{00000000-0010-0000-0000-000016000000}" name="Longitude" dataDxfId="78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31"/>
  <sheetViews>
    <sheetView showGridLines="0" topLeftCell="A22" zoomScaleNormal="100" workbookViewId="0">
      <selection activeCell="C26" sqref="C26"/>
    </sheetView>
  </sheetViews>
  <sheetFormatPr defaultColWidth="8.6328125" defaultRowHeight="14.5" x14ac:dyDescent="0.35"/>
  <cols>
    <col min="1" max="1" width="2" customWidth="1"/>
    <col min="2" max="2" width="34" customWidth="1"/>
    <col min="3" max="3" width="88" customWidth="1"/>
  </cols>
  <sheetData>
    <row r="1" spans="2:3" ht="15" thickBot="1" x14ac:dyDescent="0.4"/>
    <row r="2" spans="2:3" ht="20" x14ac:dyDescent="0.4">
      <c r="B2" s="7" t="s">
        <v>6074</v>
      </c>
      <c r="C2" s="8"/>
    </row>
    <row r="3" spans="2:3" ht="15" thickBot="1" x14ac:dyDescent="0.4">
      <c r="B3" s="14" t="s">
        <v>6073</v>
      </c>
      <c r="C3" s="15"/>
    </row>
    <row r="4" spans="2:3" x14ac:dyDescent="0.35">
      <c r="B4" s="10"/>
      <c r="C4" s="9"/>
    </row>
    <row r="5" spans="2:3" ht="25" customHeight="1" x14ac:dyDescent="0.35">
      <c r="B5" s="57" t="s">
        <v>0</v>
      </c>
      <c r="C5" s="59" t="s">
        <v>1</v>
      </c>
    </row>
    <row r="6" spans="2:3" x14ac:dyDescent="0.35">
      <c r="B6" s="57"/>
      <c r="C6" s="59"/>
    </row>
    <row r="7" spans="2:3" x14ac:dyDescent="0.35">
      <c r="B7" s="57" t="s">
        <v>2</v>
      </c>
      <c r="C7" s="59" t="s">
        <v>3</v>
      </c>
    </row>
    <row r="8" spans="2:3" x14ac:dyDescent="0.35">
      <c r="B8" s="57"/>
      <c r="C8" s="59"/>
    </row>
    <row r="9" spans="2:3" ht="25" customHeight="1" x14ac:dyDescent="0.35">
      <c r="B9" s="57" t="s">
        <v>4</v>
      </c>
      <c r="C9" s="58" t="s">
        <v>6075</v>
      </c>
    </row>
    <row r="10" spans="2:3" x14ac:dyDescent="0.35">
      <c r="B10" s="57"/>
      <c r="C10" s="58"/>
    </row>
    <row r="11" spans="2:3" x14ac:dyDescent="0.35">
      <c r="B11" s="57"/>
      <c r="C11" s="58"/>
    </row>
    <row r="12" spans="2:3" ht="15.5" x14ac:dyDescent="0.35">
      <c r="B12" s="60" t="s">
        <v>5</v>
      </c>
      <c r="C12" s="61"/>
    </row>
    <row r="13" spans="2:3" x14ac:dyDescent="0.35">
      <c r="B13" s="17" t="s">
        <v>6</v>
      </c>
      <c r="C13" s="18" t="s">
        <v>7</v>
      </c>
    </row>
    <row r="14" spans="2:3" x14ac:dyDescent="0.35">
      <c r="B14" s="17" t="s">
        <v>8</v>
      </c>
      <c r="C14" s="18" t="s">
        <v>9</v>
      </c>
    </row>
    <row r="15" spans="2:3" x14ac:dyDescent="0.35">
      <c r="B15" s="17" t="s">
        <v>10</v>
      </c>
      <c r="C15" s="18" t="s">
        <v>11</v>
      </c>
    </row>
    <row r="16" spans="2:3" x14ac:dyDescent="0.35">
      <c r="B16" s="17" t="s">
        <v>12</v>
      </c>
      <c r="C16" s="18" t="s">
        <v>13</v>
      </c>
    </row>
    <row r="17" spans="2:3" x14ac:dyDescent="0.35">
      <c r="B17" s="17" t="s">
        <v>14</v>
      </c>
      <c r="C17" s="18" t="s">
        <v>15</v>
      </c>
    </row>
    <row r="18" spans="2:3" x14ac:dyDescent="0.35">
      <c r="B18" s="17" t="s">
        <v>16</v>
      </c>
      <c r="C18" s="18" t="s">
        <v>17</v>
      </c>
    </row>
    <row r="19" spans="2:3" ht="25" x14ac:dyDescent="0.35">
      <c r="B19" s="17" t="s">
        <v>18</v>
      </c>
      <c r="C19" s="19" t="s">
        <v>6077</v>
      </c>
    </row>
    <row r="20" spans="2:3" ht="25" x14ac:dyDescent="0.35">
      <c r="B20" s="17" t="s">
        <v>19</v>
      </c>
      <c r="C20" s="19" t="s">
        <v>6078</v>
      </c>
    </row>
    <row r="21" spans="2:3" x14ac:dyDescent="0.35">
      <c r="B21" s="17" t="s">
        <v>20</v>
      </c>
      <c r="C21" s="18" t="s">
        <v>21</v>
      </c>
    </row>
    <row r="22" spans="2:3" ht="38.5" x14ac:dyDescent="0.35">
      <c r="B22" s="17" t="s">
        <v>22</v>
      </c>
      <c r="C22" s="19" t="s">
        <v>6076</v>
      </c>
    </row>
    <row r="23" spans="2:3" x14ac:dyDescent="0.35">
      <c r="B23" s="17" t="s">
        <v>23</v>
      </c>
      <c r="C23" s="19" t="s">
        <v>6079</v>
      </c>
    </row>
    <row r="24" spans="2:3" ht="15.5" customHeight="1" x14ac:dyDescent="0.35">
      <c r="B24" s="55" t="s">
        <v>6081</v>
      </c>
      <c r="C24" s="12"/>
    </row>
    <row r="25" spans="2:3" ht="25" x14ac:dyDescent="0.35">
      <c r="B25" s="56"/>
      <c r="C25" s="11" t="s">
        <v>24</v>
      </c>
    </row>
    <row r="26" spans="2:3" ht="25" customHeight="1" x14ac:dyDescent="0.35">
      <c r="B26" s="56"/>
      <c r="C26" s="11" t="s">
        <v>25</v>
      </c>
    </row>
    <row r="27" spans="2:3" ht="25" customHeight="1" x14ac:dyDescent="0.35">
      <c r="B27" s="56"/>
      <c r="C27" s="11" t="s">
        <v>26</v>
      </c>
    </row>
    <row r="28" spans="2:3" ht="25" customHeight="1" x14ac:dyDescent="0.35">
      <c r="B28" s="56"/>
      <c r="C28" s="13" t="s">
        <v>6080</v>
      </c>
    </row>
    <row r="29" spans="2:3" ht="25" customHeight="1" x14ac:dyDescent="0.35">
      <c r="B29" s="56"/>
      <c r="C29" s="11" t="s">
        <v>27</v>
      </c>
    </row>
    <row r="30" spans="2:3" ht="14.5" customHeight="1" x14ac:dyDescent="0.35">
      <c r="B30" s="56"/>
      <c r="C30" s="12"/>
    </row>
    <row r="31" spans="2:3" ht="25.5" thickBot="1" x14ac:dyDescent="0.4">
      <c r="B31" s="20" t="s">
        <v>28</v>
      </c>
      <c r="C31" s="21" t="s">
        <v>29</v>
      </c>
    </row>
  </sheetData>
  <mergeCells count="8">
    <mergeCell ref="B5:B6"/>
    <mergeCell ref="C5:C6"/>
    <mergeCell ref="B12:C12"/>
    <mergeCell ref="B24:B30"/>
    <mergeCell ref="B9:B11"/>
    <mergeCell ref="C9:C11"/>
    <mergeCell ref="B7:B8"/>
    <mergeCell ref="C7:C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E0D5-DFF9-47F4-8704-3CF93B2BC4A3}">
  <dimension ref="A1"/>
  <sheetViews>
    <sheetView showGridLines="0" tabSelected="1" topLeftCell="A6" zoomScale="61" workbookViewId="0">
      <selection activeCell="V47" sqref="V4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211"/>
  <sheetViews>
    <sheetView showGridLines="0" zoomScaleNormal="100" workbookViewId="0">
      <pane ySplit="1" topLeftCell="A2" activePane="bottomLeft" state="frozen"/>
      <selection pane="bottomLeft" activeCell="C7" sqref="C7"/>
    </sheetView>
  </sheetViews>
  <sheetFormatPr defaultColWidth="8.6328125" defaultRowHeight="14.5" x14ac:dyDescent="0.35"/>
  <cols>
    <col min="1" max="1" width="16.453125" bestFit="1" customWidth="1"/>
    <col min="2" max="2" width="55" bestFit="1" customWidth="1"/>
    <col min="3" max="3" width="21.81640625" bestFit="1" customWidth="1"/>
    <col min="4" max="4" width="21.54296875" bestFit="1" customWidth="1"/>
    <col min="5" max="5" width="35.54296875" bestFit="1" customWidth="1"/>
    <col min="6" max="6" width="21.6328125" bestFit="1" customWidth="1"/>
    <col min="7" max="7" width="21.81640625" bestFit="1" customWidth="1"/>
    <col min="8" max="8" width="38.26953125" bestFit="1" customWidth="1"/>
    <col min="9" max="9" width="28.08984375" bestFit="1" customWidth="1"/>
    <col min="10" max="10" width="19.90625" bestFit="1" customWidth="1"/>
    <col min="11" max="11" width="18.36328125" bestFit="1" customWidth="1"/>
    <col min="12" max="12" width="18.7265625" bestFit="1" customWidth="1"/>
    <col min="13" max="13" width="18.6328125" bestFit="1" customWidth="1"/>
    <col min="14" max="15" width="23.08984375" bestFit="1" customWidth="1"/>
    <col min="16" max="16" width="15.26953125" bestFit="1" customWidth="1"/>
    <col min="17" max="17" width="16.1796875" bestFit="1" customWidth="1"/>
    <col min="18" max="18" width="15.90625" bestFit="1" customWidth="1"/>
    <col min="19" max="19" width="15.08984375" bestFit="1" customWidth="1"/>
    <col min="20" max="20" width="19.54296875" bestFit="1" customWidth="1"/>
    <col min="21" max="21" width="12.453125" bestFit="1" customWidth="1"/>
    <col min="22" max="22" width="14" bestFit="1" customWidth="1"/>
  </cols>
  <sheetData>
    <row r="1" spans="1:22" x14ac:dyDescent="0.35">
      <c r="A1" s="26" t="s">
        <v>30</v>
      </c>
      <c r="B1" s="27" t="s">
        <v>31</v>
      </c>
      <c r="C1" s="27" t="s">
        <v>32</v>
      </c>
      <c r="D1" s="27" t="s">
        <v>33</v>
      </c>
      <c r="E1" s="27" t="s">
        <v>34</v>
      </c>
      <c r="F1" s="27" t="s">
        <v>20</v>
      </c>
      <c r="G1" s="27" t="s">
        <v>35</v>
      </c>
      <c r="H1" s="27" t="s">
        <v>36</v>
      </c>
      <c r="I1" s="27" t="s">
        <v>37</v>
      </c>
      <c r="J1" s="28" t="s">
        <v>38</v>
      </c>
      <c r="K1" s="47" t="s">
        <v>39</v>
      </c>
      <c r="L1" s="48" t="s">
        <v>6</v>
      </c>
      <c r="M1" s="48" t="s">
        <v>8</v>
      </c>
      <c r="N1" s="48" t="s">
        <v>10</v>
      </c>
      <c r="O1" s="48" t="s">
        <v>12</v>
      </c>
      <c r="P1" s="48" t="s">
        <v>14</v>
      </c>
      <c r="Q1" s="48" t="s">
        <v>16</v>
      </c>
      <c r="R1" s="48" t="s">
        <v>18</v>
      </c>
      <c r="S1" s="48" t="s">
        <v>19</v>
      </c>
      <c r="T1" s="48" t="s">
        <v>22</v>
      </c>
      <c r="U1" s="48" t="s">
        <v>40</v>
      </c>
      <c r="V1" s="49" t="s">
        <v>41</v>
      </c>
    </row>
    <row r="2" spans="1:22" x14ac:dyDescent="0.35">
      <c r="A2" s="22" t="s">
        <v>42</v>
      </c>
      <c r="B2" s="1" t="s">
        <v>43</v>
      </c>
      <c r="C2" s="1" t="s">
        <v>44</v>
      </c>
      <c r="D2" s="1" t="s">
        <v>45</v>
      </c>
      <c r="E2" s="1" t="s">
        <v>46</v>
      </c>
      <c r="F2" s="1" t="s">
        <v>47</v>
      </c>
      <c r="G2" s="1">
        <f t="shared" ref="G2:G65" si="0">IF(F2="Major Cities of Australia",1,IF(F2="Inner Regional Australia",2,IF(F2="Outer Regional Australia",3,IF(F2="Remote Australia",4,IF(F2="Very Remote Australia",5,6)))))</f>
        <v>1</v>
      </c>
      <c r="H2" s="1" t="s">
        <v>48</v>
      </c>
      <c r="I2" s="1" t="s">
        <v>49</v>
      </c>
      <c r="J2" s="23" t="s">
        <v>50</v>
      </c>
      <c r="K2" s="2" t="s">
        <v>51</v>
      </c>
      <c r="L2" s="1">
        <v>368</v>
      </c>
      <c r="M2" s="1">
        <v>2</v>
      </c>
      <c r="N2" s="1" t="str">
        <f>IF(M2="","Suppressed","Published")</f>
        <v>Published</v>
      </c>
      <c r="O2" s="1">
        <f>IF(OR(M2="",L2=""),"",M2/100*L2)</f>
        <v>7.36</v>
      </c>
      <c r="P2" s="1">
        <v>37</v>
      </c>
      <c r="Q2" s="1">
        <v>1113</v>
      </c>
      <c r="R2" s="1" t="str">
        <f>IF(Q2="","No ICSEA",IF(Q2&lt;900,"1",IF(Q2&lt;1000,"2",IF(Q2&lt;1100,"3","4"))))</f>
        <v>4</v>
      </c>
      <c r="S2" s="1">
        <v>27</v>
      </c>
      <c r="T2" s="1" t="str">
        <f t="shared" ref="T2:T65" si="1">IF(L2="","No enrolment",IF(L2&lt;100,"1",IF(L2&lt;300,"2",IF(L2&lt;600,"3",IF(L2&lt;1000,"4","5")))))</f>
        <v>3</v>
      </c>
      <c r="U2" s="1">
        <v>-33.852727999999999</v>
      </c>
      <c r="V2" s="3">
        <v>151.13120599999999</v>
      </c>
    </row>
    <row r="3" spans="1:22" x14ac:dyDescent="0.35">
      <c r="A3" s="22" t="s">
        <v>52</v>
      </c>
      <c r="B3" s="1" t="s">
        <v>53</v>
      </c>
      <c r="C3" s="1" t="s">
        <v>54</v>
      </c>
      <c r="D3" s="1" t="s">
        <v>55</v>
      </c>
      <c r="E3" s="1" t="s">
        <v>56</v>
      </c>
      <c r="F3" s="1" t="s">
        <v>57</v>
      </c>
      <c r="G3" s="1">
        <f t="shared" si="0"/>
        <v>2</v>
      </c>
      <c r="H3" s="1" t="s">
        <v>58</v>
      </c>
      <c r="I3" s="1" t="s">
        <v>49</v>
      </c>
      <c r="J3" s="23" t="s">
        <v>50</v>
      </c>
      <c r="K3" s="2" t="s">
        <v>51</v>
      </c>
      <c r="L3" s="1">
        <v>151</v>
      </c>
      <c r="M3" s="1">
        <v>29</v>
      </c>
      <c r="N3" s="1" t="str">
        <f t="shared" ref="N3:N66" si="2">IF(M3="","Suppressed","Published")</f>
        <v>Published</v>
      </c>
      <c r="O3" s="1">
        <f t="shared" ref="O3:O65" si="3">IF(OR(M3="",L3=""),"",M3/100*L3)</f>
        <v>43.79</v>
      </c>
      <c r="P3" s="1"/>
      <c r="Q3" s="1">
        <v>890</v>
      </c>
      <c r="R3" s="1" t="str">
        <f t="shared" ref="R3:R66" si="4">IF(Q3="","No ICSEA",IF(Q3&lt;900,"1",IF(Q3&lt;1000,"2",IF(Q3&lt;1100,"3","4"))))</f>
        <v>1</v>
      </c>
      <c r="S3" s="1">
        <v>128</v>
      </c>
      <c r="T3" s="1" t="str">
        <f t="shared" si="1"/>
        <v>2</v>
      </c>
      <c r="U3" s="1">
        <v>-32.166097999999998</v>
      </c>
      <c r="V3" s="3">
        <v>150.88809499999999</v>
      </c>
    </row>
    <row r="4" spans="1:22" x14ac:dyDescent="0.35">
      <c r="A4" s="22" t="s">
        <v>59</v>
      </c>
      <c r="B4" s="1" t="s">
        <v>60</v>
      </c>
      <c r="C4" s="1" t="s">
        <v>61</v>
      </c>
      <c r="D4" s="1" t="s">
        <v>62</v>
      </c>
      <c r="E4" s="1" t="s">
        <v>56</v>
      </c>
      <c r="F4" s="1" t="s">
        <v>47</v>
      </c>
      <c r="G4" s="1">
        <f t="shared" si="0"/>
        <v>1</v>
      </c>
      <c r="H4" s="1" t="s">
        <v>63</v>
      </c>
      <c r="I4" s="1" t="s">
        <v>49</v>
      </c>
      <c r="J4" s="23" t="s">
        <v>50</v>
      </c>
      <c r="K4" s="2" t="s">
        <v>51</v>
      </c>
      <c r="L4" s="1">
        <v>257</v>
      </c>
      <c r="M4" s="1">
        <v>21</v>
      </c>
      <c r="N4" s="1" t="str">
        <f t="shared" si="2"/>
        <v>Published</v>
      </c>
      <c r="O4" s="1">
        <f t="shared" si="3"/>
        <v>53.97</v>
      </c>
      <c r="P4" s="1">
        <v>3</v>
      </c>
      <c r="Q4" s="1">
        <v>917</v>
      </c>
      <c r="R4" s="1" t="str">
        <f t="shared" si="4"/>
        <v>2</v>
      </c>
      <c r="S4" s="1">
        <v>135</v>
      </c>
      <c r="T4" s="1" t="str">
        <f t="shared" si="1"/>
        <v>2</v>
      </c>
      <c r="U4" s="1">
        <v>-32.808920000000001</v>
      </c>
      <c r="V4" s="3">
        <v>151.42649900000001</v>
      </c>
    </row>
    <row r="5" spans="1:22" x14ac:dyDescent="0.35">
      <c r="A5" s="22" t="s">
        <v>64</v>
      </c>
      <c r="B5" s="1" t="s">
        <v>65</v>
      </c>
      <c r="C5" s="1" t="s">
        <v>66</v>
      </c>
      <c r="D5" s="1" t="s">
        <v>67</v>
      </c>
      <c r="E5" s="1" t="s">
        <v>68</v>
      </c>
      <c r="F5" s="1" t="s">
        <v>69</v>
      </c>
      <c r="G5" s="1">
        <f t="shared" si="0"/>
        <v>3</v>
      </c>
      <c r="H5" s="1" t="s">
        <v>70</v>
      </c>
      <c r="I5" s="1" t="s">
        <v>49</v>
      </c>
      <c r="J5" s="23" t="s">
        <v>50</v>
      </c>
      <c r="K5" s="2" t="s">
        <v>51</v>
      </c>
      <c r="L5" s="1">
        <v>15</v>
      </c>
      <c r="M5" s="1"/>
      <c r="N5" s="1" t="str">
        <f t="shared" si="2"/>
        <v>Suppressed</v>
      </c>
      <c r="O5" s="1" t="str">
        <f t="shared" si="3"/>
        <v/>
      </c>
      <c r="P5" s="1">
        <v>0</v>
      </c>
      <c r="Q5" s="1">
        <v>907</v>
      </c>
      <c r="R5" s="1" t="str">
        <f t="shared" si="4"/>
        <v>2</v>
      </c>
      <c r="S5" s="1">
        <v>157</v>
      </c>
      <c r="T5" s="1" t="str">
        <f t="shared" si="1"/>
        <v>1</v>
      </c>
      <c r="U5" s="1">
        <v>-35.993291999999997</v>
      </c>
      <c r="V5" s="3">
        <v>148.77672100000001</v>
      </c>
    </row>
    <row r="6" spans="1:22" x14ac:dyDescent="0.35">
      <c r="A6" s="22" t="s">
        <v>71</v>
      </c>
      <c r="B6" s="1" t="s">
        <v>72</v>
      </c>
      <c r="C6" s="1" t="s">
        <v>73</v>
      </c>
      <c r="D6" s="1" t="s">
        <v>74</v>
      </c>
      <c r="E6" s="1" t="s">
        <v>75</v>
      </c>
      <c r="F6" s="1" t="s">
        <v>47</v>
      </c>
      <c r="G6" s="1">
        <f t="shared" si="0"/>
        <v>1</v>
      </c>
      <c r="H6" s="1" t="s">
        <v>63</v>
      </c>
      <c r="I6" s="1" t="s">
        <v>49</v>
      </c>
      <c r="J6" s="23" t="s">
        <v>50</v>
      </c>
      <c r="K6" s="2" t="s">
        <v>51</v>
      </c>
      <c r="L6" s="1">
        <v>439</v>
      </c>
      <c r="M6" s="1">
        <v>9</v>
      </c>
      <c r="N6" s="1" t="str">
        <f t="shared" si="2"/>
        <v>Published</v>
      </c>
      <c r="O6" s="1">
        <f t="shared" si="3"/>
        <v>39.51</v>
      </c>
      <c r="P6" s="1">
        <v>19</v>
      </c>
      <c r="Q6" s="1">
        <v>1078</v>
      </c>
      <c r="R6" s="1" t="str">
        <f t="shared" si="4"/>
        <v>3</v>
      </c>
      <c r="S6" s="1">
        <v>37</v>
      </c>
      <c r="T6" s="1" t="str">
        <f t="shared" si="1"/>
        <v>3</v>
      </c>
      <c r="U6" s="1">
        <v>-32.932212999999997</v>
      </c>
      <c r="V6" s="3">
        <v>151.73097100000001</v>
      </c>
    </row>
    <row r="7" spans="1:22" x14ac:dyDescent="0.35">
      <c r="A7" s="22" t="s">
        <v>76</v>
      </c>
      <c r="B7" s="1" t="s">
        <v>77</v>
      </c>
      <c r="C7" s="1" t="s">
        <v>78</v>
      </c>
      <c r="D7" s="1" t="s">
        <v>79</v>
      </c>
      <c r="E7" s="1" t="s">
        <v>80</v>
      </c>
      <c r="F7" s="1" t="s">
        <v>57</v>
      </c>
      <c r="G7" s="1">
        <f t="shared" si="0"/>
        <v>2</v>
      </c>
      <c r="H7" s="1" t="s">
        <v>70</v>
      </c>
      <c r="I7" s="1" t="s">
        <v>49</v>
      </c>
      <c r="J7" s="23" t="s">
        <v>50</v>
      </c>
      <c r="K7" s="2" t="s">
        <v>51</v>
      </c>
      <c r="L7" s="1">
        <v>24</v>
      </c>
      <c r="M7" s="1"/>
      <c r="N7" s="1" t="str">
        <f t="shared" si="2"/>
        <v>Suppressed</v>
      </c>
      <c r="O7" s="1" t="str">
        <f t="shared" si="3"/>
        <v/>
      </c>
      <c r="P7" s="1"/>
      <c r="Q7" s="1">
        <v>929</v>
      </c>
      <c r="R7" s="1" t="str">
        <f t="shared" si="4"/>
        <v>2</v>
      </c>
      <c r="S7" s="1">
        <v>139</v>
      </c>
      <c r="T7" s="1" t="str">
        <f t="shared" si="1"/>
        <v>1</v>
      </c>
      <c r="U7" s="1">
        <v>-35.312333000000002</v>
      </c>
      <c r="V7" s="3">
        <v>148.062802</v>
      </c>
    </row>
    <row r="8" spans="1:22" x14ac:dyDescent="0.35">
      <c r="A8" s="22" t="s">
        <v>81</v>
      </c>
      <c r="B8" s="1" t="s">
        <v>82</v>
      </c>
      <c r="C8" s="1" t="s">
        <v>83</v>
      </c>
      <c r="D8" s="1" t="s">
        <v>84</v>
      </c>
      <c r="E8" s="1" t="s">
        <v>85</v>
      </c>
      <c r="F8" s="1" t="s">
        <v>47</v>
      </c>
      <c r="G8" s="1">
        <f t="shared" si="0"/>
        <v>1</v>
      </c>
      <c r="H8" s="1" t="s">
        <v>86</v>
      </c>
      <c r="I8" s="1" t="s">
        <v>49</v>
      </c>
      <c r="J8" s="23" t="s">
        <v>50</v>
      </c>
      <c r="K8" s="2" t="s">
        <v>51</v>
      </c>
      <c r="L8" s="1">
        <v>516</v>
      </c>
      <c r="M8" s="1">
        <v>12</v>
      </c>
      <c r="N8" s="1" t="str">
        <f t="shared" si="2"/>
        <v>Published</v>
      </c>
      <c r="O8" s="1">
        <f t="shared" si="3"/>
        <v>61.919999999999995</v>
      </c>
      <c r="P8" s="1">
        <v>9</v>
      </c>
      <c r="Q8" s="1">
        <v>972</v>
      </c>
      <c r="R8" s="1" t="str">
        <f t="shared" si="4"/>
        <v>2</v>
      </c>
      <c r="S8" s="1">
        <v>103</v>
      </c>
      <c r="T8" s="1" t="str">
        <f t="shared" si="1"/>
        <v>3</v>
      </c>
      <c r="U8" s="1">
        <v>-34.570256999999998</v>
      </c>
      <c r="V8" s="3">
        <v>150.77261999999999</v>
      </c>
    </row>
    <row r="9" spans="1:22" x14ac:dyDescent="0.35">
      <c r="A9" s="22" t="s">
        <v>87</v>
      </c>
      <c r="B9" s="1" t="s">
        <v>88</v>
      </c>
      <c r="C9" s="1" t="s">
        <v>89</v>
      </c>
      <c r="D9" s="1" t="s">
        <v>90</v>
      </c>
      <c r="E9" s="1" t="s">
        <v>91</v>
      </c>
      <c r="F9" s="1" t="s">
        <v>69</v>
      </c>
      <c r="G9" s="1">
        <f t="shared" si="0"/>
        <v>3</v>
      </c>
      <c r="H9" s="1" t="s">
        <v>92</v>
      </c>
      <c r="I9" s="1" t="s">
        <v>49</v>
      </c>
      <c r="J9" s="23" t="s">
        <v>50</v>
      </c>
      <c r="K9" s="2" t="s">
        <v>51</v>
      </c>
      <c r="L9" s="1">
        <v>159</v>
      </c>
      <c r="M9" s="1">
        <v>10</v>
      </c>
      <c r="N9" s="1" t="str">
        <f t="shared" si="2"/>
        <v>Published</v>
      </c>
      <c r="O9" s="1">
        <f t="shared" si="3"/>
        <v>15.9</v>
      </c>
      <c r="P9" s="1">
        <v>4</v>
      </c>
      <c r="Q9" s="1">
        <v>1003</v>
      </c>
      <c r="R9" s="1" t="str">
        <f t="shared" si="4"/>
        <v>3</v>
      </c>
      <c r="S9" s="1">
        <v>82</v>
      </c>
      <c r="T9" s="1" t="str">
        <f t="shared" si="1"/>
        <v>2</v>
      </c>
      <c r="U9" s="1">
        <v>-31.203780999999999</v>
      </c>
      <c r="V9" s="3">
        <v>150.915629</v>
      </c>
    </row>
    <row r="10" spans="1:22" x14ac:dyDescent="0.35">
      <c r="A10" s="22" t="s">
        <v>93</v>
      </c>
      <c r="B10" s="1" t="s">
        <v>94</v>
      </c>
      <c r="C10" s="1" t="s">
        <v>95</v>
      </c>
      <c r="D10" s="1" t="s">
        <v>95</v>
      </c>
      <c r="E10" s="1" t="s">
        <v>96</v>
      </c>
      <c r="F10" s="1" t="s">
        <v>57</v>
      </c>
      <c r="G10" s="1">
        <f t="shared" si="0"/>
        <v>2</v>
      </c>
      <c r="H10" s="1" t="s">
        <v>70</v>
      </c>
      <c r="I10" s="1" t="s">
        <v>49</v>
      </c>
      <c r="J10" s="23" t="s">
        <v>50</v>
      </c>
      <c r="K10" s="2" t="s">
        <v>51</v>
      </c>
      <c r="L10" s="1">
        <v>637</v>
      </c>
      <c r="M10" s="1">
        <v>5</v>
      </c>
      <c r="N10" s="1" t="str">
        <f t="shared" si="2"/>
        <v>Published</v>
      </c>
      <c r="O10" s="1">
        <f t="shared" si="3"/>
        <v>31.85</v>
      </c>
      <c r="P10" s="1">
        <v>14</v>
      </c>
      <c r="Q10" s="1">
        <v>1049</v>
      </c>
      <c r="R10" s="1" t="str">
        <f t="shared" si="4"/>
        <v>3</v>
      </c>
      <c r="S10" s="1">
        <v>56</v>
      </c>
      <c r="T10" s="1" t="str">
        <f t="shared" si="1"/>
        <v>4</v>
      </c>
      <c r="U10" s="1">
        <v>-36.082453999999998</v>
      </c>
      <c r="V10" s="3">
        <v>146.919253</v>
      </c>
    </row>
    <row r="11" spans="1:22" x14ac:dyDescent="0.35">
      <c r="A11" s="22" t="s">
        <v>97</v>
      </c>
      <c r="B11" s="1" t="s">
        <v>98</v>
      </c>
      <c r="C11" s="1" t="s">
        <v>95</v>
      </c>
      <c r="D11" s="1" t="s">
        <v>95</v>
      </c>
      <c r="E11" s="1" t="s">
        <v>96</v>
      </c>
      <c r="F11" s="1" t="s">
        <v>57</v>
      </c>
      <c r="G11" s="1">
        <f t="shared" si="0"/>
        <v>2</v>
      </c>
      <c r="H11" s="1" t="s">
        <v>70</v>
      </c>
      <c r="I11" s="1" t="s">
        <v>49</v>
      </c>
      <c r="J11" s="23" t="s">
        <v>50</v>
      </c>
      <c r="K11" s="2" t="s">
        <v>51</v>
      </c>
      <c r="L11" s="1">
        <v>165</v>
      </c>
      <c r="M11" s="1">
        <v>26</v>
      </c>
      <c r="N11" s="1" t="str">
        <f t="shared" si="2"/>
        <v>Published</v>
      </c>
      <c r="O11" s="1">
        <f t="shared" si="3"/>
        <v>42.9</v>
      </c>
      <c r="P11" s="1">
        <v>6</v>
      </c>
      <c r="Q11" s="1">
        <v>918</v>
      </c>
      <c r="R11" s="1" t="str">
        <f t="shared" si="4"/>
        <v>2</v>
      </c>
      <c r="S11" s="1">
        <v>134</v>
      </c>
      <c r="T11" s="1" t="str">
        <f t="shared" si="1"/>
        <v>2</v>
      </c>
      <c r="U11" s="1">
        <v>-36.077829999999999</v>
      </c>
      <c r="V11" s="3">
        <v>146.89554799999999</v>
      </c>
    </row>
    <row r="12" spans="1:22" x14ac:dyDescent="0.35">
      <c r="A12" s="22" t="s">
        <v>99</v>
      </c>
      <c r="B12" s="1" t="s">
        <v>100</v>
      </c>
      <c r="C12" s="1" t="s">
        <v>101</v>
      </c>
      <c r="D12" s="1" t="s">
        <v>101</v>
      </c>
      <c r="E12" s="1" t="s">
        <v>102</v>
      </c>
      <c r="F12" s="1" t="s">
        <v>69</v>
      </c>
      <c r="G12" s="1">
        <f t="shared" si="0"/>
        <v>3</v>
      </c>
      <c r="H12" s="1" t="s">
        <v>70</v>
      </c>
      <c r="I12" s="1" t="s">
        <v>49</v>
      </c>
      <c r="J12" s="23" t="s">
        <v>50</v>
      </c>
      <c r="K12" s="2" t="s">
        <v>51</v>
      </c>
      <c r="L12" s="1">
        <v>255</v>
      </c>
      <c r="M12" s="1">
        <v>32</v>
      </c>
      <c r="N12" s="1" t="str">
        <f t="shared" si="2"/>
        <v>Published</v>
      </c>
      <c r="O12" s="1">
        <f t="shared" si="3"/>
        <v>81.600000000000009</v>
      </c>
      <c r="P12" s="1">
        <v>7</v>
      </c>
      <c r="Q12" s="1">
        <v>875</v>
      </c>
      <c r="R12" s="1" t="str">
        <f t="shared" si="4"/>
        <v>1</v>
      </c>
      <c r="S12" s="1">
        <v>153</v>
      </c>
      <c r="T12" s="1" t="str">
        <f t="shared" si="1"/>
        <v>2</v>
      </c>
      <c r="U12" s="1">
        <v>-31.982216999999999</v>
      </c>
      <c r="V12" s="3">
        <v>141.46244300000001</v>
      </c>
    </row>
    <row r="13" spans="1:22" x14ac:dyDescent="0.35">
      <c r="A13" s="22" t="s">
        <v>103</v>
      </c>
      <c r="B13" s="1" t="s">
        <v>104</v>
      </c>
      <c r="C13" s="1" t="s">
        <v>105</v>
      </c>
      <c r="D13" s="1" t="s">
        <v>106</v>
      </c>
      <c r="E13" s="1" t="s">
        <v>107</v>
      </c>
      <c r="F13" s="1" t="s">
        <v>57</v>
      </c>
      <c r="G13" s="1">
        <f t="shared" si="0"/>
        <v>2</v>
      </c>
      <c r="H13" s="1" t="s">
        <v>92</v>
      </c>
      <c r="I13" s="1" t="s">
        <v>49</v>
      </c>
      <c r="J13" s="23" t="s">
        <v>50</v>
      </c>
      <c r="K13" s="2" t="s">
        <v>51</v>
      </c>
      <c r="L13" s="1">
        <v>280</v>
      </c>
      <c r="M13" s="1">
        <v>11</v>
      </c>
      <c r="N13" s="1" t="str">
        <f t="shared" si="2"/>
        <v>Published</v>
      </c>
      <c r="O13" s="1">
        <f t="shared" si="3"/>
        <v>30.8</v>
      </c>
      <c r="P13" s="1">
        <v>12</v>
      </c>
      <c r="Q13" s="1">
        <v>1001</v>
      </c>
      <c r="R13" s="1" t="str">
        <f t="shared" si="4"/>
        <v>3</v>
      </c>
      <c r="S13" s="1">
        <v>79</v>
      </c>
      <c r="T13" s="1" t="str">
        <f t="shared" si="1"/>
        <v>2</v>
      </c>
      <c r="U13" s="1">
        <v>-28.838470999999998</v>
      </c>
      <c r="V13" s="3">
        <v>153.43817200000001</v>
      </c>
    </row>
    <row r="14" spans="1:22" x14ac:dyDescent="0.35">
      <c r="A14" s="22" t="s">
        <v>108</v>
      </c>
      <c r="B14" s="1" t="s">
        <v>109</v>
      </c>
      <c r="C14" s="1" t="s">
        <v>110</v>
      </c>
      <c r="D14" s="1" t="s">
        <v>111</v>
      </c>
      <c r="E14" s="1" t="s">
        <v>56</v>
      </c>
      <c r="F14" s="1" t="s">
        <v>57</v>
      </c>
      <c r="G14" s="1">
        <f t="shared" si="0"/>
        <v>2</v>
      </c>
      <c r="H14" s="1" t="s">
        <v>63</v>
      </c>
      <c r="I14" s="1" t="s">
        <v>49</v>
      </c>
      <c r="J14" s="23" t="s">
        <v>50</v>
      </c>
      <c r="K14" s="2" t="s">
        <v>51</v>
      </c>
      <c r="L14" s="1">
        <v>309</v>
      </c>
      <c r="M14" s="1">
        <v>15</v>
      </c>
      <c r="N14" s="1" t="str">
        <f t="shared" si="2"/>
        <v>Published</v>
      </c>
      <c r="O14" s="1">
        <f t="shared" si="3"/>
        <v>46.35</v>
      </c>
      <c r="P14" s="1">
        <v>5</v>
      </c>
      <c r="Q14" s="1">
        <v>962</v>
      </c>
      <c r="R14" s="1" t="str">
        <f t="shared" si="4"/>
        <v>2</v>
      </c>
      <c r="S14" s="1">
        <v>106</v>
      </c>
      <c r="T14" s="1" t="str">
        <f t="shared" si="1"/>
        <v>3</v>
      </c>
      <c r="U14" s="1">
        <v>-32.77637</v>
      </c>
      <c r="V14" s="3">
        <v>152.089912</v>
      </c>
    </row>
    <row r="15" spans="1:22" x14ac:dyDescent="0.35">
      <c r="A15" s="22" t="s">
        <v>112</v>
      </c>
      <c r="B15" s="1" t="s">
        <v>113</v>
      </c>
      <c r="C15" s="1" t="s">
        <v>114</v>
      </c>
      <c r="D15" s="1" t="s">
        <v>115</v>
      </c>
      <c r="E15" s="1" t="s">
        <v>46</v>
      </c>
      <c r="F15" s="1" t="s">
        <v>47</v>
      </c>
      <c r="G15" s="1">
        <f t="shared" si="0"/>
        <v>1</v>
      </c>
      <c r="H15" s="1" t="s">
        <v>48</v>
      </c>
      <c r="I15" s="1" t="s">
        <v>49</v>
      </c>
      <c r="J15" s="23" t="s">
        <v>50</v>
      </c>
      <c r="K15" s="2" t="s">
        <v>51</v>
      </c>
      <c r="L15" s="1">
        <v>363</v>
      </c>
      <c r="M15" s="1">
        <v>2</v>
      </c>
      <c r="N15" s="1" t="str">
        <f t="shared" si="2"/>
        <v>Published</v>
      </c>
      <c r="O15" s="1">
        <f t="shared" si="3"/>
        <v>7.26</v>
      </c>
      <c r="P15" s="1">
        <v>31</v>
      </c>
      <c r="Q15" s="1">
        <v>1145</v>
      </c>
      <c r="R15" s="1" t="str">
        <f t="shared" si="4"/>
        <v>4</v>
      </c>
      <c r="S15" s="1">
        <v>7</v>
      </c>
      <c r="T15" s="1" t="str">
        <f t="shared" si="1"/>
        <v>3</v>
      </c>
      <c r="U15" s="1">
        <v>-33.885781999999999</v>
      </c>
      <c r="V15" s="3">
        <v>151.16959900000001</v>
      </c>
    </row>
    <row r="16" spans="1:22" x14ac:dyDescent="0.35">
      <c r="A16" s="22" t="s">
        <v>116</v>
      </c>
      <c r="B16" s="1" t="s">
        <v>117</v>
      </c>
      <c r="C16" s="1" t="s">
        <v>114</v>
      </c>
      <c r="D16" s="1" t="s">
        <v>115</v>
      </c>
      <c r="E16" s="1" t="s">
        <v>46</v>
      </c>
      <c r="F16" s="1" t="s">
        <v>47</v>
      </c>
      <c r="G16" s="1">
        <f t="shared" si="0"/>
        <v>1</v>
      </c>
      <c r="H16" s="1" t="s">
        <v>48</v>
      </c>
      <c r="I16" s="1" t="s">
        <v>49</v>
      </c>
      <c r="J16" s="23" t="s">
        <v>50</v>
      </c>
      <c r="K16" s="2" t="s">
        <v>51</v>
      </c>
      <c r="L16" s="1">
        <v>359</v>
      </c>
      <c r="M16" s="1">
        <v>3</v>
      </c>
      <c r="N16" s="1" t="str">
        <f t="shared" si="2"/>
        <v>Published</v>
      </c>
      <c r="O16" s="1">
        <f t="shared" si="3"/>
        <v>10.77</v>
      </c>
      <c r="P16" s="1">
        <v>25</v>
      </c>
      <c r="Q16" s="1">
        <v>1148</v>
      </c>
      <c r="R16" s="1" t="str">
        <f t="shared" si="4"/>
        <v>4</v>
      </c>
      <c r="S16" s="1">
        <v>5</v>
      </c>
      <c r="T16" s="1" t="str">
        <f t="shared" si="1"/>
        <v>3</v>
      </c>
      <c r="U16" s="1">
        <v>-33.877904999999998</v>
      </c>
      <c r="V16" s="3">
        <v>151.17183499999999</v>
      </c>
    </row>
    <row r="17" spans="1:22" x14ac:dyDescent="0.35">
      <c r="A17" s="22" t="s">
        <v>118</v>
      </c>
      <c r="B17" s="1" t="s">
        <v>119</v>
      </c>
      <c r="C17" s="1" t="s">
        <v>120</v>
      </c>
      <c r="D17" s="1" t="s">
        <v>121</v>
      </c>
      <c r="E17" s="1" t="s">
        <v>122</v>
      </c>
      <c r="F17" s="1" t="s">
        <v>57</v>
      </c>
      <c r="G17" s="1">
        <f t="shared" si="0"/>
        <v>2</v>
      </c>
      <c r="H17" s="1" t="s">
        <v>86</v>
      </c>
      <c r="I17" s="1" t="s">
        <v>49</v>
      </c>
      <c r="J17" s="23" t="s">
        <v>50</v>
      </c>
      <c r="K17" s="2" t="s">
        <v>51</v>
      </c>
      <c r="L17" s="1">
        <v>337</v>
      </c>
      <c r="M17" s="1">
        <v>8</v>
      </c>
      <c r="N17" s="1" t="str">
        <f t="shared" si="2"/>
        <v>Published</v>
      </c>
      <c r="O17" s="1">
        <f t="shared" si="3"/>
        <v>26.96</v>
      </c>
      <c r="P17" s="1">
        <v>9</v>
      </c>
      <c r="Q17" s="1">
        <v>989</v>
      </c>
      <c r="R17" s="1" t="str">
        <f t="shared" si="4"/>
        <v>2</v>
      </c>
      <c r="S17" s="1">
        <v>99</v>
      </c>
      <c r="T17" s="1" t="str">
        <f t="shared" si="1"/>
        <v>3</v>
      </c>
      <c r="U17" s="1">
        <v>-34.198416999999999</v>
      </c>
      <c r="V17" s="3">
        <v>150.78765999999999</v>
      </c>
    </row>
    <row r="18" spans="1:22" x14ac:dyDescent="0.35">
      <c r="A18" s="22" t="s">
        <v>123</v>
      </c>
      <c r="B18" s="1" t="s">
        <v>124</v>
      </c>
      <c r="C18" s="1" t="s">
        <v>125</v>
      </c>
      <c r="D18" s="1" t="s">
        <v>126</v>
      </c>
      <c r="E18" s="1" t="s">
        <v>127</v>
      </c>
      <c r="F18" s="1" t="s">
        <v>57</v>
      </c>
      <c r="G18" s="1">
        <f t="shared" si="0"/>
        <v>2</v>
      </c>
      <c r="H18" s="1" t="s">
        <v>63</v>
      </c>
      <c r="I18" s="1" t="s">
        <v>49</v>
      </c>
      <c r="J18" s="23" t="s">
        <v>50</v>
      </c>
      <c r="K18" s="2" t="s">
        <v>51</v>
      </c>
      <c r="L18" s="1">
        <v>60</v>
      </c>
      <c r="M18" s="1"/>
      <c r="N18" s="1" t="str">
        <f t="shared" si="2"/>
        <v>Suppressed</v>
      </c>
      <c r="O18" s="1" t="str">
        <f t="shared" si="3"/>
        <v/>
      </c>
      <c r="P18" s="1"/>
      <c r="Q18" s="1">
        <v>1065</v>
      </c>
      <c r="R18" s="1" t="str">
        <f t="shared" si="4"/>
        <v>3</v>
      </c>
      <c r="S18" s="1">
        <v>72</v>
      </c>
      <c r="T18" s="1" t="str">
        <f t="shared" si="1"/>
        <v>1</v>
      </c>
      <c r="U18" s="1">
        <v>-33.623486999999997</v>
      </c>
      <c r="V18" s="3">
        <v>151.05103099999999</v>
      </c>
    </row>
    <row r="19" spans="1:22" x14ac:dyDescent="0.35">
      <c r="A19" s="22" t="s">
        <v>128</v>
      </c>
      <c r="B19" s="1" t="s">
        <v>129</v>
      </c>
      <c r="C19" s="1" t="s">
        <v>130</v>
      </c>
      <c r="D19" s="1" t="s">
        <v>131</v>
      </c>
      <c r="E19" s="1" t="s">
        <v>80</v>
      </c>
      <c r="F19" s="1" t="s">
        <v>69</v>
      </c>
      <c r="G19" s="1">
        <f t="shared" si="0"/>
        <v>3</v>
      </c>
      <c r="H19" s="1" t="s">
        <v>70</v>
      </c>
      <c r="I19" s="1" t="s">
        <v>132</v>
      </c>
      <c r="J19" s="23" t="s">
        <v>50</v>
      </c>
      <c r="K19" s="2" t="s">
        <v>51</v>
      </c>
      <c r="L19" s="1">
        <v>65.8</v>
      </c>
      <c r="M19" s="1">
        <v>33</v>
      </c>
      <c r="N19" s="1" t="str">
        <f t="shared" si="2"/>
        <v>Published</v>
      </c>
      <c r="O19" s="1">
        <f t="shared" si="3"/>
        <v>21.713999999999999</v>
      </c>
      <c r="P19" s="1"/>
      <c r="Q19" s="1">
        <v>867</v>
      </c>
      <c r="R19" s="1" t="str">
        <f t="shared" si="4"/>
        <v>1</v>
      </c>
      <c r="S19" s="1">
        <v>165</v>
      </c>
      <c r="T19" s="1" t="str">
        <f t="shared" si="1"/>
        <v>1</v>
      </c>
      <c r="U19" s="1">
        <v>-34.354098</v>
      </c>
      <c r="V19" s="3">
        <v>146.90055699999999</v>
      </c>
    </row>
    <row r="20" spans="1:22" x14ac:dyDescent="0.35">
      <c r="A20" s="22" t="s">
        <v>133</v>
      </c>
      <c r="B20" s="1" t="s">
        <v>134</v>
      </c>
      <c r="C20" s="1" t="s">
        <v>135</v>
      </c>
      <c r="D20" s="1" t="s">
        <v>136</v>
      </c>
      <c r="E20" s="1" t="s">
        <v>80</v>
      </c>
      <c r="F20" s="1" t="s">
        <v>69</v>
      </c>
      <c r="G20" s="1">
        <f t="shared" si="0"/>
        <v>3</v>
      </c>
      <c r="H20" s="1" t="s">
        <v>70</v>
      </c>
      <c r="I20" s="1" t="s">
        <v>132</v>
      </c>
      <c r="J20" s="23" t="s">
        <v>50</v>
      </c>
      <c r="K20" s="2" t="s">
        <v>51</v>
      </c>
      <c r="L20" s="1">
        <v>122.8</v>
      </c>
      <c r="M20" s="1"/>
      <c r="N20" s="1" t="str">
        <f t="shared" si="2"/>
        <v>Suppressed</v>
      </c>
      <c r="O20" s="1" t="str">
        <f t="shared" si="3"/>
        <v/>
      </c>
      <c r="P20" s="1"/>
      <c r="Q20" s="1">
        <v>947</v>
      </c>
      <c r="R20" s="1" t="str">
        <f t="shared" si="4"/>
        <v>2</v>
      </c>
      <c r="S20" s="1">
        <v>114</v>
      </c>
      <c r="T20" s="1" t="str">
        <f t="shared" si="1"/>
        <v>2</v>
      </c>
      <c r="U20" s="1">
        <v>-34.346924999999999</v>
      </c>
      <c r="V20" s="3">
        <v>147.218018</v>
      </c>
    </row>
    <row r="21" spans="1:22" x14ac:dyDescent="0.35">
      <c r="A21" s="22" t="s">
        <v>137</v>
      </c>
      <c r="B21" s="1" t="s">
        <v>138</v>
      </c>
      <c r="C21" s="1" t="s">
        <v>139</v>
      </c>
      <c r="D21" s="1" t="s">
        <v>139</v>
      </c>
      <c r="E21" s="1" t="s">
        <v>91</v>
      </c>
      <c r="F21" s="1" t="s">
        <v>57</v>
      </c>
      <c r="G21" s="1">
        <f t="shared" si="0"/>
        <v>2</v>
      </c>
      <c r="H21" s="1" t="s">
        <v>92</v>
      </c>
      <c r="I21" s="1" t="s">
        <v>49</v>
      </c>
      <c r="J21" s="23" t="s">
        <v>50</v>
      </c>
      <c r="K21" s="2" t="s">
        <v>51</v>
      </c>
      <c r="L21" s="1">
        <v>349</v>
      </c>
      <c r="M21" s="1">
        <v>22</v>
      </c>
      <c r="N21" s="1" t="str">
        <f t="shared" si="2"/>
        <v>Published</v>
      </c>
      <c r="O21" s="1">
        <f t="shared" si="3"/>
        <v>76.78</v>
      </c>
      <c r="P21" s="1">
        <v>37</v>
      </c>
      <c r="Q21" s="1">
        <v>963</v>
      </c>
      <c r="R21" s="1" t="str">
        <f t="shared" si="4"/>
        <v>2</v>
      </c>
      <c r="S21" s="1">
        <v>97</v>
      </c>
      <c r="T21" s="1" t="str">
        <f t="shared" si="1"/>
        <v>3</v>
      </c>
      <c r="U21" s="1">
        <v>-30.519501000000002</v>
      </c>
      <c r="V21" s="3">
        <v>151.66405599999999</v>
      </c>
    </row>
    <row r="22" spans="1:22" x14ac:dyDescent="0.35">
      <c r="A22" s="22" t="s">
        <v>140</v>
      </c>
      <c r="B22" s="1" t="s">
        <v>141</v>
      </c>
      <c r="C22" s="1" t="s">
        <v>142</v>
      </c>
      <c r="D22" s="1" t="s">
        <v>139</v>
      </c>
      <c r="E22" s="1" t="s">
        <v>91</v>
      </c>
      <c r="F22" s="1" t="s">
        <v>57</v>
      </c>
      <c r="G22" s="1">
        <f t="shared" si="0"/>
        <v>2</v>
      </c>
      <c r="H22" s="1" t="s">
        <v>92</v>
      </c>
      <c r="I22" s="1" t="s">
        <v>49</v>
      </c>
      <c r="J22" s="23" t="s">
        <v>50</v>
      </c>
      <c r="K22" s="2" t="s">
        <v>51</v>
      </c>
      <c r="L22" s="1">
        <v>233</v>
      </c>
      <c r="M22" s="1">
        <v>42</v>
      </c>
      <c r="N22" s="1" t="str">
        <f t="shared" si="2"/>
        <v>Published</v>
      </c>
      <c r="O22" s="1">
        <f t="shared" si="3"/>
        <v>97.86</v>
      </c>
      <c r="P22" s="1">
        <v>45</v>
      </c>
      <c r="Q22" s="1">
        <v>827</v>
      </c>
      <c r="R22" s="1" t="str">
        <f t="shared" si="4"/>
        <v>1</v>
      </c>
      <c r="S22" s="1">
        <v>161</v>
      </c>
      <c r="T22" s="1" t="str">
        <f t="shared" si="1"/>
        <v>2</v>
      </c>
      <c r="U22" s="1">
        <v>-30.511469000000002</v>
      </c>
      <c r="V22" s="3">
        <v>151.65071499999999</v>
      </c>
    </row>
    <row r="23" spans="1:22" x14ac:dyDescent="0.35">
      <c r="A23" s="22" t="s">
        <v>143</v>
      </c>
      <c r="B23" s="1" t="s">
        <v>144</v>
      </c>
      <c r="C23" s="1" t="s">
        <v>145</v>
      </c>
      <c r="D23" s="1" t="s">
        <v>146</v>
      </c>
      <c r="E23" s="1" t="s">
        <v>147</v>
      </c>
      <c r="F23" s="1" t="s">
        <v>47</v>
      </c>
      <c r="G23" s="1">
        <f t="shared" si="0"/>
        <v>1</v>
      </c>
      <c r="H23" s="1" t="s">
        <v>148</v>
      </c>
      <c r="I23" s="1" t="s">
        <v>49</v>
      </c>
      <c r="J23" s="23" t="s">
        <v>50</v>
      </c>
      <c r="K23" s="2" t="s">
        <v>51</v>
      </c>
      <c r="L23" s="1">
        <v>1063</v>
      </c>
      <c r="M23" s="1"/>
      <c r="N23" s="1" t="str">
        <f t="shared" si="2"/>
        <v>Suppressed</v>
      </c>
      <c r="O23" s="1" t="str">
        <f t="shared" si="3"/>
        <v/>
      </c>
      <c r="P23" s="1">
        <v>85</v>
      </c>
      <c r="Q23" s="1">
        <v>1167</v>
      </c>
      <c r="R23" s="1" t="str">
        <f t="shared" si="4"/>
        <v>4</v>
      </c>
      <c r="S23" s="1">
        <v>0</v>
      </c>
      <c r="T23" s="1" t="str">
        <f t="shared" si="1"/>
        <v>5</v>
      </c>
      <c r="U23" s="1">
        <v>-33.811248999999997</v>
      </c>
      <c r="V23" s="3">
        <v>151.186001</v>
      </c>
    </row>
    <row r="24" spans="1:22" x14ac:dyDescent="0.35">
      <c r="A24" s="22" t="s">
        <v>149</v>
      </c>
      <c r="B24" s="1" t="s">
        <v>150</v>
      </c>
      <c r="C24" s="1" t="s">
        <v>151</v>
      </c>
      <c r="D24" s="1" t="s">
        <v>152</v>
      </c>
      <c r="E24" s="1" t="s">
        <v>46</v>
      </c>
      <c r="F24" s="1" t="s">
        <v>47</v>
      </c>
      <c r="G24" s="1">
        <f t="shared" si="0"/>
        <v>1</v>
      </c>
      <c r="H24" s="1" t="s">
        <v>48</v>
      </c>
      <c r="I24" s="1" t="s">
        <v>49</v>
      </c>
      <c r="J24" s="23" t="s">
        <v>50</v>
      </c>
      <c r="K24" s="2" t="s">
        <v>51</v>
      </c>
      <c r="L24" s="1">
        <v>356</v>
      </c>
      <c r="M24" s="1">
        <v>2</v>
      </c>
      <c r="N24" s="1" t="str">
        <f t="shared" si="2"/>
        <v>Published</v>
      </c>
      <c r="O24" s="1">
        <f t="shared" si="3"/>
        <v>7.12</v>
      </c>
      <c r="P24" s="1">
        <v>33</v>
      </c>
      <c r="Q24" s="1">
        <v>1111</v>
      </c>
      <c r="R24" s="1" t="str">
        <f t="shared" si="4"/>
        <v>4</v>
      </c>
      <c r="S24" s="1">
        <v>25</v>
      </c>
      <c r="T24" s="1" t="str">
        <f t="shared" si="1"/>
        <v>3</v>
      </c>
      <c r="U24" s="1">
        <v>-33.898833000000003</v>
      </c>
      <c r="V24" s="3">
        <v>151.11944</v>
      </c>
    </row>
    <row r="25" spans="1:22" x14ac:dyDescent="0.35">
      <c r="A25" s="22" t="s">
        <v>153</v>
      </c>
      <c r="B25" s="1" t="s">
        <v>154</v>
      </c>
      <c r="C25" s="1" t="s">
        <v>155</v>
      </c>
      <c r="D25" s="1" t="s">
        <v>115</v>
      </c>
      <c r="E25" s="1" t="s">
        <v>46</v>
      </c>
      <c r="F25" s="1" t="s">
        <v>47</v>
      </c>
      <c r="G25" s="1">
        <f t="shared" si="0"/>
        <v>1</v>
      </c>
      <c r="H25" s="1" t="s">
        <v>48</v>
      </c>
      <c r="I25" s="1" t="s">
        <v>49</v>
      </c>
      <c r="J25" s="23" t="s">
        <v>50</v>
      </c>
      <c r="K25" s="2" t="s">
        <v>51</v>
      </c>
      <c r="L25" s="1">
        <v>474</v>
      </c>
      <c r="M25" s="1">
        <v>2</v>
      </c>
      <c r="N25" s="1" t="str">
        <f t="shared" si="2"/>
        <v>Published</v>
      </c>
      <c r="O25" s="1">
        <f t="shared" si="3"/>
        <v>9.48</v>
      </c>
      <c r="P25" s="1">
        <v>76</v>
      </c>
      <c r="Q25" s="1">
        <v>1096</v>
      </c>
      <c r="R25" s="1" t="str">
        <f t="shared" si="4"/>
        <v>3</v>
      </c>
      <c r="S25" s="1">
        <v>43</v>
      </c>
      <c r="T25" s="1" t="str">
        <f t="shared" si="1"/>
        <v>3</v>
      </c>
      <c r="U25" s="1">
        <v>-33.889722999999996</v>
      </c>
      <c r="V25" s="3">
        <v>151.12821</v>
      </c>
    </row>
    <row r="26" spans="1:22" x14ac:dyDescent="0.35">
      <c r="A26" s="22" t="s">
        <v>156</v>
      </c>
      <c r="B26" s="1" t="s">
        <v>157</v>
      </c>
      <c r="C26" s="1" t="s">
        <v>158</v>
      </c>
      <c r="D26" s="1" t="s">
        <v>159</v>
      </c>
      <c r="E26" s="1" t="s">
        <v>91</v>
      </c>
      <c r="F26" s="1" t="s">
        <v>69</v>
      </c>
      <c r="G26" s="1">
        <f t="shared" si="0"/>
        <v>3</v>
      </c>
      <c r="H26" s="1" t="s">
        <v>92</v>
      </c>
      <c r="I26" s="1" t="s">
        <v>132</v>
      </c>
      <c r="J26" s="23" t="s">
        <v>50</v>
      </c>
      <c r="K26" s="2" t="s">
        <v>51</v>
      </c>
      <c r="L26" s="1">
        <v>119</v>
      </c>
      <c r="M26" s="1">
        <v>43</v>
      </c>
      <c r="N26" s="1" t="str">
        <f t="shared" si="2"/>
        <v>Published</v>
      </c>
      <c r="O26" s="1">
        <f t="shared" si="3"/>
        <v>51.17</v>
      </c>
      <c r="P26" s="1">
        <v>30</v>
      </c>
      <c r="Q26" s="1">
        <v>808</v>
      </c>
      <c r="R26" s="1" t="str">
        <f t="shared" si="4"/>
        <v>1</v>
      </c>
      <c r="S26" s="1">
        <v>165</v>
      </c>
      <c r="T26" s="1" t="str">
        <f t="shared" si="1"/>
        <v>2</v>
      </c>
      <c r="U26" s="1">
        <v>-29.321262000000001</v>
      </c>
      <c r="V26" s="3">
        <v>151.094638</v>
      </c>
    </row>
    <row r="27" spans="1:22" x14ac:dyDescent="0.35">
      <c r="A27" s="22" t="s">
        <v>160</v>
      </c>
      <c r="B27" s="1" t="s">
        <v>161</v>
      </c>
      <c r="C27" s="1" t="s">
        <v>162</v>
      </c>
      <c r="D27" s="1" t="s">
        <v>126</v>
      </c>
      <c r="E27" s="1" t="s">
        <v>147</v>
      </c>
      <c r="F27" s="1" t="s">
        <v>47</v>
      </c>
      <c r="G27" s="1">
        <f t="shared" si="0"/>
        <v>1</v>
      </c>
      <c r="H27" s="1" t="s">
        <v>148</v>
      </c>
      <c r="I27" s="1" t="s">
        <v>49</v>
      </c>
      <c r="J27" s="23" t="s">
        <v>50</v>
      </c>
      <c r="K27" s="2" t="s">
        <v>51</v>
      </c>
      <c r="L27" s="1">
        <v>384</v>
      </c>
      <c r="M27" s="1"/>
      <c r="N27" s="1" t="str">
        <f t="shared" si="2"/>
        <v>Suppressed</v>
      </c>
      <c r="O27" s="1" t="str">
        <f t="shared" si="3"/>
        <v/>
      </c>
      <c r="P27" s="1">
        <v>58</v>
      </c>
      <c r="Q27" s="1">
        <v>1102</v>
      </c>
      <c r="R27" s="1" t="str">
        <f t="shared" si="4"/>
        <v>4</v>
      </c>
      <c r="S27" s="1">
        <v>30</v>
      </c>
      <c r="T27" s="1" t="str">
        <f t="shared" si="1"/>
        <v>3</v>
      </c>
      <c r="U27" s="1">
        <v>-33.685729000000002</v>
      </c>
      <c r="V27" s="3">
        <v>151.112177</v>
      </c>
    </row>
    <row r="28" spans="1:22" x14ac:dyDescent="0.35">
      <c r="A28" s="22" t="s">
        <v>163</v>
      </c>
      <c r="B28" s="1" t="s">
        <v>164</v>
      </c>
      <c r="C28" s="1" t="s">
        <v>165</v>
      </c>
      <c r="D28" s="1" t="s">
        <v>90</v>
      </c>
      <c r="E28" s="1" t="s">
        <v>91</v>
      </c>
      <c r="F28" s="1" t="s">
        <v>69</v>
      </c>
      <c r="G28" s="1">
        <f t="shared" si="0"/>
        <v>3</v>
      </c>
      <c r="H28" s="1" t="s">
        <v>92</v>
      </c>
      <c r="I28" s="1" t="s">
        <v>49</v>
      </c>
      <c r="J28" s="23" t="s">
        <v>50</v>
      </c>
      <c r="K28" s="2" t="s">
        <v>51</v>
      </c>
      <c r="L28" s="1">
        <v>39</v>
      </c>
      <c r="M28" s="1">
        <v>33</v>
      </c>
      <c r="N28" s="1" t="str">
        <f t="shared" si="2"/>
        <v>Published</v>
      </c>
      <c r="O28" s="1">
        <f t="shared" si="3"/>
        <v>12.870000000000001</v>
      </c>
      <c r="P28" s="1"/>
      <c r="Q28" s="1">
        <v>908</v>
      </c>
      <c r="R28" s="1" t="str">
        <f t="shared" si="4"/>
        <v>2</v>
      </c>
      <c r="S28" s="1">
        <v>135</v>
      </c>
      <c r="T28" s="1" t="str">
        <f t="shared" si="1"/>
        <v>1</v>
      </c>
      <c r="U28" s="1">
        <v>-30.930444999999999</v>
      </c>
      <c r="V28" s="3">
        <v>150.846575</v>
      </c>
    </row>
    <row r="29" spans="1:22" x14ac:dyDescent="0.35">
      <c r="A29" s="22" t="s">
        <v>166</v>
      </c>
      <c r="B29" s="1" t="s">
        <v>167</v>
      </c>
      <c r="C29" s="1" t="s">
        <v>168</v>
      </c>
      <c r="D29" s="1" t="s">
        <v>169</v>
      </c>
      <c r="E29" s="1" t="s">
        <v>170</v>
      </c>
      <c r="F29" s="1" t="s">
        <v>47</v>
      </c>
      <c r="G29" s="1">
        <f t="shared" si="0"/>
        <v>1</v>
      </c>
      <c r="H29" s="1" t="s">
        <v>48</v>
      </c>
      <c r="I29" s="1" t="s">
        <v>49</v>
      </c>
      <c r="J29" s="23" t="s">
        <v>50</v>
      </c>
      <c r="K29" s="2" t="s">
        <v>51</v>
      </c>
      <c r="L29" s="1">
        <v>645</v>
      </c>
      <c r="M29" s="1"/>
      <c r="N29" s="1" t="str">
        <f t="shared" si="2"/>
        <v>Suppressed</v>
      </c>
      <c r="O29" s="1" t="str">
        <f t="shared" si="3"/>
        <v/>
      </c>
      <c r="P29" s="1">
        <v>96</v>
      </c>
      <c r="Q29" s="1">
        <v>1015</v>
      </c>
      <c r="R29" s="1" t="str">
        <f t="shared" si="4"/>
        <v>3</v>
      </c>
      <c r="S29" s="1">
        <v>112</v>
      </c>
      <c r="T29" s="1" t="str">
        <f t="shared" si="1"/>
        <v>4</v>
      </c>
      <c r="U29" s="1">
        <v>-33.841669000000003</v>
      </c>
      <c r="V29" s="3">
        <v>151.03861800000001</v>
      </c>
    </row>
    <row r="30" spans="1:22" x14ac:dyDescent="0.35">
      <c r="A30" s="22" t="s">
        <v>171</v>
      </c>
      <c r="B30" s="1" t="s">
        <v>172</v>
      </c>
      <c r="C30" s="1" t="s">
        <v>168</v>
      </c>
      <c r="D30" s="1" t="s">
        <v>169</v>
      </c>
      <c r="E30" s="1" t="s">
        <v>170</v>
      </c>
      <c r="F30" s="1" t="s">
        <v>47</v>
      </c>
      <c r="G30" s="1">
        <f t="shared" si="0"/>
        <v>1</v>
      </c>
      <c r="H30" s="1" t="s">
        <v>48</v>
      </c>
      <c r="I30" s="1" t="s">
        <v>49</v>
      </c>
      <c r="J30" s="23" t="s">
        <v>50</v>
      </c>
      <c r="K30" s="2" t="s">
        <v>51</v>
      </c>
      <c r="L30" s="1">
        <v>572</v>
      </c>
      <c r="M30" s="1">
        <v>1</v>
      </c>
      <c r="N30" s="1" t="str">
        <f t="shared" si="2"/>
        <v>Published</v>
      </c>
      <c r="O30" s="1">
        <f t="shared" si="3"/>
        <v>5.72</v>
      </c>
      <c r="P30" s="1">
        <v>96</v>
      </c>
      <c r="Q30" s="1">
        <v>928</v>
      </c>
      <c r="R30" s="1" t="str">
        <f t="shared" si="4"/>
        <v>2</v>
      </c>
      <c r="S30" s="1">
        <v>166</v>
      </c>
      <c r="T30" s="1" t="str">
        <f t="shared" si="1"/>
        <v>3</v>
      </c>
      <c r="U30" s="1">
        <v>-33.860931000000001</v>
      </c>
      <c r="V30" s="3">
        <v>151.01976400000001</v>
      </c>
    </row>
    <row r="31" spans="1:22" x14ac:dyDescent="0.35">
      <c r="A31" s="22" t="s">
        <v>173</v>
      </c>
      <c r="B31" s="1" t="s">
        <v>174</v>
      </c>
      <c r="C31" s="1" t="s">
        <v>175</v>
      </c>
      <c r="D31" s="1" t="s">
        <v>176</v>
      </c>
      <c r="E31" s="1" t="s">
        <v>85</v>
      </c>
      <c r="F31" s="1" t="s">
        <v>47</v>
      </c>
      <c r="G31" s="1">
        <f t="shared" si="0"/>
        <v>1</v>
      </c>
      <c r="H31" s="1" t="s">
        <v>86</v>
      </c>
      <c r="I31" s="1" t="s">
        <v>49</v>
      </c>
      <c r="J31" s="23" t="s">
        <v>50</v>
      </c>
      <c r="K31" s="2" t="s">
        <v>51</v>
      </c>
      <c r="L31" s="1">
        <v>227</v>
      </c>
      <c r="M31" s="1"/>
      <c r="N31" s="1" t="str">
        <f t="shared" si="2"/>
        <v>Suppressed</v>
      </c>
      <c r="O31" s="1" t="str">
        <f t="shared" si="3"/>
        <v/>
      </c>
      <c r="P31" s="1">
        <v>14</v>
      </c>
      <c r="Q31" s="1">
        <v>1132</v>
      </c>
      <c r="R31" s="1" t="str">
        <f t="shared" si="4"/>
        <v>4</v>
      </c>
      <c r="S31" s="1">
        <v>7</v>
      </c>
      <c r="T31" s="1" t="str">
        <f t="shared" si="1"/>
        <v>2</v>
      </c>
      <c r="U31" s="1">
        <v>-34.305397999999997</v>
      </c>
      <c r="V31" s="3">
        <v>150.934991</v>
      </c>
    </row>
    <row r="32" spans="1:22" x14ac:dyDescent="0.35">
      <c r="A32" s="22" t="s">
        <v>177</v>
      </c>
      <c r="B32" s="1" t="s">
        <v>178</v>
      </c>
      <c r="C32" s="1" t="s">
        <v>179</v>
      </c>
      <c r="D32" s="1" t="s">
        <v>180</v>
      </c>
      <c r="E32" s="1" t="s">
        <v>181</v>
      </c>
      <c r="F32" s="1" t="s">
        <v>47</v>
      </c>
      <c r="G32" s="1">
        <f t="shared" si="0"/>
        <v>1</v>
      </c>
      <c r="H32" s="1" t="s">
        <v>182</v>
      </c>
      <c r="I32" s="1" t="s">
        <v>49</v>
      </c>
      <c r="J32" s="23" t="s">
        <v>50</v>
      </c>
      <c r="K32" s="2" t="s">
        <v>51</v>
      </c>
      <c r="L32" s="1">
        <v>846</v>
      </c>
      <c r="M32" s="1">
        <v>2</v>
      </c>
      <c r="N32" s="1" t="str">
        <f t="shared" si="2"/>
        <v>Published</v>
      </c>
      <c r="O32" s="1">
        <f t="shared" si="3"/>
        <v>16.920000000000002</v>
      </c>
      <c r="P32" s="1">
        <v>88</v>
      </c>
      <c r="Q32" s="1">
        <v>1032</v>
      </c>
      <c r="R32" s="1" t="str">
        <f t="shared" si="4"/>
        <v>3</v>
      </c>
      <c r="S32" s="1">
        <v>74</v>
      </c>
      <c r="T32" s="1" t="str">
        <f t="shared" si="1"/>
        <v>4</v>
      </c>
      <c r="U32" s="1">
        <v>-33.934486999999997</v>
      </c>
      <c r="V32" s="3">
        <v>150.81263799999999</v>
      </c>
    </row>
    <row r="33" spans="1:22" x14ac:dyDescent="0.35">
      <c r="A33" s="22" t="s">
        <v>183</v>
      </c>
      <c r="B33" s="1" t="s">
        <v>184</v>
      </c>
      <c r="C33" s="1" t="s">
        <v>185</v>
      </c>
      <c r="D33" s="1" t="s">
        <v>186</v>
      </c>
      <c r="E33" s="1" t="s">
        <v>187</v>
      </c>
      <c r="F33" s="1" t="s">
        <v>47</v>
      </c>
      <c r="G33" s="1">
        <f t="shared" si="0"/>
        <v>1</v>
      </c>
      <c r="H33" s="1" t="s">
        <v>63</v>
      </c>
      <c r="I33" s="1" t="s">
        <v>49</v>
      </c>
      <c r="J33" s="23" t="s">
        <v>50</v>
      </c>
      <c r="K33" s="2" t="s">
        <v>51</v>
      </c>
      <c r="L33" s="1">
        <v>455</v>
      </c>
      <c r="M33" s="1">
        <v>4</v>
      </c>
      <c r="N33" s="1" t="str">
        <f t="shared" si="2"/>
        <v>Published</v>
      </c>
      <c r="O33" s="1">
        <f t="shared" si="3"/>
        <v>18.2</v>
      </c>
      <c r="P33" s="1">
        <v>8</v>
      </c>
      <c r="Q33" s="1">
        <v>1081</v>
      </c>
      <c r="R33" s="1" t="str">
        <f t="shared" si="4"/>
        <v>3</v>
      </c>
      <c r="S33" s="1">
        <v>46</v>
      </c>
      <c r="T33" s="1" t="str">
        <f t="shared" si="1"/>
        <v>3</v>
      </c>
      <c r="U33" s="1">
        <v>-33.471153999999999</v>
      </c>
      <c r="V33" s="3">
        <v>151.430745</v>
      </c>
    </row>
    <row r="34" spans="1:22" x14ac:dyDescent="0.35">
      <c r="A34" s="22" t="s">
        <v>188</v>
      </c>
      <c r="B34" s="1" t="s">
        <v>189</v>
      </c>
      <c r="C34" s="1" t="s">
        <v>190</v>
      </c>
      <c r="D34" s="1" t="s">
        <v>191</v>
      </c>
      <c r="E34" s="1" t="s">
        <v>75</v>
      </c>
      <c r="F34" s="1" t="s">
        <v>47</v>
      </c>
      <c r="G34" s="1">
        <f t="shared" si="0"/>
        <v>1</v>
      </c>
      <c r="H34" s="1" t="s">
        <v>63</v>
      </c>
      <c r="I34" s="1" t="s">
        <v>49</v>
      </c>
      <c r="J34" s="23" t="s">
        <v>50</v>
      </c>
      <c r="K34" s="2" t="s">
        <v>51</v>
      </c>
      <c r="L34" s="1">
        <v>29</v>
      </c>
      <c r="M34" s="1">
        <v>24</v>
      </c>
      <c r="N34" s="1" t="str">
        <f t="shared" si="2"/>
        <v>Published</v>
      </c>
      <c r="O34" s="1">
        <f t="shared" si="3"/>
        <v>6.96</v>
      </c>
      <c r="P34" s="1"/>
      <c r="Q34" s="1">
        <v>940</v>
      </c>
      <c r="R34" s="1" t="str">
        <f t="shared" si="4"/>
        <v>2</v>
      </c>
      <c r="S34" s="1">
        <v>120</v>
      </c>
      <c r="T34" s="1" t="str">
        <f t="shared" si="1"/>
        <v>1</v>
      </c>
      <c r="U34" s="1">
        <v>-33.010553999999999</v>
      </c>
      <c r="V34" s="3">
        <v>151.53806800000001</v>
      </c>
    </row>
    <row r="35" spans="1:22" x14ac:dyDescent="0.35">
      <c r="A35" s="22" t="s">
        <v>192</v>
      </c>
      <c r="B35" s="1" t="s">
        <v>193</v>
      </c>
      <c r="C35" s="1" t="s">
        <v>194</v>
      </c>
      <c r="D35" s="1" t="s">
        <v>195</v>
      </c>
      <c r="E35" s="1" t="s">
        <v>196</v>
      </c>
      <c r="F35" s="1" t="s">
        <v>57</v>
      </c>
      <c r="G35" s="1">
        <f t="shared" si="0"/>
        <v>2</v>
      </c>
      <c r="H35" s="1" t="s">
        <v>86</v>
      </c>
      <c r="I35" s="1" t="s">
        <v>49</v>
      </c>
      <c r="J35" s="23" t="s">
        <v>50</v>
      </c>
      <c r="K35" s="2" t="s">
        <v>51</v>
      </c>
      <c r="L35" s="1">
        <v>144</v>
      </c>
      <c r="M35" s="1">
        <v>13</v>
      </c>
      <c r="N35" s="1" t="str">
        <f t="shared" si="2"/>
        <v>Published</v>
      </c>
      <c r="O35" s="1">
        <f t="shared" si="3"/>
        <v>18.72</v>
      </c>
      <c r="P35" s="1">
        <v>8</v>
      </c>
      <c r="Q35" s="1">
        <v>952</v>
      </c>
      <c r="R35" s="1" t="str">
        <f t="shared" si="4"/>
        <v>2</v>
      </c>
      <c r="S35" s="1">
        <v>115</v>
      </c>
      <c r="T35" s="1" t="str">
        <f t="shared" si="1"/>
        <v>2</v>
      </c>
      <c r="U35" s="1">
        <v>-34.401280999999997</v>
      </c>
      <c r="V35" s="3">
        <v>150.476178</v>
      </c>
    </row>
    <row r="36" spans="1:22" x14ac:dyDescent="0.35">
      <c r="A36" s="22" t="s">
        <v>197</v>
      </c>
      <c r="B36" s="1" t="s">
        <v>198</v>
      </c>
      <c r="C36" s="1" t="s">
        <v>199</v>
      </c>
      <c r="D36" s="1" t="s">
        <v>139</v>
      </c>
      <c r="E36" s="1" t="s">
        <v>91</v>
      </c>
      <c r="F36" s="1" t="s">
        <v>69</v>
      </c>
      <c r="G36" s="1">
        <f t="shared" si="0"/>
        <v>3</v>
      </c>
      <c r="H36" s="1" t="s">
        <v>92</v>
      </c>
      <c r="I36" s="1" t="s">
        <v>49</v>
      </c>
      <c r="J36" s="23" t="s">
        <v>50</v>
      </c>
      <c r="K36" s="2" t="s">
        <v>51</v>
      </c>
      <c r="L36" s="1">
        <v>32</v>
      </c>
      <c r="M36" s="1">
        <v>19</v>
      </c>
      <c r="N36" s="1" t="str">
        <f t="shared" si="2"/>
        <v>Published</v>
      </c>
      <c r="O36" s="1">
        <f t="shared" si="3"/>
        <v>6.08</v>
      </c>
      <c r="P36" s="1"/>
      <c r="Q36" s="1">
        <v>969</v>
      </c>
      <c r="R36" s="1" t="str">
        <f t="shared" si="4"/>
        <v>2</v>
      </c>
      <c r="S36" s="1">
        <v>98</v>
      </c>
      <c r="T36" s="1" t="str">
        <f t="shared" si="1"/>
        <v>1</v>
      </c>
      <c r="U36" s="1">
        <v>-30.229893000000001</v>
      </c>
      <c r="V36" s="3">
        <v>151.785056</v>
      </c>
    </row>
    <row r="37" spans="1:22" x14ac:dyDescent="0.35">
      <c r="A37" s="22" t="s">
        <v>200</v>
      </c>
      <c r="B37" s="1" t="s">
        <v>201</v>
      </c>
      <c r="C37" s="1" t="s">
        <v>202</v>
      </c>
      <c r="D37" s="1" t="s">
        <v>203</v>
      </c>
      <c r="E37" s="1" t="s">
        <v>204</v>
      </c>
      <c r="F37" s="1" t="s">
        <v>47</v>
      </c>
      <c r="G37" s="1">
        <f t="shared" si="0"/>
        <v>1</v>
      </c>
      <c r="H37" s="1" t="s">
        <v>148</v>
      </c>
      <c r="I37" s="1" t="s">
        <v>49</v>
      </c>
      <c r="J37" s="23" t="s">
        <v>50</v>
      </c>
      <c r="K37" s="2" t="s">
        <v>51</v>
      </c>
      <c r="L37" s="1">
        <v>394</v>
      </c>
      <c r="M37" s="1"/>
      <c r="N37" s="1" t="str">
        <f t="shared" si="2"/>
        <v>Suppressed</v>
      </c>
      <c r="O37" s="1" t="str">
        <f t="shared" si="3"/>
        <v/>
      </c>
      <c r="P37" s="1">
        <v>16</v>
      </c>
      <c r="Q37" s="1">
        <v>1165</v>
      </c>
      <c r="R37" s="1" t="str">
        <f t="shared" si="4"/>
        <v>4</v>
      </c>
      <c r="S37" s="1">
        <v>9</v>
      </c>
      <c r="T37" s="1" t="str">
        <f t="shared" si="1"/>
        <v>3</v>
      </c>
      <c r="U37" s="1">
        <v>-33.793261999999999</v>
      </c>
      <c r="V37" s="3">
        <v>151.25123500000001</v>
      </c>
    </row>
    <row r="38" spans="1:22" x14ac:dyDescent="0.35">
      <c r="A38" s="22" t="s">
        <v>205</v>
      </c>
      <c r="B38" s="1" t="s">
        <v>206</v>
      </c>
      <c r="C38" s="1" t="s">
        <v>207</v>
      </c>
      <c r="D38" s="1" t="s">
        <v>176</v>
      </c>
      <c r="E38" s="1" t="s">
        <v>85</v>
      </c>
      <c r="F38" s="1" t="s">
        <v>47</v>
      </c>
      <c r="G38" s="1">
        <f t="shared" si="0"/>
        <v>1</v>
      </c>
      <c r="H38" s="1" t="s">
        <v>86</v>
      </c>
      <c r="I38" s="1" t="s">
        <v>49</v>
      </c>
      <c r="J38" s="23" t="s">
        <v>50</v>
      </c>
      <c r="K38" s="2" t="s">
        <v>51</v>
      </c>
      <c r="L38" s="1">
        <v>329</v>
      </c>
      <c r="M38" s="1">
        <v>4</v>
      </c>
      <c r="N38" s="1" t="str">
        <f t="shared" si="2"/>
        <v>Published</v>
      </c>
      <c r="O38" s="1">
        <f t="shared" si="3"/>
        <v>13.16</v>
      </c>
      <c r="P38" s="1">
        <v>10</v>
      </c>
      <c r="Q38" s="1">
        <v>1076</v>
      </c>
      <c r="R38" s="1" t="str">
        <f t="shared" si="4"/>
        <v>3</v>
      </c>
      <c r="S38" s="1">
        <v>48</v>
      </c>
      <c r="T38" s="1" t="str">
        <f t="shared" si="1"/>
        <v>3</v>
      </c>
      <c r="U38" s="1">
        <v>-34.386983999999998</v>
      </c>
      <c r="V38" s="3">
        <v>150.87207599999999</v>
      </c>
    </row>
    <row r="39" spans="1:22" x14ac:dyDescent="0.35">
      <c r="A39" s="22" t="s">
        <v>208</v>
      </c>
      <c r="B39" s="1" t="s">
        <v>209</v>
      </c>
      <c r="C39" s="1" t="s">
        <v>210</v>
      </c>
      <c r="D39" s="1" t="s">
        <v>211</v>
      </c>
      <c r="E39" s="1" t="s">
        <v>102</v>
      </c>
      <c r="F39" s="1" t="s">
        <v>69</v>
      </c>
      <c r="G39" s="1">
        <f t="shared" si="0"/>
        <v>3</v>
      </c>
      <c r="H39" s="1" t="s">
        <v>58</v>
      </c>
      <c r="I39" s="1" t="s">
        <v>49</v>
      </c>
      <c r="J39" s="23" t="s">
        <v>50</v>
      </c>
      <c r="K39" s="2" t="s">
        <v>51</v>
      </c>
      <c r="L39" s="1">
        <v>13</v>
      </c>
      <c r="M39" s="1"/>
      <c r="N39" s="1" t="str">
        <f t="shared" si="2"/>
        <v>Suppressed</v>
      </c>
      <c r="O39" s="1" t="str">
        <f t="shared" si="3"/>
        <v/>
      </c>
      <c r="P39" s="1">
        <v>0</v>
      </c>
      <c r="Q39" s="1">
        <v>923</v>
      </c>
      <c r="R39" s="1" t="str">
        <f t="shared" si="4"/>
        <v>2</v>
      </c>
      <c r="S39" s="1">
        <v>100</v>
      </c>
      <c r="T39" s="1" t="str">
        <f t="shared" si="1"/>
        <v>1</v>
      </c>
      <c r="U39" s="1">
        <v>-32.193595999999999</v>
      </c>
      <c r="V39" s="3">
        <v>148.899631</v>
      </c>
    </row>
    <row r="40" spans="1:22" x14ac:dyDescent="0.35">
      <c r="A40" s="22" t="s">
        <v>212</v>
      </c>
      <c r="B40" s="1" t="s">
        <v>213</v>
      </c>
      <c r="C40" s="1" t="s">
        <v>106</v>
      </c>
      <c r="D40" s="1" t="s">
        <v>106</v>
      </c>
      <c r="E40" s="1" t="s">
        <v>107</v>
      </c>
      <c r="F40" s="1" t="s">
        <v>57</v>
      </c>
      <c r="G40" s="1">
        <f t="shared" si="0"/>
        <v>2</v>
      </c>
      <c r="H40" s="1" t="s">
        <v>92</v>
      </c>
      <c r="I40" s="1" t="s">
        <v>49</v>
      </c>
      <c r="J40" s="23" t="s">
        <v>50</v>
      </c>
      <c r="K40" s="2" t="s">
        <v>51</v>
      </c>
      <c r="L40" s="1">
        <v>254</v>
      </c>
      <c r="M40" s="1">
        <v>41</v>
      </c>
      <c r="N40" s="1" t="str">
        <f t="shared" si="2"/>
        <v>Published</v>
      </c>
      <c r="O40" s="1">
        <f t="shared" si="3"/>
        <v>104.14</v>
      </c>
      <c r="P40" s="1">
        <v>16</v>
      </c>
      <c r="Q40" s="1">
        <v>869</v>
      </c>
      <c r="R40" s="1" t="str">
        <f t="shared" si="4"/>
        <v>1</v>
      </c>
      <c r="S40" s="1">
        <v>150</v>
      </c>
      <c r="T40" s="1" t="str">
        <f t="shared" si="1"/>
        <v>2</v>
      </c>
      <c r="U40" s="1">
        <v>-28.869724000000001</v>
      </c>
      <c r="V40" s="3">
        <v>153.56370699999999</v>
      </c>
    </row>
    <row r="41" spans="1:22" x14ac:dyDescent="0.35">
      <c r="A41" s="22" t="s">
        <v>214</v>
      </c>
      <c r="B41" s="1" t="s">
        <v>215</v>
      </c>
      <c r="C41" s="1" t="s">
        <v>216</v>
      </c>
      <c r="D41" s="1" t="s">
        <v>216</v>
      </c>
      <c r="E41" s="1" t="s">
        <v>96</v>
      </c>
      <c r="F41" s="1" t="s">
        <v>69</v>
      </c>
      <c r="G41" s="1">
        <f t="shared" si="0"/>
        <v>3</v>
      </c>
      <c r="H41" s="1" t="s">
        <v>70</v>
      </c>
      <c r="I41" s="1" t="s">
        <v>132</v>
      </c>
      <c r="J41" s="23" t="s">
        <v>50</v>
      </c>
      <c r="K41" s="2" t="s">
        <v>51</v>
      </c>
      <c r="L41" s="1">
        <v>179</v>
      </c>
      <c r="M41" s="1">
        <v>20</v>
      </c>
      <c r="N41" s="1" t="str">
        <f t="shared" si="2"/>
        <v>Published</v>
      </c>
      <c r="O41" s="1">
        <f t="shared" si="3"/>
        <v>35.800000000000004</v>
      </c>
      <c r="P41" s="1">
        <v>10</v>
      </c>
      <c r="Q41" s="1">
        <v>876</v>
      </c>
      <c r="R41" s="1" t="str">
        <f t="shared" si="4"/>
        <v>1</v>
      </c>
      <c r="S41" s="1">
        <v>154</v>
      </c>
      <c r="T41" s="1" t="str">
        <f t="shared" si="1"/>
        <v>2</v>
      </c>
      <c r="U41" s="1">
        <v>-34.635575000000003</v>
      </c>
      <c r="V41" s="3">
        <v>143.56476900000001</v>
      </c>
    </row>
    <row r="42" spans="1:22" x14ac:dyDescent="0.35">
      <c r="A42" s="22" t="s">
        <v>217</v>
      </c>
      <c r="B42" s="1" t="s">
        <v>218</v>
      </c>
      <c r="C42" s="1" t="s">
        <v>219</v>
      </c>
      <c r="D42" s="1" t="s">
        <v>220</v>
      </c>
      <c r="E42" s="1" t="s">
        <v>107</v>
      </c>
      <c r="F42" s="1" t="s">
        <v>57</v>
      </c>
      <c r="G42" s="1">
        <f t="shared" si="0"/>
        <v>2</v>
      </c>
      <c r="H42" s="1" t="s">
        <v>92</v>
      </c>
      <c r="I42" s="1" t="s">
        <v>49</v>
      </c>
      <c r="J42" s="23" t="s">
        <v>50</v>
      </c>
      <c r="K42" s="2" t="s">
        <v>51</v>
      </c>
      <c r="L42" s="1">
        <v>295</v>
      </c>
      <c r="M42" s="1">
        <v>4</v>
      </c>
      <c r="N42" s="1" t="str">
        <f t="shared" si="2"/>
        <v>Published</v>
      </c>
      <c r="O42" s="1">
        <f t="shared" si="3"/>
        <v>11.8</v>
      </c>
      <c r="P42" s="1">
        <v>13</v>
      </c>
      <c r="Q42" s="1">
        <v>1088</v>
      </c>
      <c r="R42" s="1" t="str">
        <f t="shared" si="4"/>
        <v>3</v>
      </c>
      <c r="S42" s="1">
        <v>31</v>
      </c>
      <c r="T42" s="1" t="str">
        <f t="shared" si="1"/>
        <v>2</v>
      </c>
      <c r="U42" s="1">
        <v>-28.68554</v>
      </c>
      <c r="V42" s="3">
        <v>153.52574300000001</v>
      </c>
    </row>
    <row r="43" spans="1:22" x14ac:dyDescent="0.35">
      <c r="A43" s="22" t="s">
        <v>221</v>
      </c>
      <c r="B43" s="1" t="s">
        <v>222</v>
      </c>
      <c r="C43" s="1" t="s">
        <v>223</v>
      </c>
      <c r="D43" s="1" t="s">
        <v>224</v>
      </c>
      <c r="E43" s="1" t="s">
        <v>225</v>
      </c>
      <c r="F43" s="1" t="s">
        <v>47</v>
      </c>
      <c r="G43" s="1">
        <f t="shared" si="0"/>
        <v>1</v>
      </c>
      <c r="H43" s="1" t="s">
        <v>48</v>
      </c>
      <c r="I43" s="1" t="s">
        <v>49</v>
      </c>
      <c r="J43" s="23" t="s">
        <v>50</v>
      </c>
      <c r="K43" s="2" t="s">
        <v>51</v>
      </c>
      <c r="L43" s="1">
        <v>268</v>
      </c>
      <c r="M43" s="1">
        <v>7</v>
      </c>
      <c r="N43" s="1" t="str">
        <f t="shared" si="2"/>
        <v>Published</v>
      </c>
      <c r="O43" s="1">
        <f t="shared" si="3"/>
        <v>18.760000000000002</v>
      </c>
      <c r="P43" s="1">
        <v>39</v>
      </c>
      <c r="Q43" s="1">
        <v>1032</v>
      </c>
      <c r="R43" s="1" t="str">
        <f t="shared" si="4"/>
        <v>3</v>
      </c>
      <c r="S43" s="1">
        <v>61</v>
      </c>
      <c r="T43" s="1" t="str">
        <f t="shared" si="1"/>
        <v>2</v>
      </c>
      <c r="U43" s="1">
        <v>-33.953738999999999</v>
      </c>
      <c r="V43" s="3">
        <v>151.20661000000001</v>
      </c>
    </row>
    <row r="44" spans="1:22" x14ac:dyDescent="0.35">
      <c r="A44" s="22" t="s">
        <v>226</v>
      </c>
      <c r="B44" s="1" t="s">
        <v>227</v>
      </c>
      <c r="C44" s="1" t="s">
        <v>228</v>
      </c>
      <c r="D44" s="1" t="s">
        <v>152</v>
      </c>
      <c r="E44" s="1" t="s">
        <v>229</v>
      </c>
      <c r="F44" s="1" t="s">
        <v>47</v>
      </c>
      <c r="G44" s="1">
        <f t="shared" si="0"/>
        <v>1</v>
      </c>
      <c r="H44" s="1" t="s">
        <v>48</v>
      </c>
      <c r="I44" s="1" t="s">
        <v>49</v>
      </c>
      <c r="J44" s="23" t="s">
        <v>50</v>
      </c>
      <c r="K44" s="2" t="s">
        <v>51</v>
      </c>
      <c r="L44" s="1">
        <v>611</v>
      </c>
      <c r="M44" s="1">
        <v>1</v>
      </c>
      <c r="N44" s="1" t="str">
        <f t="shared" si="2"/>
        <v>Published</v>
      </c>
      <c r="O44" s="1">
        <f t="shared" si="3"/>
        <v>6.11</v>
      </c>
      <c r="P44" s="1">
        <v>96</v>
      </c>
      <c r="Q44" s="1">
        <v>938</v>
      </c>
      <c r="R44" s="1" t="str">
        <f t="shared" si="4"/>
        <v>2</v>
      </c>
      <c r="S44" s="1">
        <v>157</v>
      </c>
      <c r="T44" s="1" t="str">
        <f t="shared" si="1"/>
        <v>4</v>
      </c>
      <c r="U44" s="1">
        <v>-33.911161</v>
      </c>
      <c r="V44" s="3">
        <v>151.057581</v>
      </c>
    </row>
    <row r="45" spans="1:22" x14ac:dyDescent="0.35">
      <c r="A45" s="22" t="s">
        <v>230</v>
      </c>
      <c r="B45" s="1" t="s">
        <v>231</v>
      </c>
      <c r="C45" s="1" t="s">
        <v>232</v>
      </c>
      <c r="D45" s="1" t="s">
        <v>152</v>
      </c>
      <c r="E45" s="1" t="s">
        <v>229</v>
      </c>
      <c r="F45" s="1" t="s">
        <v>47</v>
      </c>
      <c r="G45" s="1">
        <f t="shared" si="0"/>
        <v>1</v>
      </c>
      <c r="H45" s="1" t="s">
        <v>48</v>
      </c>
      <c r="I45" s="1" t="s">
        <v>49</v>
      </c>
      <c r="J45" s="23" t="s">
        <v>50</v>
      </c>
      <c r="K45" s="2" t="s">
        <v>51</v>
      </c>
      <c r="L45" s="1">
        <v>382</v>
      </c>
      <c r="M45" s="1"/>
      <c r="N45" s="1" t="str">
        <f t="shared" si="2"/>
        <v>Suppressed</v>
      </c>
      <c r="O45" s="1" t="str">
        <f t="shared" si="3"/>
        <v/>
      </c>
      <c r="P45" s="1">
        <v>94</v>
      </c>
      <c r="Q45" s="1">
        <v>986</v>
      </c>
      <c r="R45" s="1" t="str">
        <f t="shared" si="4"/>
        <v>2</v>
      </c>
      <c r="S45" s="1">
        <v>129</v>
      </c>
      <c r="T45" s="1" t="str">
        <f t="shared" si="1"/>
        <v>3</v>
      </c>
      <c r="U45" s="1">
        <v>-33.904888</v>
      </c>
      <c r="V45" s="3">
        <v>151.03804299999999</v>
      </c>
    </row>
    <row r="46" spans="1:22" x14ac:dyDescent="0.35">
      <c r="A46" s="22" t="s">
        <v>233</v>
      </c>
      <c r="B46" s="1" t="s">
        <v>234</v>
      </c>
      <c r="C46" s="1" t="s">
        <v>235</v>
      </c>
      <c r="D46" s="1" t="s">
        <v>236</v>
      </c>
      <c r="E46" s="1" t="s">
        <v>107</v>
      </c>
      <c r="F46" s="1" t="s">
        <v>47</v>
      </c>
      <c r="G46" s="1">
        <f t="shared" si="0"/>
        <v>1</v>
      </c>
      <c r="H46" s="1" t="s">
        <v>92</v>
      </c>
      <c r="I46" s="1" t="s">
        <v>49</v>
      </c>
      <c r="J46" s="23" t="s">
        <v>50</v>
      </c>
      <c r="K46" s="2" t="s">
        <v>51</v>
      </c>
      <c r="L46" s="1">
        <v>390</v>
      </c>
      <c r="M46" s="1">
        <v>13</v>
      </c>
      <c r="N46" s="1" t="str">
        <f t="shared" si="2"/>
        <v>Published</v>
      </c>
      <c r="O46" s="1">
        <f t="shared" si="3"/>
        <v>50.7</v>
      </c>
      <c r="P46" s="1">
        <v>10</v>
      </c>
      <c r="Q46" s="1">
        <v>992</v>
      </c>
      <c r="R46" s="1" t="str">
        <f t="shared" si="4"/>
        <v>2</v>
      </c>
      <c r="S46" s="1">
        <v>89</v>
      </c>
      <c r="T46" s="1" t="str">
        <f t="shared" si="1"/>
        <v>3</v>
      </c>
      <c r="U46" s="1">
        <v>-28.222422000000002</v>
      </c>
      <c r="V46" s="3">
        <v>153.543702</v>
      </c>
    </row>
    <row r="47" spans="1:22" x14ac:dyDescent="0.35">
      <c r="A47" s="22" t="s">
        <v>237</v>
      </c>
      <c r="B47" s="1" t="s">
        <v>238</v>
      </c>
      <c r="C47" s="1" t="s">
        <v>239</v>
      </c>
      <c r="D47" s="1" t="s">
        <v>240</v>
      </c>
      <c r="E47" s="1" t="s">
        <v>102</v>
      </c>
      <c r="F47" s="1" t="s">
        <v>241</v>
      </c>
      <c r="G47" s="1">
        <f t="shared" si="0"/>
        <v>4</v>
      </c>
      <c r="H47" s="1" t="s">
        <v>92</v>
      </c>
      <c r="I47" s="1" t="s">
        <v>132</v>
      </c>
      <c r="J47" s="23" t="s">
        <v>50</v>
      </c>
      <c r="K47" s="2" t="s">
        <v>51</v>
      </c>
      <c r="L47" s="1">
        <v>101</v>
      </c>
      <c r="M47" s="1">
        <v>50</v>
      </c>
      <c r="N47" s="1" t="str">
        <f t="shared" si="2"/>
        <v>Published</v>
      </c>
      <c r="O47" s="1">
        <f t="shared" si="3"/>
        <v>50.5</v>
      </c>
      <c r="P47" s="1"/>
      <c r="Q47" s="1">
        <v>785</v>
      </c>
      <c r="R47" s="1" t="str">
        <f t="shared" si="4"/>
        <v>1</v>
      </c>
      <c r="S47" s="1">
        <v>170</v>
      </c>
      <c r="T47" s="1" t="str">
        <f t="shared" si="1"/>
        <v>2</v>
      </c>
      <c r="U47" s="1">
        <v>-30.950735999999999</v>
      </c>
      <c r="V47" s="3">
        <v>149.070198</v>
      </c>
    </row>
    <row r="48" spans="1:22" x14ac:dyDescent="0.35">
      <c r="A48" s="22" t="s">
        <v>242</v>
      </c>
      <c r="B48" s="1" t="s">
        <v>243</v>
      </c>
      <c r="C48" s="1" t="s">
        <v>244</v>
      </c>
      <c r="D48" s="1" t="s">
        <v>245</v>
      </c>
      <c r="E48" s="1" t="s">
        <v>80</v>
      </c>
      <c r="F48" s="1" t="s">
        <v>69</v>
      </c>
      <c r="G48" s="1">
        <f t="shared" si="0"/>
        <v>3</v>
      </c>
      <c r="H48" s="1" t="s">
        <v>70</v>
      </c>
      <c r="I48" s="1" t="s">
        <v>132</v>
      </c>
      <c r="J48" s="23" t="s">
        <v>50</v>
      </c>
      <c r="K48" s="2" t="s">
        <v>51</v>
      </c>
      <c r="L48" s="1">
        <v>54</v>
      </c>
      <c r="M48" s="1">
        <v>30</v>
      </c>
      <c r="N48" s="1" t="str">
        <f t="shared" si="2"/>
        <v>Published</v>
      </c>
      <c r="O48" s="1">
        <f t="shared" si="3"/>
        <v>16.2</v>
      </c>
      <c r="P48" s="1"/>
      <c r="Q48" s="1">
        <v>894</v>
      </c>
      <c r="R48" s="1" t="str">
        <f t="shared" si="4"/>
        <v>1</v>
      </c>
      <c r="S48" s="1">
        <v>148</v>
      </c>
      <c r="T48" s="1" t="str">
        <f t="shared" si="1"/>
        <v>1</v>
      </c>
      <c r="U48" s="1">
        <v>-34.287799</v>
      </c>
      <c r="V48" s="3">
        <v>146.57192800000001</v>
      </c>
    </row>
    <row r="49" spans="1:22" x14ac:dyDescent="0.35">
      <c r="A49" s="22" t="s">
        <v>246</v>
      </c>
      <c r="B49" s="1" t="s">
        <v>247</v>
      </c>
      <c r="C49" s="1" t="s">
        <v>248</v>
      </c>
      <c r="D49" s="1" t="s">
        <v>121</v>
      </c>
      <c r="E49" s="1" t="s">
        <v>122</v>
      </c>
      <c r="F49" s="1" t="s">
        <v>57</v>
      </c>
      <c r="G49" s="1">
        <f t="shared" si="0"/>
        <v>2</v>
      </c>
      <c r="H49" s="1" t="s">
        <v>86</v>
      </c>
      <c r="I49" s="1" t="s">
        <v>49</v>
      </c>
      <c r="J49" s="23" t="s">
        <v>50</v>
      </c>
      <c r="K49" s="2" t="s">
        <v>51</v>
      </c>
      <c r="L49" s="1">
        <v>268</v>
      </c>
      <c r="M49" s="1">
        <v>15</v>
      </c>
      <c r="N49" s="1" t="str">
        <f t="shared" si="2"/>
        <v>Published</v>
      </c>
      <c r="O49" s="1">
        <f t="shared" si="3"/>
        <v>40.199999999999996</v>
      </c>
      <c r="P49" s="1">
        <v>14</v>
      </c>
      <c r="Q49" s="1">
        <v>945</v>
      </c>
      <c r="R49" s="1" t="str">
        <f t="shared" si="4"/>
        <v>2</v>
      </c>
      <c r="S49" s="1">
        <v>130</v>
      </c>
      <c r="T49" s="1" t="str">
        <f t="shared" si="1"/>
        <v>2</v>
      </c>
      <c r="U49" s="1">
        <v>-34.292889000000002</v>
      </c>
      <c r="V49" s="3">
        <v>150.58274</v>
      </c>
    </row>
    <row r="50" spans="1:22" x14ac:dyDescent="0.35">
      <c r="A50" s="22" t="s">
        <v>249</v>
      </c>
      <c r="B50" s="1" t="s">
        <v>250</v>
      </c>
      <c r="C50" s="1" t="s">
        <v>251</v>
      </c>
      <c r="D50" s="1" t="s">
        <v>252</v>
      </c>
      <c r="E50" s="1" t="s">
        <v>96</v>
      </c>
      <c r="F50" s="1" t="s">
        <v>69</v>
      </c>
      <c r="G50" s="1">
        <f t="shared" si="0"/>
        <v>3</v>
      </c>
      <c r="H50" s="1" t="s">
        <v>70</v>
      </c>
      <c r="I50" s="1" t="s">
        <v>49</v>
      </c>
      <c r="J50" s="23" t="s">
        <v>50</v>
      </c>
      <c r="K50" s="2" t="s">
        <v>51</v>
      </c>
      <c r="L50" s="1">
        <v>162</v>
      </c>
      <c r="M50" s="1">
        <v>5</v>
      </c>
      <c r="N50" s="1" t="str">
        <f t="shared" si="2"/>
        <v>Published</v>
      </c>
      <c r="O50" s="1">
        <f t="shared" si="3"/>
        <v>8.1</v>
      </c>
      <c r="P50" s="1">
        <v>7</v>
      </c>
      <c r="Q50" s="1">
        <v>982</v>
      </c>
      <c r="R50" s="1" t="str">
        <f t="shared" si="4"/>
        <v>2</v>
      </c>
      <c r="S50" s="1">
        <v>94</v>
      </c>
      <c r="T50" s="1" t="str">
        <f t="shared" si="1"/>
        <v>2</v>
      </c>
      <c r="U50" s="1">
        <v>-35.626914999999997</v>
      </c>
      <c r="V50" s="3">
        <v>144.12797699999999</v>
      </c>
    </row>
    <row r="51" spans="1:22" x14ac:dyDescent="0.35">
      <c r="A51" s="22" t="s">
        <v>253</v>
      </c>
      <c r="B51" s="1" t="s">
        <v>254</v>
      </c>
      <c r="C51" s="1" t="s">
        <v>255</v>
      </c>
      <c r="D51" s="1" t="s">
        <v>256</v>
      </c>
      <c r="E51" s="1" t="s">
        <v>107</v>
      </c>
      <c r="F51" s="1" t="s">
        <v>57</v>
      </c>
      <c r="G51" s="1">
        <f t="shared" si="0"/>
        <v>2</v>
      </c>
      <c r="H51" s="1" t="s">
        <v>92</v>
      </c>
      <c r="I51" s="1" t="s">
        <v>49</v>
      </c>
      <c r="J51" s="23" t="s">
        <v>50</v>
      </c>
      <c r="K51" s="2" t="s">
        <v>51</v>
      </c>
      <c r="L51" s="1">
        <v>42</v>
      </c>
      <c r="M51" s="1">
        <v>21</v>
      </c>
      <c r="N51" s="1" t="str">
        <f t="shared" si="2"/>
        <v>Published</v>
      </c>
      <c r="O51" s="1">
        <f t="shared" si="3"/>
        <v>8.82</v>
      </c>
      <c r="P51" s="1">
        <v>24</v>
      </c>
      <c r="Q51" s="1">
        <v>971</v>
      </c>
      <c r="R51" s="1" t="str">
        <f t="shared" si="4"/>
        <v>2</v>
      </c>
      <c r="S51" s="1">
        <v>114</v>
      </c>
      <c r="T51" s="1" t="str">
        <f t="shared" si="1"/>
        <v>1</v>
      </c>
      <c r="U51" s="1">
        <v>-28.549019999999999</v>
      </c>
      <c r="V51" s="3">
        <v>153.14927</v>
      </c>
    </row>
    <row r="52" spans="1:22" x14ac:dyDescent="0.35">
      <c r="A52" s="22" t="s">
        <v>257</v>
      </c>
      <c r="B52" s="1" t="s">
        <v>258</v>
      </c>
      <c r="C52" s="1" t="s">
        <v>259</v>
      </c>
      <c r="D52" s="1" t="s">
        <v>260</v>
      </c>
      <c r="E52" s="1" t="s">
        <v>261</v>
      </c>
      <c r="F52" s="1" t="s">
        <v>69</v>
      </c>
      <c r="G52" s="1">
        <f t="shared" si="0"/>
        <v>3</v>
      </c>
      <c r="H52" s="1" t="s">
        <v>70</v>
      </c>
      <c r="I52" s="1" t="s">
        <v>49</v>
      </c>
      <c r="J52" s="23" t="s">
        <v>50</v>
      </c>
      <c r="K52" s="2" t="s">
        <v>51</v>
      </c>
      <c r="L52" s="1">
        <v>5</v>
      </c>
      <c r="M52" s="1"/>
      <c r="N52" s="1" t="str">
        <f t="shared" si="2"/>
        <v>Suppressed</v>
      </c>
      <c r="O52" s="1" t="str">
        <f t="shared" si="3"/>
        <v/>
      </c>
      <c r="P52" s="1">
        <v>0</v>
      </c>
      <c r="Q52" s="1">
        <v>756</v>
      </c>
      <c r="R52" s="1" t="str">
        <f t="shared" si="4"/>
        <v>1</v>
      </c>
      <c r="S52" s="1">
        <v>260</v>
      </c>
      <c r="T52" s="1" t="str">
        <f t="shared" si="1"/>
        <v>1</v>
      </c>
      <c r="U52" s="1">
        <v>-34.148277</v>
      </c>
      <c r="V52" s="3">
        <v>147.38507799999999</v>
      </c>
    </row>
    <row r="53" spans="1:22" x14ac:dyDescent="0.35">
      <c r="A53" s="22" t="s">
        <v>262</v>
      </c>
      <c r="B53" s="1" t="s">
        <v>263</v>
      </c>
      <c r="C53" s="1" t="s">
        <v>264</v>
      </c>
      <c r="D53" s="1" t="s">
        <v>191</v>
      </c>
      <c r="E53" s="1" t="s">
        <v>75</v>
      </c>
      <c r="F53" s="1" t="s">
        <v>47</v>
      </c>
      <c r="G53" s="1">
        <f t="shared" si="0"/>
        <v>1</v>
      </c>
      <c r="H53" s="1" t="s">
        <v>63</v>
      </c>
      <c r="I53" s="1" t="s">
        <v>49</v>
      </c>
      <c r="J53" s="23" t="s">
        <v>50</v>
      </c>
      <c r="K53" s="2" t="s">
        <v>51</v>
      </c>
      <c r="L53" s="1">
        <v>276</v>
      </c>
      <c r="M53" s="1">
        <v>14</v>
      </c>
      <c r="N53" s="1" t="str">
        <f t="shared" si="2"/>
        <v>Published</v>
      </c>
      <c r="O53" s="1">
        <f t="shared" si="3"/>
        <v>38.64</v>
      </c>
      <c r="P53" s="1">
        <v>5</v>
      </c>
      <c r="Q53" s="1">
        <v>950</v>
      </c>
      <c r="R53" s="1" t="str">
        <f t="shared" si="4"/>
        <v>2</v>
      </c>
      <c r="S53" s="1">
        <v>116</v>
      </c>
      <c r="T53" s="1" t="str">
        <f t="shared" si="1"/>
        <v>2</v>
      </c>
      <c r="U53" s="1">
        <v>-32.933093999999997</v>
      </c>
      <c r="V53" s="3">
        <v>151.59455199999999</v>
      </c>
    </row>
    <row r="54" spans="1:22" x14ac:dyDescent="0.35">
      <c r="A54" s="22" t="s">
        <v>265</v>
      </c>
      <c r="B54" s="1" t="s">
        <v>266</v>
      </c>
      <c r="C54" s="1" t="s">
        <v>267</v>
      </c>
      <c r="D54" s="1" t="s">
        <v>268</v>
      </c>
      <c r="E54" s="1" t="s">
        <v>96</v>
      </c>
      <c r="F54" s="1" t="s">
        <v>57</v>
      </c>
      <c r="G54" s="1">
        <f t="shared" si="0"/>
        <v>2</v>
      </c>
      <c r="H54" s="1" t="s">
        <v>70</v>
      </c>
      <c r="I54" s="1" t="s">
        <v>49</v>
      </c>
      <c r="J54" s="23" t="s">
        <v>50</v>
      </c>
      <c r="K54" s="2" t="s">
        <v>51</v>
      </c>
      <c r="L54" s="1">
        <v>109</v>
      </c>
      <c r="M54" s="1">
        <v>7</v>
      </c>
      <c r="N54" s="1" t="str">
        <f t="shared" si="2"/>
        <v>Published</v>
      </c>
      <c r="O54" s="1">
        <f t="shared" si="3"/>
        <v>7.6300000000000008</v>
      </c>
      <c r="P54" s="1">
        <v>10</v>
      </c>
      <c r="Q54" s="1">
        <v>962</v>
      </c>
      <c r="R54" s="1" t="str">
        <f t="shared" si="4"/>
        <v>2</v>
      </c>
      <c r="S54" s="1">
        <v>112</v>
      </c>
      <c r="T54" s="1" t="str">
        <f t="shared" si="1"/>
        <v>2</v>
      </c>
      <c r="U54" s="1">
        <v>-35.912962999999998</v>
      </c>
      <c r="V54" s="3">
        <v>145.69598500000001</v>
      </c>
    </row>
    <row r="55" spans="1:22" x14ac:dyDescent="0.35">
      <c r="A55" s="22" t="s">
        <v>269</v>
      </c>
      <c r="B55" s="1" t="s">
        <v>270</v>
      </c>
      <c r="C55" s="1" t="s">
        <v>271</v>
      </c>
      <c r="D55" s="1" t="s">
        <v>90</v>
      </c>
      <c r="E55" s="1" t="s">
        <v>91</v>
      </c>
      <c r="F55" s="1" t="s">
        <v>69</v>
      </c>
      <c r="G55" s="1">
        <f t="shared" si="0"/>
        <v>3</v>
      </c>
      <c r="H55" s="1" t="s">
        <v>92</v>
      </c>
      <c r="I55" s="1" t="s">
        <v>132</v>
      </c>
      <c r="J55" s="23" t="s">
        <v>50</v>
      </c>
      <c r="K55" s="2" t="s">
        <v>51</v>
      </c>
      <c r="L55" s="1">
        <v>160</v>
      </c>
      <c r="M55" s="1">
        <v>33</v>
      </c>
      <c r="N55" s="1" t="str">
        <f t="shared" si="2"/>
        <v>Published</v>
      </c>
      <c r="O55" s="1">
        <f t="shared" si="3"/>
        <v>52.800000000000004</v>
      </c>
      <c r="P55" s="1"/>
      <c r="Q55" s="1">
        <v>839</v>
      </c>
      <c r="R55" s="1" t="str">
        <f t="shared" si="4"/>
        <v>1</v>
      </c>
      <c r="S55" s="1">
        <v>163</v>
      </c>
      <c r="T55" s="1" t="str">
        <f t="shared" si="1"/>
        <v>2</v>
      </c>
      <c r="U55" s="1">
        <v>-30.382390000000001</v>
      </c>
      <c r="V55" s="3">
        <v>150.599478</v>
      </c>
    </row>
    <row r="56" spans="1:22" x14ac:dyDescent="0.35">
      <c r="A56" s="22" t="s">
        <v>272</v>
      </c>
      <c r="B56" s="1" t="s">
        <v>273</v>
      </c>
      <c r="C56" s="1" t="s">
        <v>274</v>
      </c>
      <c r="D56" s="1" t="s">
        <v>275</v>
      </c>
      <c r="E56" s="1" t="s">
        <v>276</v>
      </c>
      <c r="F56" s="1" t="s">
        <v>69</v>
      </c>
      <c r="G56" s="1">
        <f t="shared" si="0"/>
        <v>3</v>
      </c>
      <c r="H56" s="1" t="s">
        <v>58</v>
      </c>
      <c r="I56" s="1" t="s">
        <v>49</v>
      </c>
      <c r="J56" s="23" t="s">
        <v>50</v>
      </c>
      <c r="K56" s="2" t="s">
        <v>51</v>
      </c>
      <c r="L56" s="1">
        <v>52</v>
      </c>
      <c r="M56" s="1">
        <v>19</v>
      </c>
      <c r="N56" s="1" t="str">
        <f t="shared" si="2"/>
        <v>Published</v>
      </c>
      <c r="O56" s="1">
        <f t="shared" si="3"/>
        <v>9.8800000000000008</v>
      </c>
      <c r="P56" s="1"/>
      <c r="Q56" s="1">
        <v>966</v>
      </c>
      <c r="R56" s="1" t="str">
        <f t="shared" si="4"/>
        <v>2</v>
      </c>
      <c r="S56" s="1">
        <v>89</v>
      </c>
      <c r="T56" s="1" t="str">
        <f t="shared" si="1"/>
        <v>1</v>
      </c>
      <c r="U56" s="1">
        <v>-31.971159</v>
      </c>
      <c r="V56" s="3">
        <v>151.911058</v>
      </c>
    </row>
    <row r="57" spans="1:22" x14ac:dyDescent="0.35">
      <c r="A57" s="22" t="s">
        <v>277</v>
      </c>
      <c r="B57" s="1" t="s">
        <v>278</v>
      </c>
      <c r="C57" s="1" t="s">
        <v>279</v>
      </c>
      <c r="D57" s="1" t="s">
        <v>280</v>
      </c>
      <c r="E57" s="1" t="s">
        <v>281</v>
      </c>
      <c r="F57" s="1" t="s">
        <v>69</v>
      </c>
      <c r="G57" s="1">
        <f t="shared" si="0"/>
        <v>3</v>
      </c>
      <c r="H57" s="1" t="s">
        <v>92</v>
      </c>
      <c r="I57" s="1" t="s">
        <v>49</v>
      </c>
      <c r="J57" s="23" t="s">
        <v>50</v>
      </c>
      <c r="K57" s="2" t="s">
        <v>51</v>
      </c>
      <c r="L57" s="1">
        <v>14</v>
      </c>
      <c r="M57" s="1">
        <v>57</v>
      </c>
      <c r="N57" s="1" t="str">
        <f t="shared" si="2"/>
        <v>Published</v>
      </c>
      <c r="O57" s="1">
        <f t="shared" si="3"/>
        <v>7.9799999999999995</v>
      </c>
      <c r="P57" s="1"/>
      <c r="Q57" s="1">
        <v>775</v>
      </c>
      <c r="R57" s="1" t="str">
        <f t="shared" si="4"/>
        <v>1</v>
      </c>
      <c r="S57" s="1">
        <v>201</v>
      </c>
      <c r="T57" s="1" t="str">
        <f t="shared" si="1"/>
        <v>1</v>
      </c>
      <c r="U57" s="1">
        <v>-29.223500000000001</v>
      </c>
      <c r="V57" s="3">
        <v>152.605615</v>
      </c>
    </row>
    <row r="58" spans="1:22" x14ac:dyDescent="0.35">
      <c r="A58" s="22" t="s">
        <v>282</v>
      </c>
      <c r="B58" s="1" t="s">
        <v>283</v>
      </c>
      <c r="C58" s="1" t="s">
        <v>284</v>
      </c>
      <c r="D58" s="1" t="s">
        <v>152</v>
      </c>
      <c r="E58" s="1" t="s">
        <v>229</v>
      </c>
      <c r="F58" s="1" t="s">
        <v>47</v>
      </c>
      <c r="G58" s="1">
        <f t="shared" si="0"/>
        <v>1</v>
      </c>
      <c r="H58" s="1" t="s">
        <v>182</v>
      </c>
      <c r="I58" s="1" t="s">
        <v>49</v>
      </c>
      <c r="J58" s="23" t="s">
        <v>50</v>
      </c>
      <c r="K58" s="2" t="s">
        <v>51</v>
      </c>
      <c r="L58" s="1">
        <v>346</v>
      </c>
      <c r="M58" s="1"/>
      <c r="N58" s="1" t="str">
        <f t="shared" si="2"/>
        <v>Suppressed</v>
      </c>
      <c r="O58" s="1" t="str">
        <f t="shared" si="3"/>
        <v/>
      </c>
      <c r="P58" s="1">
        <v>94</v>
      </c>
      <c r="Q58" s="1">
        <v>929</v>
      </c>
      <c r="R58" s="1" t="str">
        <f t="shared" si="4"/>
        <v>2</v>
      </c>
      <c r="S58" s="1">
        <v>152</v>
      </c>
      <c r="T58" s="1" t="str">
        <f t="shared" si="1"/>
        <v>3</v>
      </c>
      <c r="U58" s="1">
        <v>-33.905901999999998</v>
      </c>
      <c r="V58" s="3">
        <v>151.00577899999999</v>
      </c>
    </row>
    <row r="59" spans="1:22" x14ac:dyDescent="0.35">
      <c r="A59" s="22" t="s">
        <v>285</v>
      </c>
      <c r="B59" s="1" t="s">
        <v>286</v>
      </c>
      <c r="C59" s="1" t="s">
        <v>287</v>
      </c>
      <c r="D59" s="1" t="s">
        <v>288</v>
      </c>
      <c r="E59" s="1" t="s">
        <v>68</v>
      </c>
      <c r="F59" s="1" t="s">
        <v>57</v>
      </c>
      <c r="G59" s="1">
        <f t="shared" si="0"/>
        <v>2</v>
      </c>
      <c r="H59" s="1" t="s">
        <v>86</v>
      </c>
      <c r="I59" s="1" t="s">
        <v>49</v>
      </c>
      <c r="J59" s="23" t="s">
        <v>50</v>
      </c>
      <c r="K59" s="2" t="s">
        <v>51</v>
      </c>
      <c r="L59" s="1">
        <v>494</v>
      </c>
      <c r="M59" s="1">
        <v>30</v>
      </c>
      <c r="N59" s="1" t="str">
        <f t="shared" si="2"/>
        <v>Published</v>
      </c>
      <c r="O59" s="1">
        <f t="shared" si="3"/>
        <v>148.19999999999999</v>
      </c>
      <c r="P59" s="1">
        <v>5</v>
      </c>
      <c r="Q59" s="1">
        <v>896</v>
      </c>
      <c r="R59" s="1" t="str">
        <f t="shared" si="4"/>
        <v>1</v>
      </c>
      <c r="S59" s="1">
        <v>136</v>
      </c>
      <c r="T59" s="1" t="str">
        <f t="shared" si="1"/>
        <v>3</v>
      </c>
      <c r="U59" s="1">
        <v>-35.700051000000002</v>
      </c>
      <c r="V59" s="3">
        <v>150.18837300000001</v>
      </c>
    </row>
    <row r="60" spans="1:22" x14ac:dyDescent="0.35">
      <c r="A60" s="22" t="s">
        <v>289</v>
      </c>
      <c r="B60" s="1" t="s">
        <v>290</v>
      </c>
      <c r="C60" s="1" t="s">
        <v>291</v>
      </c>
      <c r="D60" s="1" t="s">
        <v>291</v>
      </c>
      <c r="E60" s="1" t="s">
        <v>261</v>
      </c>
      <c r="F60" s="1" t="s">
        <v>57</v>
      </c>
      <c r="G60" s="1">
        <f t="shared" si="0"/>
        <v>2</v>
      </c>
      <c r="H60" s="1" t="s">
        <v>58</v>
      </c>
      <c r="I60" s="1" t="s">
        <v>49</v>
      </c>
      <c r="J60" s="23" t="s">
        <v>50</v>
      </c>
      <c r="K60" s="2" t="s">
        <v>51</v>
      </c>
      <c r="L60" s="1">
        <v>424</v>
      </c>
      <c r="M60" s="1">
        <v>14</v>
      </c>
      <c r="N60" s="1" t="str">
        <f t="shared" si="2"/>
        <v>Published</v>
      </c>
      <c r="O60" s="1">
        <f t="shared" si="3"/>
        <v>59.360000000000007</v>
      </c>
      <c r="P60" s="1">
        <v>15</v>
      </c>
      <c r="Q60" s="1">
        <v>983</v>
      </c>
      <c r="R60" s="1" t="str">
        <f t="shared" si="4"/>
        <v>2</v>
      </c>
      <c r="S60" s="1">
        <v>92</v>
      </c>
      <c r="T60" s="1" t="str">
        <f t="shared" si="1"/>
        <v>3</v>
      </c>
      <c r="U60" s="1">
        <v>-33.420941999999997</v>
      </c>
      <c r="V60" s="3">
        <v>149.570615</v>
      </c>
    </row>
    <row r="61" spans="1:22" x14ac:dyDescent="0.35">
      <c r="A61" s="22" t="s">
        <v>292</v>
      </c>
      <c r="B61" s="1" t="s">
        <v>293</v>
      </c>
      <c r="C61" s="1" t="s">
        <v>294</v>
      </c>
      <c r="D61" s="1" t="s">
        <v>79</v>
      </c>
      <c r="E61" s="1" t="s">
        <v>80</v>
      </c>
      <c r="F61" s="1" t="s">
        <v>69</v>
      </c>
      <c r="G61" s="1">
        <f t="shared" si="0"/>
        <v>3</v>
      </c>
      <c r="H61" s="1" t="s">
        <v>70</v>
      </c>
      <c r="I61" s="1" t="s">
        <v>132</v>
      </c>
      <c r="J61" s="23" t="s">
        <v>50</v>
      </c>
      <c r="K61" s="2" t="s">
        <v>51</v>
      </c>
      <c r="L61" s="1">
        <v>103</v>
      </c>
      <c r="M61" s="1">
        <v>7</v>
      </c>
      <c r="N61" s="1" t="str">
        <f t="shared" si="2"/>
        <v>Published</v>
      </c>
      <c r="O61" s="1">
        <f t="shared" si="3"/>
        <v>7.2100000000000009</v>
      </c>
      <c r="P61" s="1">
        <v>9</v>
      </c>
      <c r="Q61" s="1">
        <v>904</v>
      </c>
      <c r="R61" s="1" t="str">
        <f t="shared" si="4"/>
        <v>2</v>
      </c>
      <c r="S61" s="1">
        <v>155</v>
      </c>
      <c r="T61" s="1" t="str">
        <f t="shared" si="1"/>
        <v>2</v>
      </c>
      <c r="U61" s="1">
        <v>-35.523007</v>
      </c>
      <c r="V61" s="3">
        <v>148.146548</v>
      </c>
    </row>
    <row r="62" spans="1:22" x14ac:dyDescent="0.35">
      <c r="A62" s="22" t="s">
        <v>295</v>
      </c>
      <c r="B62" s="1" t="s">
        <v>296</v>
      </c>
      <c r="C62" s="1" t="s">
        <v>297</v>
      </c>
      <c r="D62" s="1" t="s">
        <v>298</v>
      </c>
      <c r="E62" s="1" t="s">
        <v>261</v>
      </c>
      <c r="F62" s="1" t="s">
        <v>69</v>
      </c>
      <c r="G62" s="1">
        <f t="shared" si="0"/>
        <v>3</v>
      </c>
      <c r="H62" s="1" t="s">
        <v>70</v>
      </c>
      <c r="I62" s="1" t="s">
        <v>49</v>
      </c>
      <c r="J62" s="23" t="s">
        <v>50</v>
      </c>
      <c r="K62" s="2" t="s">
        <v>51</v>
      </c>
      <c r="L62" s="1">
        <v>31</v>
      </c>
      <c r="M62" s="1"/>
      <c r="N62" s="1" t="str">
        <f t="shared" si="2"/>
        <v>Suppressed</v>
      </c>
      <c r="O62" s="1" t="str">
        <f t="shared" si="3"/>
        <v/>
      </c>
      <c r="P62" s="1"/>
      <c r="Q62" s="1">
        <v>950</v>
      </c>
      <c r="R62" s="1" t="str">
        <f t="shared" si="4"/>
        <v>2</v>
      </c>
      <c r="S62" s="1">
        <v>137</v>
      </c>
      <c r="T62" s="1" t="str">
        <f t="shared" si="1"/>
        <v>1</v>
      </c>
      <c r="U62" s="1">
        <v>-33.361353000000001</v>
      </c>
      <c r="V62" s="3">
        <v>147.67931799999999</v>
      </c>
    </row>
    <row r="63" spans="1:22" x14ac:dyDescent="0.35">
      <c r="A63" s="22" t="s">
        <v>299</v>
      </c>
      <c r="B63" s="1" t="s">
        <v>300</v>
      </c>
      <c r="C63" s="1" t="s">
        <v>301</v>
      </c>
      <c r="D63" s="1" t="s">
        <v>302</v>
      </c>
      <c r="E63" s="1" t="s">
        <v>276</v>
      </c>
      <c r="F63" s="1" t="s">
        <v>57</v>
      </c>
      <c r="G63" s="1">
        <f t="shared" si="0"/>
        <v>2</v>
      </c>
      <c r="H63" s="1" t="s">
        <v>58</v>
      </c>
      <c r="I63" s="1" t="s">
        <v>49</v>
      </c>
      <c r="J63" s="23" t="s">
        <v>50</v>
      </c>
      <c r="K63" s="2" t="s">
        <v>51</v>
      </c>
      <c r="L63" s="1">
        <v>184</v>
      </c>
      <c r="M63" s="1">
        <v>19</v>
      </c>
      <c r="N63" s="1" t="str">
        <f t="shared" si="2"/>
        <v>Published</v>
      </c>
      <c r="O63" s="1">
        <f t="shared" si="3"/>
        <v>34.96</v>
      </c>
      <c r="P63" s="1">
        <v>4</v>
      </c>
      <c r="Q63" s="1">
        <v>959</v>
      </c>
      <c r="R63" s="1" t="str">
        <f t="shared" si="4"/>
        <v>2</v>
      </c>
      <c r="S63" s="1">
        <v>109</v>
      </c>
      <c r="T63" s="1" t="str">
        <f t="shared" si="1"/>
        <v>2</v>
      </c>
      <c r="U63" s="1">
        <v>-31.435535000000002</v>
      </c>
      <c r="V63" s="3">
        <v>152.68093999999999</v>
      </c>
    </row>
    <row r="64" spans="1:22" x14ac:dyDescent="0.35">
      <c r="A64" s="22" t="s">
        <v>303</v>
      </c>
      <c r="B64" s="1" t="s">
        <v>304</v>
      </c>
      <c r="C64" s="1" t="s">
        <v>305</v>
      </c>
      <c r="D64" s="1" t="s">
        <v>126</v>
      </c>
      <c r="E64" s="1" t="s">
        <v>306</v>
      </c>
      <c r="F64" s="1" t="s">
        <v>47</v>
      </c>
      <c r="G64" s="1">
        <f t="shared" si="0"/>
        <v>1</v>
      </c>
      <c r="H64" s="1" t="s">
        <v>148</v>
      </c>
      <c r="I64" s="1" t="s">
        <v>49</v>
      </c>
      <c r="J64" s="23" t="s">
        <v>50</v>
      </c>
      <c r="K64" s="2" t="s">
        <v>51</v>
      </c>
      <c r="L64" s="1">
        <v>837</v>
      </c>
      <c r="M64" s="1"/>
      <c r="N64" s="1" t="str">
        <f t="shared" si="2"/>
        <v>Suppressed</v>
      </c>
      <c r="O64" s="1" t="str">
        <f t="shared" si="3"/>
        <v/>
      </c>
      <c r="P64" s="1">
        <v>75</v>
      </c>
      <c r="Q64" s="1">
        <v>1187</v>
      </c>
      <c r="R64" s="1" t="str">
        <f t="shared" si="4"/>
        <v>4</v>
      </c>
      <c r="S64" s="1">
        <v>0</v>
      </c>
      <c r="T64" s="1" t="str">
        <f t="shared" si="1"/>
        <v>4</v>
      </c>
      <c r="U64" s="1">
        <v>-33.752085000000001</v>
      </c>
      <c r="V64" s="3">
        <v>151.06461999999999</v>
      </c>
    </row>
    <row r="65" spans="1:22" x14ac:dyDescent="0.35">
      <c r="A65" s="22" t="s">
        <v>307</v>
      </c>
      <c r="B65" s="1" t="s">
        <v>308</v>
      </c>
      <c r="C65" s="1" t="s">
        <v>309</v>
      </c>
      <c r="D65" s="1" t="s">
        <v>310</v>
      </c>
      <c r="E65" s="1" t="s">
        <v>80</v>
      </c>
      <c r="F65" s="1" t="s">
        <v>69</v>
      </c>
      <c r="G65" s="1">
        <f t="shared" si="0"/>
        <v>3</v>
      </c>
      <c r="H65" s="1" t="s">
        <v>70</v>
      </c>
      <c r="I65" s="1" t="s">
        <v>49</v>
      </c>
      <c r="J65" s="23" t="s">
        <v>50</v>
      </c>
      <c r="K65" s="2" t="s">
        <v>51</v>
      </c>
      <c r="L65" s="1">
        <v>142</v>
      </c>
      <c r="M65" s="1">
        <v>7</v>
      </c>
      <c r="N65" s="1" t="str">
        <f t="shared" si="2"/>
        <v>Published</v>
      </c>
      <c r="O65" s="1">
        <f t="shared" si="3"/>
        <v>9.9400000000000013</v>
      </c>
      <c r="P65" s="1">
        <v>38</v>
      </c>
      <c r="Q65" s="1">
        <v>983</v>
      </c>
      <c r="R65" s="1" t="str">
        <f t="shared" si="4"/>
        <v>2</v>
      </c>
      <c r="S65" s="1">
        <v>91</v>
      </c>
      <c r="T65" s="1" t="str">
        <f t="shared" si="1"/>
        <v>2</v>
      </c>
      <c r="U65" s="1">
        <v>-34.252836000000002</v>
      </c>
      <c r="V65" s="3">
        <v>146.101067</v>
      </c>
    </row>
    <row r="66" spans="1:22" x14ac:dyDescent="0.35">
      <c r="A66" s="22" t="s">
        <v>311</v>
      </c>
      <c r="B66" s="1" t="s">
        <v>312</v>
      </c>
      <c r="C66" s="1" t="s">
        <v>313</v>
      </c>
      <c r="D66" s="1" t="s">
        <v>314</v>
      </c>
      <c r="E66" s="1" t="s">
        <v>68</v>
      </c>
      <c r="F66" s="1" t="s">
        <v>69</v>
      </c>
      <c r="G66" s="1">
        <f t="shared" ref="G66:G129" si="5">IF(F66="Major Cities of Australia",1,IF(F66="Inner Regional Australia",2,IF(F66="Outer Regional Australia",3,IF(F66="Remote Australia",4,IF(F66="Very Remote Australia",5,6)))))</f>
        <v>3</v>
      </c>
      <c r="H66" s="1" t="s">
        <v>86</v>
      </c>
      <c r="I66" s="1" t="s">
        <v>49</v>
      </c>
      <c r="J66" s="23" t="s">
        <v>50</v>
      </c>
      <c r="K66" s="2" t="s">
        <v>51</v>
      </c>
      <c r="L66" s="1">
        <v>291</v>
      </c>
      <c r="M66" s="1">
        <v>22</v>
      </c>
      <c r="N66" s="1" t="str">
        <f t="shared" si="2"/>
        <v>Published</v>
      </c>
      <c r="O66" s="1">
        <f t="shared" ref="O66:O129" si="6">IF(OR(M66="",L66=""),"",M66/100*L66)</f>
        <v>64.02</v>
      </c>
      <c r="P66" s="1">
        <v>9</v>
      </c>
      <c r="Q66" s="1">
        <v>917</v>
      </c>
      <c r="R66" s="1" t="str">
        <f t="shared" si="4"/>
        <v>2</v>
      </c>
      <c r="S66" s="1">
        <v>132</v>
      </c>
      <c r="T66" s="1" t="str">
        <f t="shared" ref="T66:T129" si="7">IF(L66="","No enrolment",IF(L66&lt;100,"1",IF(L66&lt;300,"2",IF(L66&lt;600,"3",IF(L66&lt;1000,"4","5")))))</f>
        <v>2</v>
      </c>
      <c r="U66" s="1">
        <v>-36.670544999999997</v>
      </c>
      <c r="V66" s="3">
        <v>149.83909499999999</v>
      </c>
    </row>
    <row r="67" spans="1:22" x14ac:dyDescent="0.35">
      <c r="A67" s="22" t="s">
        <v>315</v>
      </c>
      <c r="B67" s="1" t="s">
        <v>316</v>
      </c>
      <c r="C67" s="1" t="s">
        <v>317</v>
      </c>
      <c r="D67" s="1" t="s">
        <v>318</v>
      </c>
      <c r="E67" s="1" t="s">
        <v>91</v>
      </c>
      <c r="F67" s="1" t="s">
        <v>69</v>
      </c>
      <c r="G67" s="1">
        <f t="shared" si="5"/>
        <v>3</v>
      </c>
      <c r="H67" s="1" t="s">
        <v>92</v>
      </c>
      <c r="I67" s="1" t="s">
        <v>49</v>
      </c>
      <c r="J67" s="23" t="s">
        <v>50</v>
      </c>
      <c r="K67" s="2" t="s">
        <v>51</v>
      </c>
      <c r="L67" s="1">
        <v>17</v>
      </c>
      <c r="M67" s="1">
        <v>35</v>
      </c>
      <c r="N67" s="1" t="str">
        <f t="shared" ref="N67:N130" si="8">IF(M67="","Suppressed","Published")</f>
        <v>Published</v>
      </c>
      <c r="O67" s="1">
        <f t="shared" si="6"/>
        <v>5.9499999999999993</v>
      </c>
      <c r="P67" s="1">
        <v>0</v>
      </c>
      <c r="Q67" s="1">
        <v>913</v>
      </c>
      <c r="R67" s="1" t="str">
        <f t="shared" ref="R67:R130" si="9">IF(Q67="","No ICSEA",IF(Q67&lt;900,"1",IF(Q67&lt;1000,"2",IF(Q67&lt;1100,"3","4"))))</f>
        <v>2</v>
      </c>
      <c r="S67" s="1">
        <v>108</v>
      </c>
      <c r="T67" s="1" t="str">
        <f t="shared" si="7"/>
        <v>1</v>
      </c>
      <c r="U67" s="1">
        <v>-29.918659000000002</v>
      </c>
      <c r="V67" s="3">
        <v>149.79621599999999</v>
      </c>
    </row>
    <row r="68" spans="1:22" x14ac:dyDescent="0.35">
      <c r="A68" s="22" t="s">
        <v>319</v>
      </c>
      <c r="B68" s="1" t="s">
        <v>320</v>
      </c>
      <c r="C68" s="1" t="s">
        <v>321</v>
      </c>
      <c r="D68" s="1" t="s">
        <v>62</v>
      </c>
      <c r="E68" s="1" t="s">
        <v>56</v>
      </c>
      <c r="F68" s="1" t="s">
        <v>47</v>
      </c>
      <c r="G68" s="1">
        <f t="shared" si="5"/>
        <v>1</v>
      </c>
      <c r="H68" s="1" t="s">
        <v>63</v>
      </c>
      <c r="I68" s="1" t="s">
        <v>49</v>
      </c>
      <c r="J68" s="23" t="s">
        <v>50</v>
      </c>
      <c r="K68" s="2" t="s">
        <v>51</v>
      </c>
      <c r="L68" s="1">
        <v>355</v>
      </c>
      <c r="M68" s="1">
        <v>29</v>
      </c>
      <c r="N68" s="1" t="str">
        <f t="shared" si="8"/>
        <v>Published</v>
      </c>
      <c r="O68" s="1">
        <f t="shared" si="6"/>
        <v>102.94999999999999</v>
      </c>
      <c r="P68" s="1">
        <v>5</v>
      </c>
      <c r="Q68" s="1">
        <v>907</v>
      </c>
      <c r="R68" s="1" t="str">
        <f t="shared" si="9"/>
        <v>2</v>
      </c>
      <c r="S68" s="1">
        <v>134</v>
      </c>
      <c r="T68" s="1" t="str">
        <f t="shared" si="7"/>
        <v>3</v>
      </c>
      <c r="U68" s="1">
        <v>-32.859420999999998</v>
      </c>
      <c r="V68" s="3">
        <v>151.31670500000001</v>
      </c>
    </row>
    <row r="69" spans="1:22" x14ac:dyDescent="0.35">
      <c r="A69" s="22" t="s">
        <v>322</v>
      </c>
      <c r="B69" s="1" t="s">
        <v>323</v>
      </c>
      <c r="C69" s="1" t="s">
        <v>324</v>
      </c>
      <c r="D69" s="1" t="s">
        <v>325</v>
      </c>
      <c r="E69" s="1" t="s">
        <v>276</v>
      </c>
      <c r="F69" s="1" t="s">
        <v>69</v>
      </c>
      <c r="G69" s="1">
        <f t="shared" si="5"/>
        <v>3</v>
      </c>
      <c r="H69" s="1" t="s">
        <v>58</v>
      </c>
      <c r="I69" s="1" t="s">
        <v>49</v>
      </c>
      <c r="J69" s="23" t="s">
        <v>50</v>
      </c>
      <c r="K69" s="2" t="s">
        <v>51</v>
      </c>
      <c r="L69" s="1">
        <v>24</v>
      </c>
      <c r="M69" s="1">
        <v>83</v>
      </c>
      <c r="N69" s="1" t="str">
        <f t="shared" si="8"/>
        <v>Published</v>
      </c>
      <c r="O69" s="1">
        <f t="shared" si="6"/>
        <v>19.919999999999998</v>
      </c>
      <c r="P69" s="1">
        <v>0</v>
      </c>
      <c r="Q69" s="1">
        <v>732</v>
      </c>
      <c r="R69" s="1" t="str">
        <f t="shared" si="9"/>
        <v>1</v>
      </c>
      <c r="S69" s="1">
        <v>194</v>
      </c>
      <c r="T69" s="1" t="str">
        <f t="shared" si="7"/>
        <v>1</v>
      </c>
      <c r="U69" s="1">
        <v>-30.819094</v>
      </c>
      <c r="V69" s="3">
        <v>152.50869800000001</v>
      </c>
    </row>
    <row r="70" spans="1:22" x14ac:dyDescent="0.35">
      <c r="A70" s="22" t="s">
        <v>326</v>
      </c>
      <c r="B70" s="1" t="s">
        <v>327</v>
      </c>
      <c r="C70" s="1" t="s">
        <v>328</v>
      </c>
      <c r="D70" s="1" t="s">
        <v>329</v>
      </c>
      <c r="E70" s="1" t="s">
        <v>330</v>
      </c>
      <c r="F70" s="1" t="s">
        <v>47</v>
      </c>
      <c r="G70" s="1">
        <f t="shared" si="5"/>
        <v>1</v>
      </c>
      <c r="H70" s="1" t="s">
        <v>48</v>
      </c>
      <c r="I70" s="1" t="s">
        <v>49</v>
      </c>
      <c r="J70" s="23" t="s">
        <v>50</v>
      </c>
      <c r="K70" s="2" t="s">
        <v>51</v>
      </c>
      <c r="L70" s="1">
        <v>573</v>
      </c>
      <c r="M70" s="1"/>
      <c r="N70" s="1" t="str">
        <f t="shared" si="8"/>
        <v>Suppressed</v>
      </c>
      <c r="O70" s="1" t="str">
        <f t="shared" si="6"/>
        <v/>
      </c>
      <c r="P70" s="1">
        <v>77</v>
      </c>
      <c r="Q70" s="1">
        <v>1156</v>
      </c>
      <c r="R70" s="1" t="str">
        <f t="shared" si="9"/>
        <v>4</v>
      </c>
      <c r="S70" s="1">
        <v>5</v>
      </c>
      <c r="T70" s="1" t="str">
        <f t="shared" si="7"/>
        <v>3</v>
      </c>
      <c r="U70" s="1">
        <v>-33.886986</v>
      </c>
      <c r="V70" s="3">
        <v>151.25978499999999</v>
      </c>
    </row>
    <row r="71" spans="1:22" x14ac:dyDescent="0.35">
      <c r="A71" s="22" t="s">
        <v>331</v>
      </c>
      <c r="B71" s="1" t="s">
        <v>332</v>
      </c>
      <c r="C71" s="1" t="s">
        <v>333</v>
      </c>
      <c r="D71" s="1" t="s">
        <v>333</v>
      </c>
      <c r="E71" s="1" t="s">
        <v>281</v>
      </c>
      <c r="F71" s="1" t="s">
        <v>57</v>
      </c>
      <c r="G71" s="1">
        <f t="shared" si="5"/>
        <v>2</v>
      </c>
      <c r="H71" s="1" t="s">
        <v>58</v>
      </c>
      <c r="I71" s="1" t="s">
        <v>49</v>
      </c>
      <c r="J71" s="23" t="s">
        <v>50</v>
      </c>
      <c r="K71" s="2" t="s">
        <v>51</v>
      </c>
      <c r="L71" s="1">
        <v>219</v>
      </c>
      <c r="M71" s="1">
        <v>14</v>
      </c>
      <c r="N71" s="1" t="str">
        <f t="shared" si="8"/>
        <v>Published</v>
      </c>
      <c r="O71" s="1">
        <f t="shared" si="6"/>
        <v>30.660000000000004</v>
      </c>
      <c r="P71" s="1">
        <v>8</v>
      </c>
      <c r="Q71" s="1">
        <v>998</v>
      </c>
      <c r="R71" s="1" t="str">
        <f t="shared" si="9"/>
        <v>2</v>
      </c>
      <c r="S71" s="1">
        <v>87</v>
      </c>
      <c r="T71" s="1" t="str">
        <f t="shared" si="7"/>
        <v>2</v>
      </c>
      <c r="U71" s="1">
        <v>-30.453489999999999</v>
      </c>
      <c r="V71" s="3">
        <v>152.891887</v>
      </c>
    </row>
    <row r="72" spans="1:22" x14ac:dyDescent="0.35">
      <c r="A72" s="22" t="s">
        <v>334</v>
      </c>
      <c r="B72" s="1" t="s">
        <v>335</v>
      </c>
      <c r="C72" s="1" t="s">
        <v>336</v>
      </c>
      <c r="D72" s="1" t="s">
        <v>55</v>
      </c>
      <c r="E72" s="1" t="s">
        <v>56</v>
      </c>
      <c r="F72" s="1" t="s">
        <v>69</v>
      </c>
      <c r="G72" s="1">
        <f t="shared" si="5"/>
        <v>3</v>
      </c>
      <c r="H72" s="1" t="s">
        <v>58</v>
      </c>
      <c r="I72" s="1" t="s">
        <v>49</v>
      </c>
      <c r="J72" s="23" t="s">
        <v>50</v>
      </c>
      <c r="K72" s="2" t="s">
        <v>51</v>
      </c>
      <c r="L72" s="1">
        <v>9</v>
      </c>
      <c r="M72" s="1"/>
      <c r="N72" s="1" t="str">
        <f t="shared" si="8"/>
        <v>Suppressed</v>
      </c>
      <c r="O72" s="1" t="str">
        <f t="shared" si="6"/>
        <v/>
      </c>
      <c r="P72" s="1"/>
      <c r="Q72" s="1">
        <v>927</v>
      </c>
      <c r="R72" s="1" t="str">
        <f t="shared" si="9"/>
        <v>2</v>
      </c>
      <c r="S72" s="1">
        <v>61</v>
      </c>
      <c r="T72" s="1" t="str">
        <f t="shared" si="7"/>
        <v>1</v>
      </c>
      <c r="U72" s="1">
        <v>-31.988752999999999</v>
      </c>
      <c r="V72" s="3">
        <v>151.12948700000001</v>
      </c>
    </row>
    <row r="73" spans="1:22" x14ac:dyDescent="0.35">
      <c r="A73" s="22" t="s">
        <v>337</v>
      </c>
      <c r="B73" s="1" t="s">
        <v>338</v>
      </c>
      <c r="C73" s="1" t="s">
        <v>339</v>
      </c>
      <c r="D73" s="1" t="s">
        <v>191</v>
      </c>
      <c r="E73" s="1" t="s">
        <v>75</v>
      </c>
      <c r="F73" s="1" t="s">
        <v>47</v>
      </c>
      <c r="G73" s="1">
        <f t="shared" si="5"/>
        <v>1</v>
      </c>
      <c r="H73" s="1" t="s">
        <v>63</v>
      </c>
      <c r="I73" s="1" t="s">
        <v>49</v>
      </c>
      <c r="J73" s="23" t="s">
        <v>50</v>
      </c>
      <c r="K73" s="2" t="s">
        <v>51</v>
      </c>
      <c r="L73" s="1">
        <v>257</v>
      </c>
      <c r="M73" s="1">
        <v>16</v>
      </c>
      <c r="N73" s="1" t="str">
        <f t="shared" si="8"/>
        <v>Published</v>
      </c>
      <c r="O73" s="1">
        <f t="shared" si="6"/>
        <v>41.12</v>
      </c>
      <c r="P73" s="1">
        <v>7</v>
      </c>
      <c r="Q73" s="1">
        <v>956</v>
      </c>
      <c r="R73" s="1" t="str">
        <f t="shared" si="9"/>
        <v>2</v>
      </c>
      <c r="S73" s="1">
        <v>122</v>
      </c>
      <c r="T73" s="1" t="str">
        <f t="shared" si="7"/>
        <v>2</v>
      </c>
      <c r="U73" s="1">
        <v>-33.030133999999997</v>
      </c>
      <c r="V73" s="3">
        <v>151.66220300000001</v>
      </c>
    </row>
    <row r="74" spans="1:22" x14ac:dyDescent="0.35">
      <c r="A74" s="22" t="s">
        <v>340</v>
      </c>
      <c r="B74" s="1" t="s">
        <v>341</v>
      </c>
      <c r="C74" s="1" t="s">
        <v>342</v>
      </c>
      <c r="D74" s="1" t="s">
        <v>152</v>
      </c>
      <c r="E74" s="1" t="s">
        <v>229</v>
      </c>
      <c r="F74" s="1" t="s">
        <v>47</v>
      </c>
      <c r="G74" s="1">
        <f t="shared" si="5"/>
        <v>1</v>
      </c>
      <c r="H74" s="1" t="s">
        <v>48</v>
      </c>
      <c r="I74" s="1" t="s">
        <v>49</v>
      </c>
      <c r="J74" s="23" t="s">
        <v>50</v>
      </c>
      <c r="K74" s="2" t="s">
        <v>51</v>
      </c>
      <c r="L74" s="1">
        <v>252</v>
      </c>
      <c r="M74" s="1">
        <v>3</v>
      </c>
      <c r="N74" s="1" t="str">
        <f t="shared" si="8"/>
        <v>Published</v>
      </c>
      <c r="O74" s="1">
        <f t="shared" si="6"/>
        <v>7.56</v>
      </c>
      <c r="P74" s="1">
        <v>86</v>
      </c>
      <c r="Q74" s="1">
        <v>977</v>
      </c>
      <c r="R74" s="1" t="str">
        <f t="shared" si="9"/>
        <v>2</v>
      </c>
      <c r="S74" s="1">
        <v>126</v>
      </c>
      <c r="T74" s="1" t="str">
        <f t="shared" si="7"/>
        <v>2</v>
      </c>
      <c r="U74" s="1">
        <v>-33.909885000000003</v>
      </c>
      <c r="V74" s="3">
        <v>151.08488500000001</v>
      </c>
    </row>
    <row r="75" spans="1:22" x14ac:dyDescent="0.35">
      <c r="A75" s="22" t="s">
        <v>343</v>
      </c>
      <c r="B75" s="1" t="s">
        <v>344</v>
      </c>
      <c r="C75" s="1" t="s">
        <v>342</v>
      </c>
      <c r="D75" s="1" t="s">
        <v>152</v>
      </c>
      <c r="E75" s="1" t="s">
        <v>229</v>
      </c>
      <c r="F75" s="1" t="s">
        <v>47</v>
      </c>
      <c r="G75" s="1">
        <f t="shared" si="5"/>
        <v>1</v>
      </c>
      <c r="H75" s="1" t="s">
        <v>48</v>
      </c>
      <c r="I75" s="1" t="s">
        <v>49</v>
      </c>
      <c r="J75" s="23" t="s">
        <v>50</v>
      </c>
      <c r="K75" s="2" t="s">
        <v>51</v>
      </c>
      <c r="L75" s="1">
        <v>230</v>
      </c>
      <c r="M75" s="1"/>
      <c r="N75" s="1" t="str">
        <f t="shared" si="8"/>
        <v>Suppressed</v>
      </c>
      <c r="O75" s="1" t="str">
        <f t="shared" si="6"/>
        <v/>
      </c>
      <c r="P75" s="1">
        <v>83</v>
      </c>
      <c r="Q75" s="1">
        <v>1012</v>
      </c>
      <c r="R75" s="1" t="str">
        <f t="shared" si="9"/>
        <v>3</v>
      </c>
      <c r="S75" s="1">
        <v>94</v>
      </c>
      <c r="T75" s="1" t="str">
        <f t="shared" si="7"/>
        <v>2</v>
      </c>
      <c r="U75" s="1">
        <v>-33.925735000000003</v>
      </c>
      <c r="V75" s="3">
        <v>151.09198499999999</v>
      </c>
    </row>
    <row r="76" spans="1:22" x14ac:dyDescent="0.35">
      <c r="A76" s="22" t="s">
        <v>345</v>
      </c>
      <c r="B76" s="1" t="s">
        <v>346</v>
      </c>
      <c r="C76" s="1" t="s">
        <v>347</v>
      </c>
      <c r="D76" s="1" t="s">
        <v>314</v>
      </c>
      <c r="E76" s="1" t="s">
        <v>68</v>
      </c>
      <c r="F76" s="1" t="s">
        <v>69</v>
      </c>
      <c r="G76" s="1">
        <f t="shared" si="5"/>
        <v>3</v>
      </c>
      <c r="H76" s="1" t="s">
        <v>70</v>
      </c>
      <c r="I76" s="1" t="s">
        <v>49</v>
      </c>
      <c r="J76" s="23" t="s">
        <v>50</v>
      </c>
      <c r="K76" s="2" t="s">
        <v>51</v>
      </c>
      <c r="L76" s="1">
        <v>29</v>
      </c>
      <c r="M76" s="1">
        <v>28</v>
      </c>
      <c r="N76" s="1" t="str">
        <f t="shared" si="8"/>
        <v>Published</v>
      </c>
      <c r="O76" s="1">
        <f t="shared" si="6"/>
        <v>8.120000000000001</v>
      </c>
      <c r="P76" s="1">
        <v>0</v>
      </c>
      <c r="Q76" s="1">
        <v>927</v>
      </c>
      <c r="R76" s="1" t="str">
        <f t="shared" si="9"/>
        <v>2</v>
      </c>
      <c r="S76" s="1">
        <v>124</v>
      </c>
      <c r="T76" s="1" t="str">
        <f t="shared" si="7"/>
        <v>1</v>
      </c>
      <c r="U76" s="1">
        <v>-36.631309000000002</v>
      </c>
      <c r="V76" s="3">
        <v>149.57107500000001</v>
      </c>
    </row>
    <row r="77" spans="1:22" x14ac:dyDescent="0.35">
      <c r="A77" s="22" t="s">
        <v>348</v>
      </c>
      <c r="B77" s="1" t="s">
        <v>349</v>
      </c>
      <c r="C77" s="1" t="s">
        <v>350</v>
      </c>
      <c r="D77" s="1" t="s">
        <v>90</v>
      </c>
      <c r="E77" s="1" t="s">
        <v>91</v>
      </c>
      <c r="F77" s="1" t="s">
        <v>69</v>
      </c>
      <c r="G77" s="1">
        <f t="shared" si="5"/>
        <v>3</v>
      </c>
      <c r="H77" s="1" t="s">
        <v>92</v>
      </c>
      <c r="I77" s="1" t="s">
        <v>49</v>
      </c>
      <c r="J77" s="23" t="s">
        <v>50</v>
      </c>
      <c r="K77" s="2" t="s">
        <v>51</v>
      </c>
      <c r="L77" s="1">
        <v>29</v>
      </c>
      <c r="M77" s="1">
        <v>24</v>
      </c>
      <c r="N77" s="1" t="str">
        <f t="shared" si="8"/>
        <v>Published</v>
      </c>
      <c r="O77" s="1">
        <f t="shared" si="6"/>
        <v>6.96</v>
      </c>
      <c r="P77" s="1"/>
      <c r="Q77" s="1">
        <v>920</v>
      </c>
      <c r="R77" s="1" t="str">
        <f t="shared" si="9"/>
        <v>2</v>
      </c>
      <c r="S77" s="1">
        <v>122</v>
      </c>
      <c r="T77" s="1" t="str">
        <f t="shared" si="7"/>
        <v>1</v>
      </c>
      <c r="U77" s="1">
        <v>-30.886984000000002</v>
      </c>
      <c r="V77" s="3">
        <v>151.150991</v>
      </c>
    </row>
    <row r="78" spans="1:22" x14ac:dyDescent="0.35">
      <c r="A78" s="22" t="s">
        <v>351</v>
      </c>
      <c r="B78" s="1" t="s">
        <v>352</v>
      </c>
      <c r="C78" s="1" t="s">
        <v>139</v>
      </c>
      <c r="D78" s="1" t="s">
        <v>139</v>
      </c>
      <c r="E78" s="1" t="s">
        <v>91</v>
      </c>
      <c r="F78" s="1" t="s">
        <v>57</v>
      </c>
      <c r="G78" s="1">
        <f t="shared" si="5"/>
        <v>2</v>
      </c>
      <c r="H78" s="1" t="s">
        <v>92</v>
      </c>
      <c r="I78" s="1" t="s">
        <v>49</v>
      </c>
      <c r="J78" s="23" t="s">
        <v>50</v>
      </c>
      <c r="K78" s="2" t="s">
        <v>51</v>
      </c>
      <c r="L78" s="1">
        <v>509</v>
      </c>
      <c r="M78" s="1">
        <v>16</v>
      </c>
      <c r="N78" s="1" t="str">
        <f t="shared" si="8"/>
        <v>Published</v>
      </c>
      <c r="O78" s="1">
        <f t="shared" si="6"/>
        <v>81.44</v>
      </c>
      <c r="P78" s="1">
        <v>19</v>
      </c>
      <c r="Q78" s="1">
        <v>1008</v>
      </c>
      <c r="R78" s="1" t="str">
        <f t="shared" si="9"/>
        <v>3</v>
      </c>
      <c r="S78" s="1">
        <v>74</v>
      </c>
      <c r="T78" s="1" t="str">
        <f t="shared" si="7"/>
        <v>3</v>
      </c>
      <c r="U78" s="1">
        <v>-30.502884000000002</v>
      </c>
      <c r="V78" s="3">
        <v>151.67462</v>
      </c>
    </row>
    <row r="79" spans="1:22" x14ac:dyDescent="0.35">
      <c r="A79" s="22" t="s">
        <v>353</v>
      </c>
      <c r="B79" s="1" t="s">
        <v>354</v>
      </c>
      <c r="C79" s="1" t="s">
        <v>355</v>
      </c>
      <c r="D79" s="1" t="s">
        <v>169</v>
      </c>
      <c r="E79" s="1" t="s">
        <v>170</v>
      </c>
      <c r="F79" s="1" t="s">
        <v>47</v>
      </c>
      <c r="G79" s="1">
        <f t="shared" si="5"/>
        <v>1</v>
      </c>
      <c r="H79" s="1" t="s">
        <v>48</v>
      </c>
      <c r="I79" s="1" t="s">
        <v>49</v>
      </c>
      <c r="J79" s="23" t="s">
        <v>50</v>
      </c>
      <c r="K79" s="2" t="s">
        <v>51</v>
      </c>
      <c r="L79" s="1">
        <v>656</v>
      </c>
      <c r="M79" s="1"/>
      <c r="N79" s="1" t="str">
        <f t="shared" si="8"/>
        <v>Suppressed</v>
      </c>
      <c r="O79" s="1" t="str">
        <f t="shared" si="6"/>
        <v/>
      </c>
      <c r="P79" s="1">
        <v>95</v>
      </c>
      <c r="Q79" s="1">
        <v>980</v>
      </c>
      <c r="R79" s="1" t="str">
        <f t="shared" si="9"/>
        <v>2</v>
      </c>
      <c r="S79" s="1">
        <v>135</v>
      </c>
      <c r="T79" s="1" t="str">
        <f t="shared" si="7"/>
        <v>4</v>
      </c>
      <c r="U79" s="1">
        <v>-33.869714000000002</v>
      </c>
      <c r="V79" s="3">
        <v>151.028244</v>
      </c>
    </row>
    <row r="80" spans="1:22" x14ac:dyDescent="0.35">
      <c r="A80" s="22" t="s">
        <v>356</v>
      </c>
      <c r="B80" s="1" t="s">
        <v>357</v>
      </c>
      <c r="C80" s="1" t="s">
        <v>358</v>
      </c>
      <c r="D80" s="1" t="s">
        <v>74</v>
      </c>
      <c r="E80" s="1" t="s">
        <v>75</v>
      </c>
      <c r="F80" s="1" t="s">
        <v>47</v>
      </c>
      <c r="G80" s="1">
        <f t="shared" si="5"/>
        <v>1</v>
      </c>
      <c r="H80" s="1" t="s">
        <v>58</v>
      </c>
      <c r="I80" s="1" t="s">
        <v>49</v>
      </c>
      <c r="J80" s="23" t="s">
        <v>50</v>
      </c>
      <c r="K80" s="2" t="s">
        <v>51</v>
      </c>
      <c r="L80" s="1">
        <v>262</v>
      </c>
      <c r="M80" s="1">
        <v>26</v>
      </c>
      <c r="N80" s="1" t="str">
        <f t="shared" si="8"/>
        <v>Published</v>
      </c>
      <c r="O80" s="1">
        <f t="shared" si="6"/>
        <v>68.12</v>
      </c>
      <c r="P80" s="1">
        <v>11</v>
      </c>
      <c r="Q80" s="1">
        <v>918</v>
      </c>
      <c r="R80" s="1" t="str">
        <f t="shared" si="9"/>
        <v>2</v>
      </c>
      <c r="S80" s="1">
        <v>135</v>
      </c>
      <c r="T80" s="1" t="str">
        <f t="shared" si="7"/>
        <v>2</v>
      </c>
      <c r="U80" s="1">
        <v>-32.803964000000001</v>
      </c>
      <c r="V80" s="3">
        <v>151.65486300000001</v>
      </c>
    </row>
    <row r="81" spans="1:22" x14ac:dyDescent="0.35">
      <c r="A81" s="22" t="s">
        <v>359</v>
      </c>
      <c r="B81" s="1" t="s">
        <v>360</v>
      </c>
      <c r="C81" s="1" t="s">
        <v>361</v>
      </c>
      <c r="D81" s="1" t="s">
        <v>176</v>
      </c>
      <c r="E81" s="1" t="s">
        <v>85</v>
      </c>
      <c r="F81" s="1" t="s">
        <v>47</v>
      </c>
      <c r="G81" s="1">
        <f t="shared" si="5"/>
        <v>1</v>
      </c>
      <c r="H81" s="1" t="s">
        <v>86</v>
      </c>
      <c r="I81" s="1" t="s">
        <v>49</v>
      </c>
      <c r="J81" s="23" t="s">
        <v>50</v>
      </c>
      <c r="K81" s="2" t="s">
        <v>51</v>
      </c>
      <c r="L81" s="1">
        <v>259</v>
      </c>
      <c r="M81" s="1">
        <v>27</v>
      </c>
      <c r="N81" s="1" t="str">
        <f t="shared" si="8"/>
        <v>Published</v>
      </c>
      <c r="O81" s="1">
        <f t="shared" si="6"/>
        <v>69.930000000000007</v>
      </c>
      <c r="P81" s="1">
        <v>25</v>
      </c>
      <c r="Q81" s="1">
        <v>926</v>
      </c>
      <c r="R81" s="1" t="str">
        <f t="shared" si="9"/>
        <v>2</v>
      </c>
      <c r="S81" s="1">
        <v>136</v>
      </c>
      <c r="T81" s="1" t="str">
        <f t="shared" si="7"/>
        <v>2</v>
      </c>
      <c r="U81" s="1">
        <v>-34.480213999999997</v>
      </c>
      <c r="V81" s="3">
        <v>150.856493</v>
      </c>
    </row>
    <row r="82" spans="1:22" x14ac:dyDescent="0.35">
      <c r="A82" s="22" t="s">
        <v>362</v>
      </c>
      <c r="B82" s="1" t="s">
        <v>363</v>
      </c>
      <c r="C82" s="1" t="s">
        <v>364</v>
      </c>
      <c r="D82" s="1" t="s">
        <v>186</v>
      </c>
      <c r="E82" s="1" t="s">
        <v>187</v>
      </c>
      <c r="F82" s="1" t="s">
        <v>47</v>
      </c>
      <c r="G82" s="1">
        <f t="shared" si="5"/>
        <v>1</v>
      </c>
      <c r="H82" s="1" t="s">
        <v>63</v>
      </c>
      <c r="I82" s="1" t="s">
        <v>49</v>
      </c>
      <c r="J82" s="23" t="s">
        <v>50</v>
      </c>
      <c r="K82" s="2" t="s">
        <v>51</v>
      </c>
      <c r="L82" s="1">
        <v>524</v>
      </c>
      <c r="M82" s="1">
        <v>12</v>
      </c>
      <c r="N82" s="1" t="str">
        <f t="shared" si="8"/>
        <v>Published</v>
      </c>
      <c r="O82" s="1">
        <f t="shared" si="6"/>
        <v>62.879999999999995</v>
      </c>
      <c r="P82" s="1">
        <v>7</v>
      </c>
      <c r="Q82" s="1">
        <v>988</v>
      </c>
      <c r="R82" s="1" t="str">
        <f t="shared" si="9"/>
        <v>2</v>
      </c>
      <c r="S82" s="1">
        <v>102</v>
      </c>
      <c r="T82" s="1" t="str">
        <f t="shared" si="7"/>
        <v>3</v>
      </c>
      <c r="U82" s="1">
        <v>-33.350515000000001</v>
      </c>
      <c r="V82" s="3">
        <v>151.43588800000001</v>
      </c>
    </row>
    <row r="83" spans="1:22" x14ac:dyDescent="0.35">
      <c r="A83" s="22" t="s">
        <v>365</v>
      </c>
      <c r="B83" s="1" t="s">
        <v>366</v>
      </c>
      <c r="C83" s="1" t="s">
        <v>367</v>
      </c>
      <c r="D83" s="1" t="s">
        <v>314</v>
      </c>
      <c r="E83" s="1" t="s">
        <v>68</v>
      </c>
      <c r="F83" s="1" t="s">
        <v>69</v>
      </c>
      <c r="G83" s="1">
        <f t="shared" si="5"/>
        <v>3</v>
      </c>
      <c r="H83" s="1" t="s">
        <v>86</v>
      </c>
      <c r="I83" s="1" t="s">
        <v>49</v>
      </c>
      <c r="J83" s="23" t="s">
        <v>50</v>
      </c>
      <c r="K83" s="2" t="s">
        <v>51</v>
      </c>
      <c r="L83" s="1">
        <v>165</v>
      </c>
      <c r="M83" s="1">
        <v>16</v>
      </c>
      <c r="N83" s="1" t="str">
        <f t="shared" si="8"/>
        <v>Published</v>
      </c>
      <c r="O83" s="1">
        <f t="shared" si="6"/>
        <v>26.400000000000002</v>
      </c>
      <c r="P83" s="1">
        <v>8</v>
      </c>
      <c r="Q83" s="1">
        <v>944</v>
      </c>
      <c r="R83" s="1" t="str">
        <f t="shared" si="9"/>
        <v>2</v>
      </c>
      <c r="S83" s="1">
        <v>116</v>
      </c>
      <c r="T83" s="1" t="str">
        <f t="shared" si="7"/>
        <v>2</v>
      </c>
      <c r="U83" s="1">
        <v>-36.420775999999996</v>
      </c>
      <c r="V83" s="3">
        <v>150.063625</v>
      </c>
    </row>
    <row r="84" spans="1:22" x14ac:dyDescent="0.35">
      <c r="A84" s="22" t="s">
        <v>368</v>
      </c>
      <c r="B84" s="1" t="s">
        <v>369</v>
      </c>
      <c r="C84" s="1" t="s">
        <v>370</v>
      </c>
      <c r="D84" s="1" t="s">
        <v>126</v>
      </c>
      <c r="E84" s="1" t="s">
        <v>147</v>
      </c>
      <c r="F84" s="1" t="s">
        <v>47</v>
      </c>
      <c r="G84" s="1">
        <f t="shared" si="5"/>
        <v>1</v>
      </c>
      <c r="H84" s="1" t="s">
        <v>63</v>
      </c>
      <c r="I84" s="1" t="s">
        <v>49</v>
      </c>
      <c r="J84" s="23" t="s">
        <v>50</v>
      </c>
      <c r="K84" s="2" t="s">
        <v>51</v>
      </c>
      <c r="L84" s="1">
        <v>272</v>
      </c>
      <c r="M84" s="1"/>
      <c r="N84" s="1" t="str">
        <f t="shared" si="8"/>
        <v>Suppressed</v>
      </c>
      <c r="O84" s="1" t="str">
        <f t="shared" si="6"/>
        <v/>
      </c>
      <c r="P84" s="1">
        <v>14</v>
      </c>
      <c r="Q84" s="1">
        <v>1085</v>
      </c>
      <c r="R84" s="1" t="str">
        <f t="shared" si="9"/>
        <v>3</v>
      </c>
      <c r="S84" s="1">
        <v>44</v>
      </c>
      <c r="T84" s="1" t="str">
        <f t="shared" si="7"/>
        <v>2</v>
      </c>
      <c r="U84" s="1">
        <v>-33.618521999999999</v>
      </c>
      <c r="V84" s="3">
        <v>151.14899600000001</v>
      </c>
    </row>
    <row r="85" spans="1:22" x14ac:dyDescent="0.35">
      <c r="A85" s="22" t="s">
        <v>371</v>
      </c>
      <c r="B85" s="1" t="s">
        <v>372</v>
      </c>
      <c r="C85" s="1" t="s">
        <v>373</v>
      </c>
      <c r="D85" s="1" t="s">
        <v>67</v>
      </c>
      <c r="E85" s="1" t="s">
        <v>68</v>
      </c>
      <c r="F85" s="1" t="s">
        <v>57</v>
      </c>
      <c r="G85" s="1">
        <f t="shared" si="5"/>
        <v>2</v>
      </c>
      <c r="H85" s="1" t="s">
        <v>70</v>
      </c>
      <c r="I85" s="1" t="s">
        <v>49</v>
      </c>
      <c r="J85" s="23" t="s">
        <v>50</v>
      </c>
      <c r="K85" s="2" t="s">
        <v>51</v>
      </c>
      <c r="L85" s="1">
        <v>69</v>
      </c>
      <c r="M85" s="1">
        <v>9</v>
      </c>
      <c r="N85" s="1" t="str">
        <f t="shared" si="8"/>
        <v>Published</v>
      </c>
      <c r="O85" s="1">
        <f t="shared" si="6"/>
        <v>6.21</v>
      </c>
      <c r="P85" s="1"/>
      <c r="Q85" s="1">
        <v>982</v>
      </c>
      <c r="R85" s="1" t="str">
        <f t="shared" si="9"/>
        <v>2</v>
      </c>
      <c r="S85" s="1">
        <v>96</v>
      </c>
      <c r="T85" s="1" t="str">
        <f t="shared" si="7"/>
        <v>1</v>
      </c>
      <c r="U85" s="1">
        <v>-36.371443999999997</v>
      </c>
      <c r="V85" s="3">
        <v>148.82720900000001</v>
      </c>
    </row>
    <row r="86" spans="1:22" x14ac:dyDescent="0.35">
      <c r="A86" s="22" t="s">
        <v>374</v>
      </c>
      <c r="B86" s="1" t="s">
        <v>375</v>
      </c>
      <c r="C86" s="1" t="s">
        <v>268</v>
      </c>
      <c r="D86" s="1" t="s">
        <v>268</v>
      </c>
      <c r="E86" s="1" t="s">
        <v>96</v>
      </c>
      <c r="F86" s="1" t="s">
        <v>69</v>
      </c>
      <c r="G86" s="1">
        <f t="shared" si="5"/>
        <v>3</v>
      </c>
      <c r="H86" s="1" t="s">
        <v>70</v>
      </c>
      <c r="I86" s="1" t="s">
        <v>49</v>
      </c>
      <c r="J86" s="23" t="s">
        <v>50</v>
      </c>
      <c r="K86" s="2" t="s">
        <v>51</v>
      </c>
      <c r="L86" s="1">
        <v>66</v>
      </c>
      <c r="M86" s="1"/>
      <c r="N86" s="1" t="str">
        <f t="shared" si="8"/>
        <v>Suppressed</v>
      </c>
      <c r="O86" s="1" t="str">
        <f t="shared" si="6"/>
        <v/>
      </c>
      <c r="P86" s="1"/>
      <c r="Q86" s="1">
        <v>984</v>
      </c>
      <c r="R86" s="1" t="str">
        <f t="shared" si="9"/>
        <v>2</v>
      </c>
      <c r="S86" s="1">
        <v>105</v>
      </c>
      <c r="T86" s="1" t="str">
        <f t="shared" si="7"/>
        <v>1</v>
      </c>
      <c r="U86" s="1">
        <v>-35.659666999999999</v>
      </c>
      <c r="V86" s="3">
        <v>145.815664</v>
      </c>
    </row>
    <row r="87" spans="1:22" x14ac:dyDescent="0.35">
      <c r="A87" s="22" t="s">
        <v>376</v>
      </c>
      <c r="B87" s="1" t="s">
        <v>377</v>
      </c>
      <c r="C87" s="1" t="s">
        <v>378</v>
      </c>
      <c r="D87" s="1" t="s">
        <v>195</v>
      </c>
      <c r="E87" s="1" t="s">
        <v>196</v>
      </c>
      <c r="F87" s="1" t="s">
        <v>57</v>
      </c>
      <c r="G87" s="1">
        <f t="shared" si="5"/>
        <v>2</v>
      </c>
      <c r="H87" s="1" t="s">
        <v>86</v>
      </c>
      <c r="I87" s="1" t="s">
        <v>49</v>
      </c>
      <c r="J87" s="23" t="s">
        <v>50</v>
      </c>
      <c r="K87" s="2" t="s">
        <v>51</v>
      </c>
      <c r="L87" s="1">
        <v>158</v>
      </c>
      <c r="M87" s="1"/>
      <c r="N87" s="1" t="str">
        <f t="shared" si="8"/>
        <v>Suppressed</v>
      </c>
      <c r="O87" s="1" t="str">
        <f t="shared" si="6"/>
        <v/>
      </c>
      <c r="P87" s="1">
        <v>5</v>
      </c>
      <c r="Q87" s="1">
        <v>1029</v>
      </c>
      <c r="R87" s="1" t="str">
        <f t="shared" si="9"/>
        <v>3</v>
      </c>
      <c r="S87" s="1">
        <v>70</v>
      </c>
      <c r="T87" s="1" t="str">
        <f t="shared" si="7"/>
        <v>2</v>
      </c>
      <c r="U87" s="1">
        <v>-34.485881999999997</v>
      </c>
      <c r="V87" s="3">
        <v>150.34077500000001</v>
      </c>
    </row>
    <row r="88" spans="1:22" x14ac:dyDescent="0.35">
      <c r="A88" s="22" t="s">
        <v>379</v>
      </c>
      <c r="B88" s="1" t="s">
        <v>380</v>
      </c>
      <c r="C88" s="1" t="s">
        <v>381</v>
      </c>
      <c r="D88" s="1" t="s">
        <v>382</v>
      </c>
      <c r="E88" s="1" t="s">
        <v>196</v>
      </c>
      <c r="F88" s="1" t="s">
        <v>57</v>
      </c>
      <c r="G88" s="1">
        <f t="shared" si="5"/>
        <v>2</v>
      </c>
      <c r="H88" s="1" t="s">
        <v>86</v>
      </c>
      <c r="I88" s="1" t="s">
        <v>49</v>
      </c>
      <c r="J88" s="23" t="s">
        <v>50</v>
      </c>
      <c r="K88" s="2" t="s">
        <v>51</v>
      </c>
      <c r="L88" s="1">
        <v>268</v>
      </c>
      <c r="M88" s="1">
        <v>6</v>
      </c>
      <c r="N88" s="1" t="str">
        <f t="shared" si="8"/>
        <v>Published</v>
      </c>
      <c r="O88" s="1">
        <f t="shared" si="6"/>
        <v>16.079999999999998</v>
      </c>
      <c r="P88" s="1">
        <v>4</v>
      </c>
      <c r="Q88" s="1">
        <v>1067</v>
      </c>
      <c r="R88" s="1" t="str">
        <f t="shared" si="9"/>
        <v>3</v>
      </c>
      <c r="S88" s="1">
        <v>50</v>
      </c>
      <c r="T88" s="1" t="str">
        <f t="shared" si="7"/>
        <v>2</v>
      </c>
      <c r="U88" s="1">
        <v>-34.778317000000001</v>
      </c>
      <c r="V88" s="3">
        <v>150.689706</v>
      </c>
    </row>
    <row r="89" spans="1:22" x14ac:dyDescent="0.35">
      <c r="A89" s="22" t="s">
        <v>383</v>
      </c>
      <c r="B89" s="1" t="s">
        <v>384</v>
      </c>
      <c r="C89" s="1" t="s">
        <v>385</v>
      </c>
      <c r="D89" s="1" t="s">
        <v>386</v>
      </c>
      <c r="E89" s="1" t="s">
        <v>229</v>
      </c>
      <c r="F89" s="1" t="s">
        <v>47</v>
      </c>
      <c r="G89" s="1">
        <f t="shared" si="5"/>
        <v>1</v>
      </c>
      <c r="H89" s="1" t="s">
        <v>48</v>
      </c>
      <c r="I89" s="1" t="s">
        <v>49</v>
      </c>
      <c r="J89" s="23" t="s">
        <v>50</v>
      </c>
      <c r="K89" s="2" t="s">
        <v>51</v>
      </c>
      <c r="L89" s="1">
        <v>320</v>
      </c>
      <c r="M89" s="1"/>
      <c r="N89" s="1" t="str">
        <f t="shared" si="8"/>
        <v>Suppressed</v>
      </c>
      <c r="O89" s="1" t="str">
        <f t="shared" si="6"/>
        <v/>
      </c>
      <c r="P89" s="1">
        <v>83</v>
      </c>
      <c r="Q89" s="1">
        <v>1051</v>
      </c>
      <c r="R89" s="1" t="str">
        <f t="shared" si="9"/>
        <v>3</v>
      </c>
      <c r="S89" s="1">
        <v>62</v>
      </c>
      <c r="T89" s="1" t="str">
        <f t="shared" si="7"/>
        <v>3</v>
      </c>
      <c r="U89" s="1">
        <v>-33.953448999999999</v>
      </c>
      <c r="V89" s="3">
        <v>151.08520899999999</v>
      </c>
    </row>
    <row r="90" spans="1:22" x14ac:dyDescent="0.35">
      <c r="A90" s="22" t="s">
        <v>387</v>
      </c>
      <c r="B90" s="1" t="s">
        <v>388</v>
      </c>
      <c r="C90" s="1" t="s">
        <v>389</v>
      </c>
      <c r="D90" s="1" t="s">
        <v>390</v>
      </c>
      <c r="E90" s="1" t="s">
        <v>107</v>
      </c>
      <c r="F90" s="1" t="s">
        <v>57</v>
      </c>
      <c r="G90" s="1">
        <f t="shared" si="5"/>
        <v>2</v>
      </c>
      <c r="H90" s="1" t="s">
        <v>92</v>
      </c>
      <c r="I90" s="1" t="s">
        <v>49</v>
      </c>
      <c r="J90" s="23" t="s">
        <v>50</v>
      </c>
      <c r="K90" s="2" t="s">
        <v>51</v>
      </c>
      <c r="L90" s="1">
        <v>113</v>
      </c>
      <c r="M90" s="1">
        <v>18</v>
      </c>
      <c r="N90" s="1" t="str">
        <f t="shared" si="8"/>
        <v>Published</v>
      </c>
      <c r="O90" s="1">
        <f t="shared" si="6"/>
        <v>20.34</v>
      </c>
      <c r="P90" s="1">
        <v>5</v>
      </c>
      <c r="Q90" s="1">
        <v>995</v>
      </c>
      <c r="R90" s="1" t="str">
        <f t="shared" si="9"/>
        <v>2</v>
      </c>
      <c r="S90" s="1">
        <v>93</v>
      </c>
      <c r="T90" s="1" t="str">
        <f t="shared" si="7"/>
        <v>2</v>
      </c>
      <c r="U90" s="1">
        <v>-28.766026</v>
      </c>
      <c r="V90" s="3">
        <v>153.34583499999999</v>
      </c>
    </row>
    <row r="91" spans="1:22" x14ac:dyDescent="0.35">
      <c r="A91" s="22" t="s">
        <v>391</v>
      </c>
      <c r="B91" s="1" t="s">
        <v>392</v>
      </c>
      <c r="C91" s="1" t="s">
        <v>393</v>
      </c>
      <c r="D91" s="1" t="s">
        <v>394</v>
      </c>
      <c r="E91" s="1" t="s">
        <v>68</v>
      </c>
      <c r="F91" s="1" t="s">
        <v>69</v>
      </c>
      <c r="G91" s="1">
        <f t="shared" si="5"/>
        <v>3</v>
      </c>
      <c r="H91" s="1" t="s">
        <v>86</v>
      </c>
      <c r="I91" s="1" t="s">
        <v>49</v>
      </c>
      <c r="J91" s="23" t="s">
        <v>50</v>
      </c>
      <c r="K91" s="2" t="s">
        <v>51</v>
      </c>
      <c r="L91" s="1">
        <v>15</v>
      </c>
      <c r="M91" s="1"/>
      <c r="N91" s="1" t="str">
        <f t="shared" si="8"/>
        <v>Suppressed</v>
      </c>
      <c r="O91" s="1" t="str">
        <f t="shared" si="6"/>
        <v/>
      </c>
      <c r="P91" s="1"/>
      <c r="Q91" s="1">
        <v>988</v>
      </c>
      <c r="R91" s="1" t="str">
        <f t="shared" si="9"/>
        <v>2</v>
      </c>
      <c r="S91" s="1">
        <v>89</v>
      </c>
      <c r="T91" s="1" t="str">
        <f t="shared" si="7"/>
        <v>1</v>
      </c>
      <c r="U91" s="1">
        <v>-34.084699999999998</v>
      </c>
      <c r="V91" s="3">
        <v>149.14460199999999</v>
      </c>
    </row>
    <row r="92" spans="1:22" x14ac:dyDescent="0.35">
      <c r="A92" s="22" t="s">
        <v>395</v>
      </c>
      <c r="B92" s="1" t="s">
        <v>396</v>
      </c>
      <c r="C92" s="1" t="s">
        <v>397</v>
      </c>
      <c r="D92" s="1" t="s">
        <v>236</v>
      </c>
      <c r="E92" s="1" t="s">
        <v>107</v>
      </c>
      <c r="F92" s="1" t="s">
        <v>47</v>
      </c>
      <c r="G92" s="1">
        <f t="shared" si="5"/>
        <v>1</v>
      </c>
      <c r="H92" s="1" t="s">
        <v>92</v>
      </c>
      <c r="I92" s="1" t="s">
        <v>49</v>
      </c>
      <c r="J92" s="23" t="s">
        <v>50</v>
      </c>
      <c r="K92" s="2" t="s">
        <v>51</v>
      </c>
      <c r="L92" s="1">
        <v>314</v>
      </c>
      <c r="M92" s="1">
        <v>9</v>
      </c>
      <c r="N92" s="1" t="str">
        <f t="shared" si="8"/>
        <v>Published</v>
      </c>
      <c r="O92" s="1">
        <f t="shared" si="6"/>
        <v>28.259999999999998</v>
      </c>
      <c r="P92" s="1">
        <v>14</v>
      </c>
      <c r="Q92" s="1">
        <v>997</v>
      </c>
      <c r="R92" s="1" t="str">
        <f t="shared" si="9"/>
        <v>2</v>
      </c>
      <c r="S92" s="1">
        <v>93</v>
      </c>
      <c r="T92" s="1" t="str">
        <f t="shared" si="7"/>
        <v>3</v>
      </c>
      <c r="U92" s="1">
        <v>-28.223742000000001</v>
      </c>
      <c r="V92" s="3">
        <v>153.46843100000001</v>
      </c>
    </row>
    <row r="93" spans="1:22" x14ac:dyDescent="0.35">
      <c r="A93" s="22" t="s">
        <v>398</v>
      </c>
      <c r="B93" s="1" t="s">
        <v>399</v>
      </c>
      <c r="C93" s="1" t="s">
        <v>400</v>
      </c>
      <c r="D93" s="1" t="s">
        <v>220</v>
      </c>
      <c r="E93" s="1" t="s">
        <v>107</v>
      </c>
      <c r="F93" s="1" t="s">
        <v>57</v>
      </c>
      <c r="G93" s="1">
        <f t="shared" si="5"/>
        <v>2</v>
      </c>
      <c r="H93" s="1" t="s">
        <v>92</v>
      </c>
      <c r="I93" s="1" t="s">
        <v>49</v>
      </c>
      <c r="J93" s="23" t="s">
        <v>50</v>
      </c>
      <c r="K93" s="2" t="s">
        <v>51</v>
      </c>
      <c r="L93" s="1">
        <v>294</v>
      </c>
      <c r="M93" s="1">
        <v>5</v>
      </c>
      <c r="N93" s="1" t="str">
        <f t="shared" si="8"/>
        <v>Published</v>
      </c>
      <c r="O93" s="1">
        <f t="shared" si="6"/>
        <v>14.700000000000001</v>
      </c>
      <c r="P93" s="1">
        <v>18</v>
      </c>
      <c r="Q93" s="1">
        <v>1051</v>
      </c>
      <c r="R93" s="1" t="str">
        <f t="shared" si="9"/>
        <v>3</v>
      </c>
      <c r="S93" s="1">
        <v>56</v>
      </c>
      <c r="T93" s="1" t="str">
        <f t="shared" si="7"/>
        <v>2</v>
      </c>
      <c r="U93" s="1">
        <v>-28.491202999999999</v>
      </c>
      <c r="V93" s="3">
        <v>153.54033699999999</v>
      </c>
    </row>
    <row r="94" spans="1:22" x14ac:dyDescent="0.35">
      <c r="A94" s="22" t="s">
        <v>401</v>
      </c>
      <c r="B94" s="1" t="s">
        <v>402</v>
      </c>
      <c r="C94" s="1" t="s">
        <v>403</v>
      </c>
      <c r="D94" s="1" t="s">
        <v>404</v>
      </c>
      <c r="E94" s="1" t="s">
        <v>127</v>
      </c>
      <c r="F94" s="1" t="s">
        <v>57</v>
      </c>
      <c r="G94" s="1">
        <f t="shared" si="5"/>
        <v>2</v>
      </c>
      <c r="H94" s="1" t="s">
        <v>63</v>
      </c>
      <c r="I94" s="1" t="s">
        <v>49</v>
      </c>
      <c r="J94" s="23" t="s">
        <v>50</v>
      </c>
      <c r="K94" s="2" t="s">
        <v>51</v>
      </c>
      <c r="L94" s="1">
        <v>37</v>
      </c>
      <c r="M94" s="1"/>
      <c r="N94" s="1" t="str">
        <f t="shared" si="8"/>
        <v>Suppressed</v>
      </c>
      <c r="O94" s="1" t="str">
        <f t="shared" si="6"/>
        <v/>
      </c>
      <c r="P94" s="1">
        <v>17</v>
      </c>
      <c r="Q94" s="1">
        <v>1033</v>
      </c>
      <c r="R94" s="1" t="str">
        <f t="shared" si="9"/>
        <v>3</v>
      </c>
      <c r="S94" s="1">
        <v>92</v>
      </c>
      <c r="T94" s="1" t="str">
        <f t="shared" si="7"/>
        <v>1</v>
      </c>
      <c r="U94" s="1">
        <v>-33.497331000000003</v>
      </c>
      <c r="V94" s="3">
        <v>150.51676499999999</v>
      </c>
    </row>
    <row r="95" spans="1:22" x14ac:dyDescent="0.35">
      <c r="A95" s="22" t="s">
        <v>405</v>
      </c>
      <c r="B95" s="1" t="s">
        <v>406</v>
      </c>
      <c r="C95" s="1" t="s">
        <v>407</v>
      </c>
      <c r="D95" s="1" t="s">
        <v>408</v>
      </c>
      <c r="E95" s="1" t="s">
        <v>68</v>
      </c>
      <c r="F95" s="1" t="s">
        <v>57</v>
      </c>
      <c r="G95" s="1">
        <f t="shared" si="5"/>
        <v>2</v>
      </c>
      <c r="H95" s="1" t="s">
        <v>86</v>
      </c>
      <c r="I95" s="1" t="s">
        <v>49</v>
      </c>
      <c r="J95" s="23" t="s">
        <v>50</v>
      </c>
      <c r="K95" s="2" t="s">
        <v>51</v>
      </c>
      <c r="L95" s="1">
        <v>38</v>
      </c>
      <c r="M95" s="1"/>
      <c r="N95" s="1" t="str">
        <f t="shared" si="8"/>
        <v>Suppressed</v>
      </c>
      <c r="O95" s="1" t="str">
        <f t="shared" si="6"/>
        <v/>
      </c>
      <c r="P95" s="1"/>
      <c r="Q95" s="1">
        <v>1005</v>
      </c>
      <c r="R95" s="1" t="str">
        <f t="shared" si="9"/>
        <v>3</v>
      </c>
      <c r="S95" s="1">
        <v>66</v>
      </c>
      <c r="T95" s="1" t="str">
        <f t="shared" si="7"/>
        <v>1</v>
      </c>
      <c r="U95" s="1">
        <v>-34.670107999999999</v>
      </c>
      <c r="V95" s="3">
        <v>148.62571800000001</v>
      </c>
    </row>
    <row r="96" spans="1:22" x14ac:dyDescent="0.35">
      <c r="A96" s="22" t="s">
        <v>409</v>
      </c>
      <c r="B96" s="1" t="s">
        <v>410</v>
      </c>
      <c r="C96" s="1" t="s">
        <v>411</v>
      </c>
      <c r="D96" s="1" t="s">
        <v>394</v>
      </c>
      <c r="E96" s="1" t="s">
        <v>68</v>
      </c>
      <c r="F96" s="1" t="s">
        <v>69</v>
      </c>
      <c r="G96" s="1">
        <f t="shared" si="5"/>
        <v>3</v>
      </c>
      <c r="H96" s="1" t="s">
        <v>86</v>
      </c>
      <c r="I96" s="1" t="s">
        <v>49</v>
      </c>
      <c r="J96" s="23" t="s">
        <v>50</v>
      </c>
      <c r="K96" s="2" t="s">
        <v>51</v>
      </c>
      <c r="L96" s="1">
        <v>11</v>
      </c>
      <c r="M96" s="1"/>
      <c r="N96" s="1" t="str">
        <f t="shared" si="8"/>
        <v>Suppressed</v>
      </c>
      <c r="O96" s="1" t="str">
        <f t="shared" si="6"/>
        <v/>
      </c>
      <c r="P96" s="1">
        <v>0</v>
      </c>
      <c r="Q96" s="1">
        <v>788</v>
      </c>
      <c r="R96" s="1" t="str">
        <f t="shared" si="9"/>
        <v>1</v>
      </c>
      <c r="S96" s="1">
        <v>181</v>
      </c>
      <c r="T96" s="1" t="str">
        <f t="shared" si="7"/>
        <v>1</v>
      </c>
      <c r="U96" s="1">
        <v>-34.331462999999999</v>
      </c>
      <c r="V96" s="3">
        <v>149.36811399999999</v>
      </c>
    </row>
    <row r="97" spans="1:22" x14ac:dyDescent="0.35">
      <c r="A97" s="22" t="s">
        <v>412</v>
      </c>
      <c r="B97" s="1" t="s">
        <v>413</v>
      </c>
      <c r="C97" s="1" t="s">
        <v>414</v>
      </c>
      <c r="D97" s="1" t="s">
        <v>415</v>
      </c>
      <c r="E97" s="1" t="s">
        <v>91</v>
      </c>
      <c r="F97" s="1" t="s">
        <v>69</v>
      </c>
      <c r="G97" s="1">
        <f t="shared" si="5"/>
        <v>3</v>
      </c>
      <c r="H97" s="1" t="s">
        <v>92</v>
      </c>
      <c r="I97" s="1" t="s">
        <v>132</v>
      </c>
      <c r="J97" s="23" t="s">
        <v>50</v>
      </c>
      <c r="K97" s="2" t="s">
        <v>51</v>
      </c>
      <c r="L97" s="1">
        <v>175</v>
      </c>
      <c r="M97" s="1">
        <v>22</v>
      </c>
      <c r="N97" s="1" t="str">
        <f t="shared" si="8"/>
        <v>Published</v>
      </c>
      <c r="O97" s="1">
        <f t="shared" si="6"/>
        <v>38.5</v>
      </c>
      <c r="P97" s="1">
        <v>6</v>
      </c>
      <c r="Q97" s="1">
        <v>916</v>
      </c>
      <c r="R97" s="1" t="str">
        <f t="shared" si="9"/>
        <v>2</v>
      </c>
      <c r="S97" s="1">
        <v>124</v>
      </c>
      <c r="T97" s="1" t="str">
        <f t="shared" si="7"/>
        <v>2</v>
      </c>
      <c r="U97" s="1">
        <v>-29.866705</v>
      </c>
      <c r="V97" s="3">
        <v>150.56725</v>
      </c>
    </row>
    <row r="98" spans="1:22" x14ac:dyDescent="0.35">
      <c r="A98" s="22" t="s">
        <v>416</v>
      </c>
      <c r="B98" s="1" t="s">
        <v>417</v>
      </c>
      <c r="C98" s="1" t="s">
        <v>418</v>
      </c>
      <c r="D98" s="1" t="s">
        <v>240</v>
      </c>
      <c r="E98" s="1" t="s">
        <v>102</v>
      </c>
      <c r="F98" s="1" t="s">
        <v>69</v>
      </c>
      <c r="G98" s="1">
        <f t="shared" si="5"/>
        <v>3</v>
      </c>
      <c r="H98" s="1" t="s">
        <v>58</v>
      </c>
      <c r="I98" s="1" t="s">
        <v>132</v>
      </c>
      <c r="J98" s="23" t="s">
        <v>50</v>
      </c>
      <c r="K98" s="2" t="s">
        <v>51</v>
      </c>
      <c r="L98" s="1">
        <v>44</v>
      </c>
      <c r="M98" s="1">
        <v>36</v>
      </c>
      <c r="N98" s="1" t="str">
        <f t="shared" si="8"/>
        <v>Published</v>
      </c>
      <c r="O98" s="1">
        <f t="shared" si="6"/>
        <v>15.84</v>
      </c>
      <c r="P98" s="1"/>
      <c r="Q98" s="1">
        <v>815</v>
      </c>
      <c r="R98" s="1" t="str">
        <f t="shared" si="9"/>
        <v>1</v>
      </c>
      <c r="S98" s="1">
        <v>179</v>
      </c>
      <c r="T98" s="1" t="str">
        <f t="shared" si="7"/>
        <v>1</v>
      </c>
      <c r="U98" s="1">
        <v>-31.552793000000001</v>
      </c>
      <c r="V98" s="3">
        <v>149.37495100000001</v>
      </c>
    </row>
    <row r="99" spans="1:22" x14ac:dyDescent="0.35">
      <c r="A99" s="22" t="s">
        <v>419</v>
      </c>
      <c r="B99" s="1" t="s">
        <v>420</v>
      </c>
      <c r="C99" s="1" t="s">
        <v>421</v>
      </c>
      <c r="D99" s="1" t="s">
        <v>245</v>
      </c>
      <c r="E99" s="1" t="s">
        <v>80</v>
      </c>
      <c r="F99" s="1" t="s">
        <v>69</v>
      </c>
      <c r="G99" s="1">
        <f t="shared" si="5"/>
        <v>3</v>
      </c>
      <c r="H99" s="1" t="s">
        <v>70</v>
      </c>
      <c r="I99" s="1" t="s">
        <v>49</v>
      </c>
      <c r="J99" s="23" t="s">
        <v>50</v>
      </c>
      <c r="K99" s="2" t="s">
        <v>51</v>
      </c>
      <c r="L99" s="1">
        <v>19</v>
      </c>
      <c r="M99" s="1"/>
      <c r="N99" s="1" t="str">
        <f t="shared" si="8"/>
        <v>Suppressed</v>
      </c>
      <c r="O99" s="1" t="str">
        <f t="shared" si="6"/>
        <v/>
      </c>
      <c r="P99" s="1">
        <v>0</v>
      </c>
      <c r="Q99" s="1">
        <v>1008</v>
      </c>
      <c r="R99" s="1" t="str">
        <f t="shared" si="9"/>
        <v>3</v>
      </c>
      <c r="S99" s="1">
        <v>118</v>
      </c>
      <c r="T99" s="1" t="str">
        <f t="shared" si="7"/>
        <v>1</v>
      </c>
      <c r="U99" s="1">
        <v>-34.228678000000002</v>
      </c>
      <c r="V99" s="3">
        <v>146.35303400000001</v>
      </c>
    </row>
    <row r="100" spans="1:22" x14ac:dyDescent="0.35">
      <c r="A100" s="22" t="s">
        <v>422</v>
      </c>
      <c r="B100" s="1" t="s">
        <v>423</v>
      </c>
      <c r="C100" s="1" t="s">
        <v>424</v>
      </c>
      <c r="D100" s="1" t="s">
        <v>115</v>
      </c>
      <c r="E100" s="1" t="s">
        <v>46</v>
      </c>
      <c r="F100" s="1" t="s">
        <v>47</v>
      </c>
      <c r="G100" s="1">
        <f t="shared" si="5"/>
        <v>1</v>
      </c>
      <c r="H100" s="1" t="s">
        <v>48</v>
      </c>
      <c r="I100" s="1" t="s">
        <v>49</v>
      </c>
      <c r="J100" s="23" t="s">
        <v>50</v>
      </c>
      <c r="K100" s="2" t="s">
        <v>51</v>
      </c>
      <c r="L100" s="1">
        <v>214</v>
      </c>
      <c r="M100" s="1">
        <v>4</v>
      </c>
      <c r="N100" s="1" t="str">
        <f t="shared" si="8"/>
        <v>Published</v>
      </c>
      <c r="O100" s="1">
        <f t="shared" si="6"/>
        <v>8.56</v>
      </c>
      <c r="P100" s="1">
        <v>21</v>
      </c>
      <c r="Q100" s="1">
        <v>1132</v>
      </c>
      <c r="R100" s="1" t="str">
        <f t="shared" si="9"/>
        <v>4</v>
      </c>
      <c r="S100" s="1">
        <v>17</v>
      </c>
      <c r="T100" s="1" t="str">
        <f t="shared" si="7"/>
        <v>2</v>
      </c>
      <c r="U100" s="1">
        <v>-33.853009</v>
      </c>
      <c r="V100" s="3">
        <v>151.17704499999999</v>
      </c>
    </row>
    <row r="101" spans="1:22" x14ac:dyDescent="0.35">
      <c r="A101" s="22" t="s">
        <v>425</v>
      </c>
      <c r="B101" s="1" t="s">
        <v>426</v>
      </c>
      <c r="C101" s="1" t="s">
        <v>427</v>
      </c>
      <c r="D101" s="1" t="s">
        <v>428</v>
      </c>
      <c r="E101" s="1" t="s">
        <v>429</v>
      </c>
      <c r="F101" s="1" t="s">
        <v>57</v>
      </c>
      <c r="G101" s="1">
        <f t="shared" si="5"/>
        <v>2</v>
      </c>
      <c r="H101" s="1" t="s">
        <v>63</v>
      </c>
      <c r="I101" s="1" t="s">
        <v>49</v>
      </c>
      <c r="J101" s="23" t="s">
        <v>50</v>
      </c>
      <c r="K101" s="2" t="s">
        <v>51</v>
      </c>
      <c r="L101" s="1">
        <v>254</v>
      </c>
      <c r="M101" s="1">
        <v>9</v>
      </c>
      <c r="N101" s="1" t="str">
        <f t="shared" si="8"/>
        <v>Published</v>
      </c>
      <c r="O101" s="1">
        <f t="shared" si="6"/>
        <v>22.86</v>
      </c>
      <c r="P101" s="1">
        <v>12</v>
      </c>
      <c r="Q101" s="1">
        <v>1050</v>
      </c>
      <c r="R101" s="1" t="str">
        <f t="shared" si="9"/>
        <v>3</v>
      </c>
      <c r="S101" s="1">
        <v>65</v>
      </c>
      <c r="T101" s="1" t="str">
        <f t="shared" si="7"/>
        <v>2</v>
      </c>
      <c r="U101" s="1">
        <v>-33.639284000000004</v>
      </c>
      <c r="V101" s="3">
        <v>150.285831</v>
      </c>
    </row>
    <row r="102" spans="1:22" x14ac:dyDescent="0.35">
      <c r="A102" s="22" t="s">
        <v>430</v>
      </c>
      <c r="B102" s="1" t="s">
        <v>431</v>
      </c>
      <c r="C102" s="1" t="s">
        <v>432</v>
      </c>
      <c r="D102" s="1" t="s">
        <v>62</v>
      </c>
      <c r="E102" s="1" t="s">
        <v>56</v>
      </c>
      <c r="F102" s="1" t="s">
        <v>47</v>
      </c>
      <c r="G102" s="1">
        <f t="shared" si="5"/>
        <v>1</v>
      </c>
      <c r="H102" s="1" t="s">
        <v>58</v>
      </c>
      <c r="I102" s="1" t="s">
        <v>49</v>
      </c>
      <c r="J102" s="23" t="s">
        <v>50</v>
      </c>
      <c r="K102" s="2" t="s">
        <v>51</v>
      </c>
      <c r="L102" s="1">
        <v>67</v>
      </c>
      <c r="M102" s="1">
        <v>18</v>
      </c>
      <c r="N102" s="1" t="str">
        <f t="shared" si="8"/>
        <v>Published</v>
      </c>
      <c r="O102" s="1">
        <f t="shared" si="6"/>
        <v>12.059999999999999</v>
      </c>
      <c r="P102" s="1"/>
      <c r="Q102" s="1">
        <v>982</v>
      </c>
      <c r="R102" s="1" t="str">
        <f t="shared" si="9"/>
        <v>2</v>
      </c>
      <c r="S102" s="1">
        <v>102</v>
      </c>
      <c r="T102" s="1" t="str">
        <f t="shared" si="7"/>
        <v>1</v>
      </c>
      <c r="U102" s="1">
        <v>-32.838523000000002</v>
      </c>
      <c r="V102" s="3">
        <v>151.617131</v>
      </c>
    </row>
    <row r="103" spans="1:22" x14ac:dyDescent="0.35">
      <c r="A103" s="22" t="s">
        <v>433</v>
      </c>
      <c r="B103" s="1" t="s">
        <v>434</v>
      </c>
      <c r="C103" s="1" t="s">
        <v>435</v>
      </c>
      <c r="D103" s="1" t="s">
        <v>139</v>
      </c>
      <c r="E103" s="1" t="s">
        <v>91</v>
      </c>
      <c r="F103" s="1" t="s">
        <v>57</v>
      </c>
      <c r="G103" s="1">
        <f t="shared" si="5"/>
        <v>2</v>
      </c>
      <c r="H103" s="1" t="s">
        <v>92</v>
      </c>
      <c r="I103" s="1" t="s">
        <v>49</v>
      </c>
      <c r="J103" s="23" t="s">
        <v>50</v>
      </c>
      <c r="K103" s="2" t="s">
        <v>51</v>
      </c>
      <c r="L103" s="1">
        <v>20</v>
      </c>
      <c r="M103" s="1">
        <v>80</v>
      </c>
      <c r="N103" s="1" t="str">
        <f t="shared" si="8"/>
        <v>Published</v>
      </c>
      <c r="O103" s="1">
        <f t="shared" si="6"/>
        <v>16</v>
      </c>
      <c r="P103" s="1">
        <v>50</v>
      </c>
      <c r="Q103" s="1">
        <v>807</v>
      </c>
      <c r="R103" s="1" t="str">
        <f t="shared" si="9"/>
        <v>1</v>
      </c>
      <c r="S103" s="1">
        <v>133</v>
      </c>
      <c r="T103" s="1" t="str">
        <f t="shared" si="7"/>
        <v>1</v>
      </c>
      <c r="U103" s="1">
        <v>-30.308489000000002</v>
      </c>
      <c r="V103" s="3">
        <v>151.65768800000001</v>
      </c>
    </row>
    <row r="104" spans="1:22" x14ac:dyDescent="0.35">
      <c r="A104" s="22" t="s">
        <v>436</v>
      </c>
      <c r="B104" s="1" t="s">
        <v>437</v>
      </c>
      <c r="C104" s="1" t="s">
        <v>438</v>
      </c>
      <c r="D104" s="1" t="s">
        <v>439</v>
      </c>
      <c r="E104" s="1" t="s">
        <v>91</v>
      </c>
      <c r="F104" s="1" t="s">
        <v>69</v>
      </c>
      <c r="G104" s="1">
        <f t="shared" si="5"/>
        <v>3</v>
      </c>
      <c r="H104" s="1" t="s">
        <v>92</v>
      </c>
      <c r="I104" s="1" t="s">
        <v>49</v>
      </c>
      <c r="J104" s="23" t="s">
        <v>50</v>
      </c>
      <c r="K104" s="2" t="s">
        <v>51</v>
      </c>
      <c r="L104" s="1">
        <v>9</v>
      </c>
      <c r="M104" s="1"/>
      <c r="N104" s="1" t="str">
        <f t="shared" si="8"/>
        <v>Suppressed</v>
      </c>
      <c r="O104" s="1" t="str">
        <f t="shared" si="6"/>
        <v/>
      </c>
      <c r="P104" s="1">
        <v>0</v>
      </c>
      <c r="Q104" s="1">
        <v>914</v>
      </c>
      <c r="R104" s="1" t="str">
        <f t="shared" si="9"/>
        <v>2</v>
      </c>
      <c r="S104" s="1">
        <v>134</v>
      </c>
      <c r="T104" s="1" t="str">
        <f t="shared" si="7"/>
        <v>1</v>
      </c>
      <c r="U104" s="1">
        <v>-31.640440000000002</v>
      </c>
      <c r="V104" s="3">
        <v>150.23748900000001</v>
      </c>
    </row>
    <row r="105" spans="1:22" x14ac:dyDescent="0.35">
      <c r="A105" s="22" t="s">
        <v>440</v>
      </c>
      <c r="B105" s="1" t="s">
        <v>441</v>
      </c>
      <c r="C105" s="1" t="s">
        <v>442</v>
      </c>
      <c r="D105" s="1" t="s">
        <v>390</v>
      </c>
      <c r="E105" s="1" t="s">
        <v>107</v>
      </c>
      <c r="F105" s="1" t="s">
        <v>57</v>
      </c>
      <c r="G105" s="1">
        <f t="shared" si="5"/>
        <v>2</v>
      </c>
      <c r="H105" s="1" t="s">
        <v>92</v>
      </c>
      <c r="I105" s="1" t="s">
        <v>49</v>
      </c>
      <c r="J105" s="23" t="s">
        <v>50</v>
      </c>
      <c r="K105" s="2" t="s">
        <v>51</v>
      </c>
      <c r="L105" s="1">
        <v>36</v>
      </c>
      <c r="M105" s="1">
        <v>17</v>
      </c>
      <c r="N105" s="1" t="str">
        <f t="shared" si="8"/>
        <v>Published</v>
      </c>
      <c r="O105" s="1">
        <f t="shared" si="6"/>
        <v>6.12</v>
      </c>
      <c r="P105" s="1">
        <v>0</v>
      </c>
      <c r="Q105" s="1">
        <v>942</v>
      </c>
      <c r="R105" s="1" t="str">
        <f t="shared" si="9"/>
        <v>2</v>
      </c>
      <c r="S105" s="1">
        <v>114</v>
      </c>
      <c r="T105" s="1" t="str">
        <f t="shared" si="7"/>
        <v>1</v>
      </c>
      <c r="U105" s="1">
        <v>-28.763425999999999</v>
      </c>
      <c r="V105" s="3">
        <v>153.22999200000001</v>
      </c>
    </row>
    <row r="106" spans="1:22" x14ac:dyDescent="0.35">
      <c r="A106" s="22" t="s">
        <v>443</v>
      </c>
      <c r="B106" s="1" t="s">
        <v>444</v>
      </c>
      <c r="C106" s="1" t="s">
        <v>445</v>
      </c>
      <c r="D106" s="1" t="s">
        <v>386</v>
      </c>
      <c r="E106" s="1" t="s">
        <v>229</v>
      </c>
      <c r="F106" s="1" t="s">
        <v>47</v>
      </c>
      <c r="G106" s="1">
        <f t="shared" si="5"/>
        <v>1</v>
      </c>
      <c r="H106" s="1" t="s">
        <v>48</v>
      </c>
      <c r="I106" s="1" t="s">
        <v>49</v>
      </c>
      <c r="J106" s="23" t="s">
        <v>50</v>
      </c>
      <c r="K106" s="2" t="s">
        <v>51</v>
      </c>
      <c r="L106" s="1">
        <v>256</v>
      </c>
      <c r="M106" s="1">
        <v>3</v>
      </c>
      <c r="N106" s="1" t="str">
        <f t="shared" si="8"/>
        <v>Published</v>
      </c>
      <c r="O106" s="1">
        <f t="shared" si="6"/>
        <v>7.68</v>
      </c>
      <c r="P106" s="1">
        <v>61</v>
      </c>
      <c r="Q106" s="1">
        <v>1049</v>
      </c>
      <c r="R106" s="1" t="str">
        <f t="shared" si="9"/>
        <v>3</v>
      </c>
      <c r="S106" s="1">
        <v>71</v>
      </c>
      <c r="T106" s="1" t="str">
        <f t="shared" si="7"/>
        <v>2</v>
      </c>
      <c r="U106" s="1">
        <v>-33.982979999999998</v>
      </c>
      <c r="V106" s="3">
        <v>151.115779</v>
      </c>
    </row>
    <row r="107" spans="1:22" x14ac:dyDescent="0.35">
      <c r="A107" s="22" t="s">
        <v>446</v>
      </c>
      <c r="B107" s="1" t="s">
        <v>447</v>
      </c>
      <c r="C107" s="1" t="s">
        <v>448</v>
      </c>
      <c r="D107" s="1" t="s">
        <v>55</v>
      </c>
      <c r="E107" s="1" t="s">
        <v>56</v>
      </c>
      <c r="F107" s="1" t="s">
        <v>69</v>
      </c>
      <c r="G107" s="1">
        <f t="shared" si="5"/>
        <v>3</v>
      </c>
      <c r="H107" s="1" t="s">
        <v>58</v>
      </c>
      <c r="I107" s="1" t="s">
        <v>49</v>
      </c>
      <c r="J107" s="23" t="s">
        <v>50</v>
      </c>
      <c r="K107" s="2" t="s">
        <v>51</v>
      </c>
      <c r="L107" s="1">
        <v>10</v>
      </c>
      <c r="M107" s="1"/>
      <c r="N107" s="1" t="str">
        <f t="shared" si="8"/>
        <v>Suppressed</v>
      </c>
      <c r="O107" s="1" t="str">
        <f t="shared" si="6"/>
        <v/>
      </c>
      <c r="P107" s="1">
        <v>0</v>
      </c>
      <c r="Q107" s="1">
        <v>978</v>
      </c>
      <c r="R107" s="1" t="str">
        <f t="shared" si="9"/>
        <v>2</v>
      </c>
      <c r="S107" s="1">
        <v>116</v>
      </c>
      <c r="T107" s="1" t="str">
        <f t="shared" si="7"/>
        <v>1</v>
      </c>
      <c r="U107" s="1">
        <v>-31.778585</v>
      </c>
      <c r="V107" s="3">
        <v>150.89272500000001</v>
      </c>
    </row>
    <row r="108" spans="1:22" x14ac:dyDescent="0.35">
      <c r="A108" s="22" t="s">
        <v>449</v>
      </c>
      <c r="B108" s="1" t="s">
        <v>450</v>
      </c>
      <c r="C108" s="1" t="s">
        <v>451</v>
      </c>
      <c r="D108" s="1" t="s">
        <v>169</v>
      </c>
      <c r="E108" s="1" t="s">
        <v>170</v>
      </c>
      <c r="F108" s="1" t="s">
        <v>47</v>
      </c>
      <c r="G108" s="1">
        <f t="shared" si="5"/>
        <v>1</v>
      </c>
      <c r="H108" s="1" t="s">
        <v>48</v>
      </c>
      <c r="I108" s="1" t="s">
        <v>49</v>
      </c>
      <c r="J108" s="23" t="s">
        <v>50</v>
      </c>
      <c r="K108" s="2" t="s">
        <v>51</v>
      </c>
      <c r="L108" s="1">
        <v>948</v>
      </c>
      <c r="M108" s="1">
        <v>1</v>
      </c>
      <c r="N108" s="1" t="str">
        <f t="shared" si="8"/>
        <v>Published</v>
      </c>
      <c r="O108" s="1">
        <f t="shared" si="6"/>
        <v>9.48</v>
      </c>
      <c r="P108" s="1">
        <v>91</v>
      </c>
      <c r="Q108" s="1">
        <v>957</v>
      </c>
      <c r="R108" s="1" t="str">
        <f t="shared" si="9"/>
        <v>2</v>
      </c>
      <c r="S108" s="1">
        <v>153</v>
      </c>
      <c r="T108" s="1" t="str">
        <f t="shared" si="7"/>
        <v>4</v>
      </c>
      <c r="U108" s="1">
        <v>-33.858068000000003</v>
      </c>
      <c r="V108" s="3">
        <v>151.006125</v>
      </c>
    </row>
    <row r="109" spans="1:22" x14ac:dyDescent="0.35">
      <c r="A109" s="22" t="s">
        <v>452</v>
      </c>
      <c r="B109" s="1" t="s">
        <v>453</v>
      </c>
      <c r="C109" s="1" t="s">
        <v>454</v>
      </c>
      <c r="D109" s="1" t="s">
        <v>428</v>
      </c>
      <c r="E109" s="1" t="s">
        <v>429</v>
      </c>
      <c r="F109" s="1" t="s">
        <v>47</v>
      </c>
      <c r="G109" s="1">
        <f t="shared" si="5"/>
        <v>1</v>
      </c>
      <c r="H109" s="1" t="s">
        <v>63</v>
      </c>
      <c r="I109" s="1" t="s">
        <v>49</v>
      </c>
      <c r="J109" s="23" t="s">
        <v>50</v>
      </c>
      <c r="K109" s="2" t="s">
        <v>51</v>
      </c>
      <c r="L109" s="1">
        <v>137</v>
      </c>
      <c r="M109" s="1">
        <v>8</v>
      </c>
      <c r="N109" s="1" t="str">
        <f t="shared" si="8"/>
        <v>Published</v>
      </c>
      <c r="O109" s="1">
        <f t="shared" si="6"/>
        <v>10.96</v>
      </c>
      <c r="P109" s="1">
        <v>9</v>
      </c>
      <c r="Q109" s="1">
        <v>1068</v>
      </c>
      <c r="R109" s="1" t="str">
        <f t="shared" si="9"/>
        <v>3</v>
      </c>
      <c r="S109" s="1">
        <v>67</v>
      </c>
      <c r="T109" s="1" t="str">
        <f t="shared" si="7"/>
        <v>2</v>
      </c>
      <c r="U109" s="1">
        <v>-33.737102999999998</v>
      </c>
      <c r="V109" s="3">
        <v>150.603489</v>
      </c>
    </row>
    <row r="110" spans="1:22" x14ac:dyDescent="0.35">
      <c r="A110" s="22" t="s">
        <v>455</v>
      </c>
      <c r="B110" s="1" t="s">
        <v>456</v>
      </c>
      <c r="C110" s="1" t="s">
        <v>457</v>
      </c>
      <c r="D110" s="1" t="s">
        <v>457</v>
      </c>
      <c r="E110" s="1" t="s">
        <v>261</v>
      </c>
      <c r="F110" s="1" t="s">
        <v>57</v>
      </c>
      <c r="G110" s="1">
        <f t="shared" si="5"/>
        <v>2</v>
      </c>
      <c r="H110" s="1" t="s">
        <v>58</v>
      </c>
      <c r="I110" s="1" t="s">
        <v>49</v>
      </c>
      <c r="J110" s="23" t="s">
        <v>50</v>
      </c>
      <c r="K110" s="2" t="s">
        <v>51</v>
      </c>
      <c r="L110" s="1">
        <v>248</v>
      </c>
      <c r="M110" s="1">
        <v>20</v>
      </c>
      <c r="N110" s="1" t="str">
        <f t="shared" si="8"/>
        <v>Published</v>
      </c>
      <c r="O110" s="1">
        <f t="shared" si="6"/>
        <v>49.6</v>
      </c>
      <c r="P110" s="1">
        <v>3</v>
      </c>
      <c r="Q110" s="1">
        <v>928</v>
      </c>
      <c r="R110" s="1" t="str">
        <f t="shared" si="9"/>
        <v>2</v>
      </c>
      <c r="S110" s="1">
        <v>121</v>
      </c>
      <c r="T110" s="1" t="str">
        <f t="shared" si="7"/>
        <v>2</v>
      </c>
      <c r="U110" s="1">
        <v>-33.528987000000001</v>
      </c>
      <c r="V110" s="3">
        <v>149.25158300000001</v>
      </c>
    </row>
    <row r="111" spans="1:22" x14ac:dyDescent="0.35">
      <c r="A111" s="22" t="s">
        <v>458</v>
      </c>
      <c r="B111" s="1" t="s">
        <v>459</v>
      </c>
      <c r="C111" s="1" t="s">
        <v>460</v>
      </c>
      <c r="D111" s="1" t="s">
        <v>461</v>
      </c>
      <c r="E111" s="1" t="s">
        <v>96</v>
      </c>
      <c r="F111" s="1" t="s">
        <v>69</v>
      </c>
      <c r="G111" s="1">
        <f t="shared" si="5"/>
        <v>3</v>
      </c>
      <c r="H111" s="1" t="s">
        <v>70</v>
      </c>
      <c r="I111" s="1" t="s">
        <v>49</v>
      </c>
      <c r="J111" s="23" t="s">
        <v>50</v>
      </c>
      <c r="K111" s="2" t="s">
        <v>51</v>
      </c>
      <c r="L111" s="1">
        <v>19</v>
      </c>
      <c r="M111" s="1">
        <v>0</v>
      </c>
      <c r="N111" s="1" t="str">
        <f t="shared" si="8"/>
        <v>Published</v>
      </c>
      <c r="O111" s="1">
        <f t="shared" si="6"/>
        <v>0</v>
      </c>
      <c r="P111" s="1"/>
      <c r="Q111" s="1">
        <v>1012</v>
      </c>
      <c r="R111" s="1" t="str">
        <f t="shared" si="9"/>
        <v>3</v>
      </c>
      <c r="S111" s="1">
        <v>67</v>
      </c>
      <c r="T111" s="1" t="str">
        <f t="shared" si="7"/>
        <v>1</v>
      </c>
      <c r="U111" s="1">
        <v>-35.580094000000003</v>
      </c>
      <c r="V111" s="3">
        <v>145.34927200000001</v>
      </c>
    </row>
    <row r="112" spans="1:22" x14ac:dyDescent="0.35">
      <c r="A112" s="22" t="s">
        <v>462</v>
      </c>
      <c r="B112" s="1" t="s">
        <v>463</v>
      </c>
      <c r="C112" s="1" t="s">
        <v>464</v>
      </c>
      <c r="D112" s="1" t="s">
        <v>465</v>
      </c>
      <c r="E112" s="1" t="s">
        <v>281</v>
      </c>
      <c r="F112" s="1" t="s">
        <v>57</v>
      </c>
      <c r="G112" s="1">
        <f t="shared" si="5"/>
        <v>2</v>
      </c>
      <c r="H112" s="1" t="s">
        <v>58</v>
      </c>
      <c r="I112" s="1" t="s">
        <v>49</v>
      </c>
      <c r="J112" s="23" t="s">
        <v>50</v>
      </c>
      <c r="K112" s="2" t="s">
        <v>51</v>
      </c>
      <c r="L112" s="1">
        <v>383</v>
      </c>
      <c r="M112" s="1">
        <v>14</v>
      </c>
      <c r="N112" s="1" t="str">
        <f t="shared" si="8"/>
        <v>Published</v>
      </c>
      <c r="O112" s="1">
        <f t="shared" si="6"/>
        <v>53.620000000000005</v>
      </c>
      <c r="P112" s="1">
        <v>5</v>
      </c>
      <c r="Q112" s="1">
        <v>996</v>
      </c>
      <c r="R112" s="1" t="str">
        <f t="shared" si="9"/>
        <v>2</v>
      </c>
      <c r="S112" s="1">
        <v>90</v>
      </c>
      <c r="T112" s="1" t="str">
        <f t="shared" si="7"/>
        <v>3</v>
      </c>
      <c r="U112" s="1">
        <v>-30.334054999999999</v>
      </c>
      <c r="V112" s="3">
        <v>153.077009</v>
      </c>
    </row>
    <row r="113" spans="1:22" x14ac:dyDescent="0.35">
      <c r="A113" s="22" t="s">
        <v>466</v>
      </c>
      <c r="B113" s="1" t="s">
        <v>467</v>
      </c>
      <c r="C113" s="1" t="s">
        <v>468</v>
      </c>
      <c r="D113" s="1" t="s">
        <v>275</v>
      </c>
      <c r="E113" s="1" t="s">
        <v>276</v>
      </c>
      <c r="F113" s="1" t="s">
        <v>69</v>
      </c>
      <c r="G113" s="1">
        <f t="shared" si="5"/>
        <v>3</v>
      </c>
      <c r="H113" s="1" t="s">
        <v>58</v>
      </c>
      <c r="I113" s="1" t="s">
        <v>49</v>
      </c>
      <c r="J113" s="23" t="s">
        <v>50</v>
      </c>
      <c r="K113" s="2" t="s">
        <v>51</v>
      </c>
      <c r="L113" s="1">
        <v>13</v>
      </c>
      <c r="M113" s="1"/>
      <c r="N113" s="1" t="str">
        <f t="shared" si="8"/>
        <v>Suppressed</v>
      </c>
      <c r="O113" s="1" t="str">
        <f t="shared" si="6"/>
        <v/>
      </c>
      <c r="P113" s="1"/>
      <c r="Q113" s="1">
        <v>938</v>
      </c>
      <c r="R113" s="1" t="str">
        <f t="shared" si="9"/>
        <v>2</v>
      </c>
      <c r="S113" s="1">
        <v>137</v>
      </c>
      <c r="T113" s="1" t="str">
        <f t="shared" si="7"/>
        <v>1</v>
      </c>
      <c r="U113" s="1">
        <v>-31.712682000000001</v>
      </c>
      <c r="V113" s="3">
        <v>152.28388000000001</v>
      </c>
    </row>
    <row r="114" spans="1:22" x14ac:dyDescent="0.35">
      <c r="A114" s="22" t="s">
        <v>469</v>
      </c>
      <c r="B114" s="1" t="s">
        <v>470</v>
      </c>
      <c r="C114" s="1" t="s">
        <v>471</v>
      </c>
      <c r="D114" s="1" t="s">
        <v>111</v>
      </c>
      <c r="E114" s="1" t="s">
        <v>56</v>
      </c>
      <c r="F114" s="1" t="s">
        <v>57</v>
      </c>
      <c r="G114" s="1">
        <f t="shared" si="5"/>
        <v>2</v>
      </c>
      <c r="H114" s="1" t="s">
        <v>63</v>
      </c>
      <c r="I114" s="1" t="s">
        <v>49</v>
      </c>
      <c r="J114" s="23" t="s">
        <v>50</v>
      </c>
      <c r="K114" s="2" t="s">
        <v>51</v>
      </c>
      <c r="L114" s="1">
        <v>30</v>
      </c>
      <c r="M114" s="1"/>
      <c r="N114" s="1" t="str">
        <f t="shared" si="8"/>
        <v>Suppressed</v>
      </c>
      <c r="O114" s="1" t="str">
        <f t="shared" si="6"/>
        <v/>
      </c>
      <c r="P114" s="1"/>
      <c r="Q114" s="1">
        <v>979</v>
      </c>
      <c r="R114" s="1" t="str">
        <f t="shared" si="9"/>
        <v>2</v>
      </c>
      <c r="S114" s="1">
        <v>88</v>
      </c>
      <c r="T114" s="1" t="str">
        <f t="shared" si="7"/>
        <v>1</v>
      </c>
      <c r="U114" s="1">
        <v>-32.766795999999999</v>
      </c>
      <c r="V114" s="3">
        <v>152.01093700000001</v>
      </c>
    </row>
    <row r="115" spans="1:22" x14ac:dyDescent="0.35">
      <c r="A115" s="22" t="s">
        <v>472</v>
      </c>
      <c r="B115" s="1" t="s">
        <v>473</v>
      </c>
      <c r="C115" s="1" t="s">
        <v>474</v>
      </c>
      <c r="D115" s="1" t="s">
        <v>288</v>
      </c>
      <c r="E115" s="1" t="s">
        <v>68</v>
      </c>
      <c r="F115" s="1" t="s">
        <v>69</v>
      </c>
      <c r="G115" s="1">
        <f t="shared" si="5"/>
        <v>3</v>
      </c>
      <c r="H115" s="1" t="s">
        <v>86</v>
      </c>
      <c r="I115" s="1" t="s">
        <v>49</v>
      </c>
      <c r="J115" s="23" t="s">
        <v>50</v>
      </c>
      <c r="K115" s="2" t="s">
        <v>51</v>
      </c>
      <c r="L115" s="1">
        <v>65</v>
      </c>
      <c r="M115" s="1">
        <v>32</v>
      </c>
      <c r="N115" s="1" t="str">
        <f t="shared" si="8"/>
        <v>Published</v>
      </c>
      <c r="O115" s="1">
        <f t="shared" si="6"/>
        <v>20.8</v>
      </c>
      <c r="P115" s="1"/>
      <c r="Q115" s="1">
        <v>890</v>
      </c>
      <c r="R115" s="1" t="str">
        <f t="shared" si="9"/>
        <v>1</v>
      </c>
      <c r="S115" s="1">
        <v>129</v>
      </c>
      <c r="T115" s="1" t="str">
        <f t="shared" si="7"/>
        <v>1</v>
      </c>
      <c r="U115" s="1">
        <v>-36.099379999999996</v>
      </c>
      <c r="V115" s="3">
        <v>150.05387899999999</v>
      </c>
    </row>
    <row r="116" spans="1:22" x14ac:dyDescent="0.35">
      <c r="A116" s="22" t="s">
        <v>475</v>
      </c>
      <c r="B116" s="1" t="s">
        <v>476</v>
      </c>
      <c r="C116" s="1" t="s">
        <v>477</v>
      </c>
      <c r="D116" s="1" t="s">
        <v>478</v>
      </c>
      <c r="E116" s="1" t="s">
        <v>261</v>
      </c>
      <c r="F116" s="1" t="s">
        <v>69</v>
      </c>
      <c r="G116" s="1">
        <f t="shared" si="5"/>
        <v>3</v>
      </c>
      <c r="H116" s="1" t="s">
        <v>70</v>
      </c>
      <c r="I116" s="1" t="s">
        <v>49</v>
      </c>
      <c r="J116" s="23" t="s">
        <v>50</v>
      </c>
      <c r="K116" s="2" t="s">
        <v>51</v>
      </c>
      <c r="L116" s="1">
        <v>11</v>
      </c>
      <c r="M116" s="1"/>
      <c r="N116" s="1" t="str">
        <f t="shared" si="8"/>
        <v>Suppressed</v>
      </c>
      <c r="O116" s="1" t="str">
        <f t="shared" si="6"/>
        <v/>
      </c>
      <c r="P116" s="1">
        <v>0</v>
      </c>
      <c r="Q116" s="1">
        <v>828</v>
      </c>
      <c r="R116" s="1" t="str">
        <f t="shared" si="9"/>
        <v>1</v>
      </c>
      <c r="S116" s="1">
        <v>164</v>
      </c>
      <c r="T116" s="1" t="str">
        <f t="shared" si="7"/>
        <v>1</v>
      </c>
      <c r="U116" s="1">
        <v>-33.104968</v>
      </c>
      <c r="V116" s="3">
        <v>147.79785899999999</v>
      </c>
    </row>
    <row r="117" spans="1:22" x14ac:dyDescent="0.35">
      <c r="A117" s="22" t="s">
        <v>479</v>
      </c>
      <c r="B117" s="1" t="s">
        <v>480</v>
      </c>
      <c r="C117" s="1" t="s">
        <v>481</v>
      </c>
      <c r="D117" s="1" t="s">
        <v>482</v>
      </c>
      <c r="E117" s="1" t="s">
        <v>91</v>
      </c>
      <c r="F117" s="1" t="s">
        <v>69</v>
      </c>
      <c r="G117" s="1">
        <f t="shared" si="5"/>
        <v>3</v>
      </c>
      <c r="H117" s="1" t="s">
        <v>86</v>
      </c>
      <c r="I117" s="1" t="s">
        <v>132</v>
      </c>
      <c r="J117" s="23" t="s">
        <v>50</v>
      </c>
      <c r="K117" s="2" t="s">
        <v>51</v>
      </c>
      <c r="L117" s="1">
        <v>79</v>
      </c>
      <c r="M117" s="1">
        <v>99</v>
      </c>
      <c r="N117" s="1" t="str">
        <f t="shared" si="8"/>
        <v>Published</v>
      </c>
      <c r="O117" s="1">
        <f t="shared" si="6"/>
        <v>78.209999999999994</v>
      </c>
      <c r="P117" s="1">
        <v>60</v>
      </c>
      <c r="Q117" s="1">
        <v>670</v>
      </c>
      <c r="R117" s="1" t="str">
        <f t="shared" si="9"/>
        <v>1</v>
      </c>
      <c r="S117" s="1">
        <v>224</v>
      </c>
      <c r="T117" s="1" t="str">
        <f t="shared" si="7"/>
        <v>1</v>
      </c>
      <c r="U117" s="1">
        <v>-28.616586000000002</v>
      </c>
      <c r="V117" s="3">
        <v>150.361593</v>
      </c>
    </row>
    <row r="118" spans="1:22" x14ac:dyDescent="0.35">
      <c r="A118" s="22" t="s">
        <v>483</v>
      </c>
      <c r="B118" s="1" t="s">
        <v>484</v>
      </c>
      <c r="C118" s="1" t="s">
        <v>485</v>
      </c>
      <c r="D118" s="1" t="s">
        <v>318</v>
      </c>
      <c r="E118" s="1" t="s">
        <v>91</v>
      </c>
      <c r="F118" s="1" t="s">
        <v>69</v>
      </c>
      <c r="G118" s="1">
        <f t="shared" si="5"/>
        <v>3</v>
      </c>
      <c r="H118" s="1" t="s">
        <v>92</v>
      </c>
      <c r="I118" s="1" t="s">
        <v>49</v>
      </c>
      <c r="J118" s="23" t="s">
        <v>50</v>
      </c>
      <c r="K118" s="2" t="s">
        <v>51</v>
      </c>
      <c r="L118" s="1">
        <v>96</v>
      </c>
      <c r="M118" s="1">
        <v>26</v>
      </c>
      <c r="N118" s="1" t="str">
        <f t="shared" si="8"/>
        <v>Published</v>
      </c>
      <c r="O118" s="1">
        <f t="shared" si="6"/>
        <v>24.96</v>
      </c>
      <c r="P118" s="1"/>
      <c r="Q118" s="1">
        <v>908</v>
      </c>
      <c r="R118" s="1" t="str">
        <f t="shared" si="9"/>
        <v>2</v>
      </c>
      <c r="S118" s="1">
        <v>126</v>
      </c>
      <c r="T118" s="1" t="str">
        <f t="shared" si="7"/>
        <v>1</v>
      </c>
      <c r="U118" s="1">
        <v>-30.705681999999999</v>
      </c>
      <c r="V118" s="3">
        <v>150.04305299999999</v>
      </c>
    </row>
    <row r="119" spans="1:22" x14ac:dyDescent="0.35">
      <c r="A119" s="22" t="s">
        <v>486</v>
      </c>
      <c r="B119" s="1" t="s">
        <v>487</v>
      </c>
      <c r="C119" s="1" t="s">
        <v>488</v>
      </c>
      <c r="D119" s="1" t="s">
        <v>489</v>
      </c>
      <c r="E119" s="1" t="s">
        <v>56</v>
      </c>
      <c r="F119" s="1" t="s">
        <v>47</v>
      </c>
      <c r="G119" s="1">
        <f t="shared" si="5"/>
        <v>1</v>
      </c>
      <c r="H119" s="1" t="s">
        <v>58</v>
      </c>
      <c r="I119" s="1" t="s">
        <v>49</v>
      </c>
      <c r="J119" s="23" t="s">
        <v>50</v>
      </c>
      <c r="K119" s="2" t="s">
        <v>51</v>
      </c>
      <c r="L119" s="1">
        <v>390</v>
      </c>
      <c r="M119" s="1">
        <v>11</v>
      </c>
      <c r="N119" s="1" t="str">
        <f t="shared" si="8"/>
        <v>Published</v>
      </c>
      <c r="O119" s="1">
        <f t="shared" si="6"/>
        <v>42.9</v>
      </c>
      <c r="P119" s="1">
        <v>7</v>
      </c>
      <c r="Q119" s="1">
        <v>1032</v>
      </c>
      <c r="R119" s="1" t="str">
        <f t="shared" si="9"/>
        <v>3</v>
      </c>
      <c r="S119" s="1">
        <v>75</v>
      </c>
      <c r="T119" s="1" t="str">
        <f t="shared" si="7"/>
        <v>3</v>
      </c>
      <c r="U119" s="1">
        <v>-32.706994000000002</v>
      </c>
      <c r="V119" s="3">
        <v>151.57300799999999</v>
      </c>
    </row>
    <row r="120" spans="1:22" x14ac:dyDescent="0.35">
      <c r="A120" s="22" t="s">
        <v>490</v>
      </c>
      <c r="B120" s="1" t="s">
        <v>491</v>
      </c>
      <c r="C120" s="1" t="s">
        <v>492</v>
      </c>
      <c r="D120" s="1" t="s">
        <v>382</v>
      </c>
      <c r="E120" s="1" t="s">
        <v>196</v>
      </c>
      <c r="F120" s="1" t="s">
        <v>57</v>
      </c>
      <c r="G120" s="1">
        <f t="shared" si="5"/>
        <v>2</v>
      </c>
      <c r="H120" s="1" t="s">
        <v>86</v>
      </c>
      <c r="I120" s="1" t="s">
        <v>49</v>
      </c>
      <c r="J120" s="23" t="s">
        <v>50</v>
      </c>
      <c r="K120" s="2" t="s">
        <v>51</v>
      </c>
      <c r="L120" s="1">
        <v>406</v>
      </c>
      <c r="M120" s="1">
        <v>32</v>
      </c>
      <c r="N120" s="1" t="str">
        <f t="shared" si="8"/>
        <v>Published</v>
      </c>
      <c r="O120" s="1">
        <f t="shared" si="6"/>
        <v>129.92000000000002</v>
      </c>
      <c r="P120" s="1">
        <v>12</v>
      </c>
      <c r="Q120" s="1">
        <v>908</v>
      </c>
      <c r="R120" s="1" t="str">
        <f t="shared" si="9"/>
        <v>2</v>
      </c>
      <c r="S120" s="1">
        <v>136</v>
      </c>
      <c r="T120" s="1" t="str">
        <f t="shared" si="7"/>
        <v>3</v>
      </c>
      <c r="U120" s="1">
        <v>-34.847378999999997</v>
      </c>
      <c r="V120" s="3">
        <v>150.60826900000001</v>
      </c>
    </row>
    <row r="121" spans="1:22" x14ac:dyDescent="0.35">
      <c r="A121" s="22" t="s">
        <v>493</v>
      </c>
      <c r="B121" s="1" t="s">
        <v>494</v>
      </c>
      <c r="C121" s="1" t="s">
        <v>495</v>
      </c>
      <c r="D121" s="1" t="s">
        <v>67</v>
      </c>
      <c r="E121" s="1" t="s">
        <v>68</v>
      </c>
      <c r="F121" s="1" t="s">
        <v>69</v>
      </c>
      <c r="G121" s="1">
        <f t="shared" si="5"/>
        <v>3</v>
      </c>
      <c r="H121" s="1" t="s">
        <v>70</v>
      </c>
      <c r="I121" s="1" t="s">
        <v>49</v>
      </c>
      <c r="J121" s="23" t="s">
        <v>50</v>
      </c>
      <c r="K121" s="2" t="s">
        <v>51</v>
      </c>
      <c r="L121" s="1">
        <v>104</v>
      </c>
      <c r="M121" s="1">
        <v>19</v>
      </c>
      <c r="N121" s="1" t="str">
        <f t="shared" si="8"/>
        <v>Published</v>
      </c>
      <c r="O121" s="1">
        <f t="shared" si="6"/>
        <v>19.760000000000002</v>
      </c>
      <c r="P121" s="1">
        <v>0</v>
      </c>
      <c r="Q121" s="1">
        <v>899</v>
      </c>
      <c r="R121" s="1" t="str">
        <f t="shared" si="9"/>
        <v>1</v>
      </c>
      <c r="S121" s="1">
        <v>134</v>
      </c>
      <c r="T121" s="1" t="str">
        <f t="shared" si="7"/>
        <v>2</v>
      </c>
      <c r="U121" s="1">
        <v>-36.918985999999997</v>
      </c>
      <c r="V121" s="3">
        <v>149.23379199999999</v>
      </c>
    </row>
    <row r="122" spans="1:22" x14ac:dyDescent="0.35">
      <c r="A122" s="22" t="s">
        <v>496</v>
      </c>
      <c r="B122" s="1" t="s">
        <v>497</v>
      </c>
      <c r="C122" s="1" t="s">
        <v>498</v>
      </c>
      <c r="D122" s="1" t="s">
        <v>256</v>
      </c>
      <c r="E122" s="1" t="s">
        <v>107</v>
      </c>
      <c r="F122" s="1" t="s">
        <v>69</v>
      </c>
      <c r="G122" s="1">
        <f t="shared" si="5"/>
        <v>3</v>
      </c>
      <c r="H122" s="1" t="s">
        <v>92</v>
      </c>
      <c r="I122" s="1" t="s">
        <v>132</v>
      </c>
      <c r="J122" s="23" t="s">
        <v>50</v>
      </c>
      <c r="K122" s="2" t="s">
        <v>51</v>
      </c>
      <c r="L122" s="1">
        <v>84</v>
      </c>
      <c r="M122" s="1">
        <v>36</v>
      </c>
      <c r="N122" s="1" t="str">
        <f t="shared" si="8"/>
        <v>Published</v>
      </c>
      <c r="O122" s="1">
        <f t="shared" si="6"/>
        <v>30.24</v>
      </c>
      <c r="P122" s="1"/>
      <c r="Q122" s="1">
        <v>791</v>
      </c>
      <c r="R122" s="1" t="str">
        <f t="shared" si="9"/>
        <v>1</v>
      </c>
      <c r="S122" s="1">
        <v>199</v>
      </c>
      <c r="T122" s="1" t="str">
        <f t="shared" si="7"/>
        <v>1</v>
      </c>
      <c r="U122" s="1">
        <v>-28.735472000000001</v>
      </c>
      <c r="V122" s="3">
        <v>152.62395900000001</v>
      </c>
    </row>
    <row r="123" spans="1:22" x14ac:dyDescent="0.35">
      <c r="A123" s="22" t="s">
        <v>499</v>
      </c>
      <c r="B123" s="1" t="s">
        <v>500</v>
      </c>
      <c r="C123" s="1" t="s">
        <v>501</v>
      </c>
      <c r="D123" s="1" t="s">
        <v>502</v>
      </c>
      <c r="E123" s="1" t="s">
        <v>330</v>
      </c>
      <c r="F123" s="1" t="s">
        <v>47</v>
      </c>
      <c r="G123" s="1">
        <f t="shared" si="5"/>
        <v>1</v>
      </c>
      <c r="H123" s="1" t="s">
        <v>48</v>
      </c>
      <c r="I123" s="1" t="s">
        <v>49</v>
      </c>
      <c r="J123" s="23" t="s">
        <v>50</v>
      </c>
      <c r="K123" s="2" t="s">
        <v>51</v>
      </c>
      <c r="L123" s="1">
        <v>348</v>
      </c>
      <c r="M123" s="1"/>
      <c r="N123" s="1" t="str">
        <f t="shared" si="8"/>
        <v>Suppressed</v>
      </c>
      <c r="O123" s="1" t="str">
        <f t="shared" si="6"/>
        <v/>
      </c>
      <c r="P123" s="1">
        <v>34</v>
      </c>
      <c r="Q123" s="1">
        <v>1120</v>
      </c>
      <c r="R123" s="1" t="str">
        <f t="shared" si="9"/>
        <v>4</v>
      </c>
      <c r="S123" s="1">
        <v>19</v>
      </c>
      <c r="T123" s="1" t="str">
        <f t="shared" si="7"/>
        <v>3</v>
      </c>
      <c r="U123" s="1">
        <v>-33.888300000000001</v>
      </c>
      <c r="V123" s="3">
        <v>151.27682100000001</v>
      </c>
    </row>
    <row r="124" spans="1:22" x14ac:dyDescent="0.35">
      <c r="A124" s="22" t="s">
        <v>503</v>
      </c>
      <c r="B124" s="1" t="s">
        <v>504</v>
      </c>
      <c r="C124" s="1" t="s">
        <v>505</v>
      </c>
      <c r="D124" s="1" t="s">
        <v>506</v>
      </c>
      <c r="E124" s="1" t="s">
        <v>80</v>
      </c>
      <c r="F124" s="1" t="s">
        <v>69</v>
      </c>
      <c r="G124" s="1">
        <f t="shared" si="5"/>
        <v>3</v>
      </c>
      <c r="H124" s="1" t="s">
        <v>70</v>
      </c>
      <c r="I124" s="1" t="s">
        <v>49</v>
      </c>
      <c r="J124" s="23" t="s">
        <v>50</v>
      </c>
      <c r="K124" s="2" t="s">
        <v>51</v>
      </c>
      <c r="L124" s="1">
        <v>9</v>
      </c>
      <c r="M124" s="1"/>
      <c r="N124" s="1" t="str">
        <f t="shared" si="8"/>
        <v>Suppressed</v>
      </c>
      <c r="O124" s="1" t="str">
        <f t="shared" si="6"/>
        <v/>
      </c>
      <c r="P124" s="1">
        <v>0</v>
      </c>
      <c r="Q124" s="1">
        <v>1062</v>
      </c>
      <c r="R124" s="1" t="str">
        <f t="shared" si="9"/>
        <v>3</v>
      </c>
      <c r="S124" s="1">
        <v>15</v>
      </c>
      <c r="T124" s="1" t="str">
        <f t="shared" si="7"/>
        <v>1</v>
      </c>
      <c r="U124" s="1">
        <v>-35.084629999999997</v>
      </c>
      <c r="V124" s="3">
        <v>148.399517</v>
      </c>
    </row>
    <row r="125" spans="1:22" x14ac:dyDescent="0.35">
      <c r="A125" s="22" t="s">
        <v>507</v>
      </c>
      <c r="B125" s="1" t="s">
        <v>508</v>
      </c>
      <c r="C125" s="1" t="s">
        <v>509</v>
      </c>
      <c r="D125" s="1" t="s">
        <v>159</v>
      </c>
      <c r="E125" s="1" t="s">
        <v>91</v>
      </c>
      <c r="F125" s="1" t="s">
        <v>69</v>
      </c>
      <c r="G125" s="1">
        <f t="shared" si="5"/>
        <v>3</v>
      </c>
      <c r="H125" s="1" t="s">
        <v>92</v>
      </c>
      <c r="I125" s="1" t="s">
        <v>49</v>
      </c>
      <c r="J125" s="23" t="s">
        <v>50</v>
      </c>
      <c r="K125" s="2" t="s">
        <v>51</v>
      </c>
      <c r="L125" s="1">
        <v>8</v>
      </c>
      <c r="M125" s="1">
        <v>0</v>
      </c>
      <c r="N125" s="1" t="str">
        <f t="shared" si="8"/>
        <v>Published</v>
      </c>
      <c r="O125" s="1">
        <f t="shared" si="6"/>
        <v>0</v>
      </c>
      <c r="P125" s="1">
        <v>0</v>
      </c>
      <c r="Q125" s="1">
        <v>951</v>
      </c>
      <c r="R125" s="1" t="str">
        <f t="shared" si="9"/>
        <v>2</v>
      </c>
      <c r="S125" s="1">
        <v>150</v>
      </c>
      <c r="T125" s="1" t="str">
        <f t="shared" si="7"/>
        <v>1</v>
      </c>
      <c r="U125" s="1">
        <v>-29.046365999999999</v>
      </c>
      <c r="V125" s="3">
        <v>151.27809199999999</v>
      </c>
    </row>
    <row r="126" spans="1:22" x14ac:dyDescent="0.35">
      <c r="A126" s="22" t="s">
        <v>510</v>
      </c>
      <c r="B126" s="1" t="s">
        <v>511</v>
      </c>
      <c r="C126" s="1" t="s">
        <v>512</v>
      </c>
      <c r="D126" s="1" t="s">
        <v>465</v>
      </c>
      <c r="E126" s="1" t="s">
        <v>281</v>
      </c>
      <c r="F126" s="1" t="s">
        <v>57</v>
      </c>
      <c r="G126" s="1">
        <f t="shared" si="5"/>
        <v>2</v>
      </c>
      <c r="H126" s="1" t="s">
        <v>58</v>
      </c>
      <c r="I126" s="1" t="s">
        <v>49</v>
      </c>
      <c r="J126" s="23" t="s">
        <v>50</v>
      </c>
      <c r="K126" s="2" t="s">
        <v>51</v>
      </c>
      <c r="L126" s="1">
        <v>121</v>
      </c>
      <c r="M126" s="1">
        <v>10</v>
      </c>
      <c r="N126" s="1" t="str">
        <f t="shared" si="8"/>
        <v>Published</v>
      </c>
      <c r="O126" s="1">
        <f t="shared" si="6"/>
        <v>12.100000000000001</v>
      </c>
      <c r="P126" s="1"/>
      <c r="Q126" s="1">
        <v>979</v>
      </c>
      <c r="R126" s="1" t="str">
        <f t="shared" si="9"/>
        <v>2</v>
      </c>
      <c r="S126" s="1">
        <v>105</v>
      </c>
      <c r="T126" s="1" t="str">
        <f t="shared" si="7"/>
        <v>2</v>
      </c>
      <c r="U126" s="1">
        <v>-30.379781999999999</v>
      </c>
      <c r="V126" s="3">
        <v>153.03231600000001</v>
      </c>
    </row>
    <row r="127" spans="1:22" x14ac:dyDescent="0.35">
      <c r="A127" s="22" t="s">
        <v>513</v>
      </c>
      <c r="B127" s="1" t="s">
        <v>514</v>
      </c>
      <c r="C127" s="1" t="s">
        <v>515</v>
      </c>
      <c r="D127" s="1" t="s">
        <v>191</v>
      </c>
      <c r="E127" s="1" t="s">
        <v>75</v>
      </c>
      <c r="F127" s="1" t="s">
        <v>47</v>
      </c>
      <c r="G127" s="1">
        <f t="shared" si="5"/>
        <v>1</v>
      </c>
      <c r="H127" s="1" t="s">
        <v>63</v>
      </c>
      <c r="I127" s="1" t="s">
        <v>49</v>
      </c>
      <c r="J127" s="23" t="s">
        <v>50</v>
      </c>
      <c r="K127" s="2" t="s">
        <v>51</v>
      </c>
      <c r="L127" s="1">
        <v>99</v>
      </c>
      <c r="M127" s="1">
        <v>21</v>
      </c>
      <c r="N127" s="1" t="str">
        <f t="shared" si="8"/>
        <v>Published</v>
      </c>
      <c r="O127" s="1">
        <f t="shared" si="6"/>
        <v>20.79</v>
      </c>
      <c r="P127" s="1">
        <v>8</v>
      </c>
      <c r="Q127" s="1">
        <v>981</v>
      </c>
      <c r="R127" s="1" t="str">
        <f t="shared" si="9"/>
        <v>2</v>
      </c>
      <c r="S127" s="1">
        <v>107</v>
      </c>
      <c r="T127" s="1" t="str">
        <f t="shared" si="7"/>
        <v>1</v>
      </c>
      <c r="U127" s="1">
        <v>-32.951196000000003</v>
      </c>
      <c r="V127" s="3">
        <v>151.62276499999999</v>
      </c>
    </row>
    <row r="128" spans="1:22" x14ac:dyDescent="0.35">
      <c r="A128" s="22" t="s">
        <v>516</v>
      </c>
      <c r="B128" s="1" t="s">
        <v>517</v>
      </c>
      <c r="C128" s="1" t="s">
        <v>518</v>
      </c>
      <c r="D128" s="1" t="s">
        <v>482</v>
      </c>
      <c r="E128" s="1" t="s">
        <v>91</v>
      </c>
      <c r="F128" s="1" t="s">
        <v>241</v>
      </c>
      <c r="G128" s="1">
        <f t="shared" si="5"/>
        <v>4</v>
      </c>
      <c r="H128" s="1" t="s">
        <v>92</v>
      </c>
      <c r="I128" s="1" t="s">
        <v>49</v>
      </c>
      <c r="J128" s="23" t="s">
        <v>50</v>
      </c>
      <c r="K128" s="2" t="s">
        <v>51</v>
      </c>
      <c r="L128" s="1">
        <v>7</v>
      </c>
      <c r="M128" s="1">
        <v>100</v>
      </c>
      <c r="N128" s="1" t="str">
        <f t="shared" si="8"/>
        <v>Published</v>
      </c>
      <c r="O128" s="1">
        <f t="shared" si="6"/>
        <v>7</v>
      </c>
      <c r="P128" s="1">
        <v>0</v>
      </c>
      <c r="Q128" s="1">
        <v>770</v>
      </c>
      <c r="R128" s="1" t="str">
        <f t="shared" si="9"/>
        <v>1</v>
      </c>
      <c r="S128" s="1">
        <v>62</v>
      </c>
      <c r="T128" s="1" t="str">
        <f t="shared" si="7"/>
        <v>1</v>
      </c>
      <c r="U128" s="1">
        <v>-28.724129000000001</v>
      </c>
      <c r="V128" s="3">
        <v>149.577268</v>
      </c>
    </row>
    <row r="129" spans="1:22" x14ac:dyDescent="0.35">
      <c r="A129" s="22" t="s">
        <v>519</v>
      </c>
      <c r="B129" s="1" t="s">
        <v>520</v>
      </c>
      <c r="C129" s="1" t="s">
        <v>521</v>
      </c>
      <c r="D129" s="1" t="s">
        <v>275</v>
      </c>
      <c r="E129" s="1" t="s">
        <v>276</v>
      </c>
      <c r="F129" s="1" t="s">
        <v>57</v>
      </c>
      <c r="G129" s="1">
        <f t="shared" si="5"/>
        <v>2</v>
      </c>
      <c r="H129" s="1" t="s">
        <v>58</v>
      </c>
      <c r="I129" s="1" t="s">
        <v>49</v>
      </c>
      <c r="J129" s="23" t="s">
        <v>50</v>
      </c>
      <c r="K129" s="2" t="s">
        <v>51</v>
      </c>
      <c r="L129" s="1">
        <v>84</v>
      </c>
      <c r="M129" s="1">
        <v>21</v>
      </c>
      <c r="N129" s="1" t="str">
        <f t="shared" si="8"/>
        <v>Published</v>
      </c>
      <c r="O129" s="1">
        <f t="shared" si="6"/>
        <v>17.64</v>
      </c>
      <c r="P129" s="1"/>
      <c r="Q129" s="1">
        <v>938</v>
      </c>
      <c r="R129" s="1" t="str">
        <f t="shared" si="9"/>
        <v>2</v>
      </c>
      <c r="S129" s="1">
        <v>120</v>
      </c>
      <c r="T129" s="1" t="str">
        <f t="shared" si="7"/>
        <v>1</v>
      </c>
      <c r="U129" s="1">
        <v>-32.471428000000003</v>
      </c>
      <c r="V129" s="3">
        <v>151.960736</v>
      </c>
    </row>
    <row r="130" spans="1:22" x14ac:dyDescent="0.35">
      <c r="A130" s="22" t="s">
        <v>522</v>
      </c>
      <c r="B130" s="1" t="s">
        <v>523</v>
      </c>
      <c r="C130" s="1" t="s">
        <v>524</v>
      </c>
      <c r="D130" s="1" t="s">
        <v>525</v>
      </c>
      <c r="E130" s="1" t="s">
        <v>68</v>
      </c>
      <c r="F130" s="1" t="s">
        <v>57</v>
      </c>
      <c r="G130" s="1">
        <f t="shared" ref="G130:G193" si="10">IF(F130="Major Cities of Australia",1,IF(F130="Inner Regional Australia",2,IF(F130="Outer Regional Australia",3,IF(F130="Remote Australia",4,IF(F130="Very Remote Australia",5,6)))))</f>
        <v>2</v>
      </c>
      <c r="H130" s="1" t="s">
        <v>86</v>
      </c>
      <c r="I130" s="1" t="s">
        <v>132</v>
      </c>
      <c r="J130" s="23" t="s">
        <v>50</v>
      </c>
      <c r="K130" s="2" t="s">
        <v>51</v>
      </c>
      <c r="L130" s="1">
        <v>239.8</v>
      </c>
      <c r="M130" s="1">
        <v>13</v>
      </c>
      <c r="N130" s="1" t="str">
        <f t="shared" si="8"/>
        <v>Published</v>
      </c>
      <c r="O130" s="1">
        <f t="shared" ref="O130:O193" si="11">IF(OR(M130="",L130=""),"",M130/100*L130)</f>
        <v>31.174000000000003</v>
      </c>
      <c r="P130" s="1">
        <v>2</v>
      </c>
      <c r="Q130" s="1">
        <v>934</v>
      </c>
      <c r="R130" s="1" t="str">
        <f t="shared" si="9"/>
        <v>2</v>
      </c>
      <c r="S130" s="1">
        <v>130</v>
      </c>
      <c r="T130" s="1" t="str">
        <f t="shared" ref="T130:T193" si="12">IF(L130="","No enrolment",IF(L130&lt;100,"1",IF(L130&lt;300,"2",IF(L130&lt;600,"3",IF(L130&lt;1000,"4","5")))))</f>
        <v>2</v>
      </c>
      <c r="U130" s="1">
        <v>-34.436712</v>
      </c>
      <c r="V130" s="3">
        <v>148.72610800000001</v>
      </c>
    </row>
    <row r="131" spans="1:22" x14ac:dyDescent="0.35">
      <c r="A131" s="22" t="s">
        <v>526</v>
      </c>
      <c r="B131" s="1" t="s">
        <v>527</v>
      </c>
      <c r="C131" s="1" t="s">
        <v>528</v>
      </c>
      <c r="D131" s="1" t="s">
        <v>529</v>
      </c>
      <c r="E131" s="1" t="s">
        <v>80</v>
      </c>
      <c r="F131" s="1" t="s">
        <v>69</v>
      </c>
      <c r="G131" s="1">
        <f t="shared" si="10"/>
        <v>3</v>
      </c>
      <c r="H131" s="1" t="s">
        <v>70</v>
      </c>
      <c r="I131" s="1" t="s">
        <v>49</v>
      </c>
      <c r="J131" s="23" t="s">
        <v>50</v>
      </c>
      <c r="K131" s="2" t="s">
        <v>51</v>
      </c>
      <c r="L131" s="1">
        <v>19</v>
      </c>
      <c r="M131" s="1"/>
      <c r="N131" s="1" t="str">
        <f t="shared" ref="N131:N194" si="13">IF(M131="","Suppressed","Published")</f>
        <v>Suppressed</v>
      </c>
      <c r="O131" s="1" t="str">
        <f t="shared" si="11"/>
        <v/>
      </c>
      <c r="P131" s="1">
        <v>0</v>
      </c>
      <c r="Q131" s="1">
        <v>927</v>
      </c>
      <c r="R131" s="1" t="str">
        <f t="shared" ref="R131:R194" si="14">IF(Q131="","No ICSEA",IF(Q131&lt;900,"1",IF(Q131&lt;1000,"2",IF(Q131&lt;1100,"3","4"))))</f>
        <v>2</v>
      </c>
      <c r="S131" s="1">
        <v>117</v>
      </c>
      <c r="T131" s="1" t="str">
        <f t="shared" si="12"/>
        <v>1</v>
      </c>
      <c r="U131" s="1">
        <v>-35.105936999999997</v>
      </c>
      <c r="V131" s="3">
        <v>146.60633799999999</v>
      </c>
    </row>
    <row r="132" spans="1:22" x14ac:dyDescent="0.35">
      <c r="A132" s="22" t="s">
        <v>530</v>
      </c>
      <c r="B132" s="1" t="s">
        <v>531</v>
      </c>
      <c r="C132" s="1" t="s">
        <v>532</v>
      </c>
      <c r="D132" s="1" t="s">
        <v>533</v>
      </c>
      <c r="E132" s="1" t="s">
        <v>306</v>
      </c>
      <c r="F132" s="1" t="s">
        <v>47</v>
      </c>
      <c r="G132" s="1">
        <f t="shared" si="10"/>
        <v>1</v>
      </c>
      <c r="H132" s="1" t="s">
        <v>148</v>
      </c>
      <c r="I132" s="1" t="s">
        <v>49</v>
      </c>
      <c r="J132" s="23" t="s">
        <v>50</v>
      </c>
      <c r="K132" s="2" t="s">
        <v>51</v>
      </c>
      <c r="L132" s="1">
        <v>409</v>
      </c>
      <c r="M132" s="1"/>
      <c r="N132" s="1" t="str">
        <f t="shared" si="13"/>
        <v>Suppressed</v>
      </c>
      <c r="O132" s="1" t="str">
        <f t="shared" si="11"/>
        <v/>
      </c>
      <c r="P132" s="1">
        <v>32</v>
      </c>
      <c r="Q132" s="1">
        <v>1145</v>
      </c>
      <c r="R132" s="1" t="str">
        <f t="shared" si="14"/>
        <v>4</v>
      </c>
      <c r="S132" s="1">
        <v>10</v>
      </c>
      <c r="T132" s="1" t="str">
        <f t="shared" si="12"/>
        <v>3</v>
      </c>
      <c r="U132" s="1">
        <v>-33.821413999999997</v>
      </c>
      <c r="V132" s="3">
        <v>151.135558</v>
      </c>
    </row>
    <row r="133" spans="1:22" x14ac:dyDescent="0.35">
      <c r="A133" s="22" t="s">
        <v>534</v>
      </c>
      <c r="B133" s="1" t="s">
        <v>535</v>
      </c>
      <c r="C133" s="1" t="s">
        <v>536</v>
      </c>
      <c r="D133" s="1" t="s">
        <v>537</v>
      </c>
      <c r="E133" s="1" t="s">
        <v>181</v>
      </c>
      <c r="F133" s="1" t="s">
        <v>47</v>
      </c>
      <c r="G133" s="1">
        <f t="shared" si="10"/>
        <v>1</v>
      </c>
      <c r="H133" s="1" t="s">
        <v>182</v>
      </c>
      <c r="I133" s="1" t="s">
        <v>49</v>
      </c>
      <c r="J133" s="23" t="s">
        <v>50</v>
      </c>
      <c r="K133" s="2" t="s">
        <v>51</v>
      </c>
      <c r="L133" s="1">
        <v>265</v>
      </c>
      <c r="M133" s="1"/>
      <c r="N133" s="1" t="str">
        <f t="shared" si="13"/>
        <v>Suppressed</v>
      </c>
      <c r="O133" s="1" t="str">
        <f t="shared" si="11"/>
        <v/>
      </c>
      <c r="P133" s="1">
        <v>89</v>
      </c>
      <c r="Q133" s="1">
        <v>934</v>
      </c>
      <c r="R133" s="1" t="str">
        <f t="shared" si="14"/>
        <v>2</v>
      </c>
      <c r="S133" s="1">
        <v>157</v>
      </c>
      <c r="T133" s="1" t="str">
        <f t="shared" si="12"/>
        <v>2</v>
      </c>
      <c r="U133" s="1">
        <v>-33.858524000000003</v>
      </c>
      <c r="V133" s="3">
        <v>150.88307599999999</v>
      </c>
    </row>
    <row r="134" spans="1:22" x14ac:dyDescent="0.35">
      <c r="A134" s="22" t="s">
        <v>538</v>
      </c>
      <c r="B134" s="1" t="s">
        <v>539</v>
      </c>
      <c r="C134" s="1" t="s">
        <v>223</v>
      </c>
      <c r="D134" s="1" t="s">
        <v>224</v>
      </c>
      <c r="E134" s="1" t="s">
        <v>225</v>
      </c>
      <c r="F134" s="1" t="s">
        <v>47</v>
      </c>
      <c r="G134" s="1">
        <f t="shared" si="10"/>
        <v>1</v>
      </c>
      <c r="H134" s="1" t="s">
        <v>48</v>
      </c>
      <c r="I134" s="1" t="s">
        <v>49</v>
      </c>
      <c r="J134" s="23" t="s">
        <v>50</v>
      </c>
      <c r="K134" s="2" t="s">
        <v>51</v>
      </c>
      <c r="L134" s="1">
        <v>232</v>
      </c>
      <c r="M134" s="1">
        <v>3</v>
      </c>
      <c r="N134" s="1" t="str">
        <f t="shared" si="13"/>
        <v>Published</v>
      </c>
      <c r="O134" s="1">
        <f t="shared" si="11"/>
        <v>6.96</v>
      </c>
      <c r="P134" s="1">
        <v>33</v>
      </c>
      <c r="Q134" s="1">
        <v>1062</v>
      </c>
      <c r="R134" s="1" t="str">
        <f t="shared" si="14"/>
        <v>3</v>
      </c>
      <c r="S134" s="1">
        <v>52</v>
      </c>
      <c r="T134" s="1" t="str">
        <f t="shared" si="12"/>
        <v>2</v>
      </c>
      <c r="U134" s="1">
        <v>-33.943159999999999</v>
      </c>
      <c r="V134" s="3">
        <v>151.19468699999999</v>
      </c>
    </row>
    <row r="135" spans="1:22" x14ac:dyDescent="0.35">
      <c r="A135" s="22" t="s">
        <v>540</v>
      </c>
      <c r="B135" s="1" t="s">
        <v>541</v>
      </c>
      <c r="C135" s="1" t="s">
        <v>542</v>
      </c>
      <c r="D135" s="1" t="s">
        <v>543</v>
      </c>
      <c r="E135" s="1" t="s">
        <v>102</v>
      </c>
      <c r="F135" s="1" t="s">
        <v>544</v>
      </c>
      <c r="G135" s="1">
        <f t="shared" si="10"/>
        <v>5</v>
      </c>
      <c r="H135" s="1" t="s">
        <v>86</v>
      </c>
      <c r="I135" s="1" t="s">
        <v>49</v>
      </c>
      <c r="J135" s="23" t="s">
        <v>50</v>
      </c>
      <c r="K135" s="2" t="s">
        <v>51</v>
      </c>
      <c r="L135" s="1">
        <v>145</v>
      </c>
      <c r="M135" s="1">
        <v>81</v>
      </c>
      <c r="N135" s="1" t="str">
        <f t="shared" si="13"/>
        <v>Published</v>
      </c>
      <c r="O135" s="1">
        <f t="shared" si="11"/>
        <v>117.45</v>
      </c>
      <c r="P135" s="1"/>
      <c r="Q135" s="1">
        <v>702</v>
      </c>
      <c r="R135" s="1" t="str">
        <f t="shared" si="14"/>
        <v>1</v>
      </c>
      <c r="S135" s="1">
        <v>190</v>
      </c>
      <c r="T135" s="1" t="str">
        <f t="shared" si="12"/>
        <v>2</v>
      </c>
      <c r="U135" s="1">
        <v>-30.093509999999998</v>
      </c>
      <c r="V135" s="3">
        <v>145.94968</v>
      </c>
    </row>
    <row r="136" spans="1:22" x14ac:dyDescent="0.35">
      <c r="A136" s="22" t="s">
        <v>545</v>
      </c>
      <c r="B136" s="1" t="s">
        <v>546</v>
      </c>
      <c r="C136" s="1" t="s">
        <v>547</v>
      </c>
      <c r="D136" s="1" t="s">
        <v>408</v>
      </c>
      <c r="E136" s="1" t="s">
        <v>68</v>
      </c>
      <c r="F136" s="1" t="s">
        <v>57</v>
      </c>
      <c r="G136" s="1">
        <f t="shared" si="10"/>
        <v>2</v>
      </c>
      <c r="H136" s="1" t="s">
        <v>86</v>
      </c>
      <c r="I136" s="1" t="s">
        <v>49</v>
      </c>
      <c r="J136" s="23" t="s">
        <v>50</v>
      </c>
      <c r="K136" s="2" t="s">
        <v>51</v>
      </c>
      <c r="L136" s="1">
        <v>26</v>
      </c>
      <c r="M136" s="1"/>
      <c r="N136" s="1" t="str">
        <f t="shared" si="13"/>
        <v>Suppressed</v>
      </c>
      <c r="O136" s="1" t="str">
        <f t="shared" si="11"/>
        <v/>
      </c>
      <c r="P136" s="1">
        <v>0</v>
      </c>
      <c r="Q136" s="1">
        <v>994</v>
      </c>
      <c r="R136" s="1" t="str">
        <f t="shared" si="14"/>
        <v>2</v>
      </c>
      <c r="S136" s="1">
        <v>120</v>
      </c>
      <c r="T136" s="1" t="str">
        <f t="shared" si="12"/>
        <v>1</v>
      </c>
      <c r="U136" s="1">
        <v>-34.769376000000001</v>
      </c>
      <c r="V136" s="3">
        <v>148.81153</v>
      </c>
    </row>
    <row r="137" spans="1:22" x14ac:dyDescent="0.35">
      <c r="A137" s="22" t="s">
        <v>548</v>
      </c>
      <c r="B137" s="1" t="s">
        <v>549</v>
      </c>
      <c r="C137" s="1" t="s">
        <v>550</v>
      </c>
      <c r="D137" s="1" t="s">
        <v>195</v>
      </c>
      <c r="E137" s="1" t="s">
        <v>196</v>
      </c>
      <c r="F137" s="1" t="s">
        <v>57</v>
      </c>
      <c r="G137" s="1">
        <f t="shared" si="10"/>
        <v>2</v>
      </c>
      <c r="H137" s="1" t="s">
        <v>86</v>
      </c>
      <c r="I137" s="1" t="s">
        <v>49</v>
      </c>
      <c r="J137" s="23" t="s">
        <v>50</v>
      </c>
      <c r="K137" s="2" t="s">
        <v>51</v>
      </c>
      <c r="L137" s="1">
        <v>484</v>
      </c>
      <c r="M137" s="1">
        <v>3</v>
      </c>
      <c r="N137" s="1" t="str">
        <f t="shared" si="13"/>
        <v>Published</v>
      </c>
      <c r="O137" s="1">
        <f t="shared" si="11"/>
        <v>14.52</v>
      </c>
      <c r="P137" s="1">
        <v>20</v>
      </c>
      <c r="Q137" s="1">
        <v>1090</v>
      </c>
      <c r="R137" s="1" t="str">
        <f t="shared" si="14"/>
        <v>3</v>
      </c>
      <c r="S137" s="1">
        <v>47</v>
      </c>
      <c r="T137" s="1" t="str">
        <f t="shared" si="12"/>
        <v>3</v>
      </c>
      <c r="U137" s="1">
        <v>-34.481178</v>
      </c>
      <c r="V137" s="3">
        <v>150.41919100000001</v>
      </c>
    </row>
    <row r="138" spans="1:22" x14ac:dyDescent="0.35">
      <c r="A138" s="22" t="s">
        <v>551</v>
      </c>
      <c r="B138" s="1" t="s">
        <v>552</v>
      </c>
      <c r="C138" s="1" t="s">
        <v>553</v>
      </c>
      <c r="D138" s="1" t="s">
        <v>554</v>
      </c>
      <c r="E138" s="1" t="s">
        <v>276</v>
      </c>
      <c r="F138" s="1" t="s">
        <v>57</v>
      </c>
      <c r="G138" s="1">
        <f t="shared" si="10"/>
        <v>2</v>
      </c>
      <c r="H138" s="1" t="s">
        <v>86</v>
      </c>
      <c r="I138" s="1" t="s">
        <v>132</v>
      </c>
      <c r="J138" s="23" t="s">
        <v>50</v>
      </c>
      <c r="K138" s="2" t="s">
        <v>51</v>
      </c>
      <c r="L138" s="1">
        <v>206.2</v>
      </c>
      <c r="M138" s="1">
        <v>33</v>
      </c>
      <c r="N138" s="1" t="str">
        <f t="shared" si="13"/>
        <v>Published</v>
      </c>
      <c r="O138" s="1">
        <f t="shared" si="11"/>
        <v>68.046000000000006</v>
      </c>
      <c r="P138" s="1">
        <v>7</v>
      </c>
      <c r="Q138" s="1">
        <v>861</v>
      </c>
      <c r="R138" s="1" t="str">
        <f t="shared" si="14"/>
        <v>1</v>
      </c>
      <c r="S138" s="1">
        <v>156</v>
      </c>
      <c r="T138" s="1" t="str">
        <f t="shared" si="12"/>
        <v>2</v>
      </c>
      <c r="U138" s="1">
        <v>-30.645288999999998</v>
      </c>
      <c r="V138" s="3">
        <v>152.85389799999999</v>
      </c>
    </row>
    <row r="139" spans="1:22" x14ac:dyDescent="0.35">
      <c r="A139" s="22" t="s">
        <v>555</v>
      </c>
      <c r="B139" s="1" t="s">
        <v>556</v>
      </c>
      <c r="C139" s="1" t="s">
        <v>557</v>
      </c>
      <c r="D139" s="1" t="s">
        <v>558</v>
      </c>
      <c r="E139" s="1" t="s">
        <v>68</v>
      </c>
      <c r="F139" s="1" t="s">
        <v>57</v>
      </c>
      <c r="G139" s="1">
        <f t="shared" si="10"/>
        <v>2</v>
      </c>
      <c r="H139" s="1" t="s">
        <v>70</v>
      </c>
      <c r="I139" s="1" t="s">
        <v>132</v>
      </c>
      <c r="J139" s="23" t="s">
        <v>50</v>
      </c>
      <c r="K139" s="2" t="s">
        <v>51</v>
      </c>
      <c r="L139" s="1">
        <v>305.8</v>
      </c>
      <c r="M139" s="1">
        <v>6</v>
      </c>
      <c r="N139" s="1" t="str">
        <f t="shared" si="13"/>
        <v>Published</v>
      </c>
      <c r="O139" s="1">
        <f t="shared" si="11"/>
        <v>18.347999999999999</v>
      </c>
      <c r="P139" s="1">
        <v>7</v>
      </c>
      <c r="Q139" s="1">
        <v>1005</v>
      </c>
      <c r="R139" s="1" t="str">
        <f t="shared" si="14"/>
        <v>3</v>
      </c>
      <c r="S139" s="1">
        <v>92</v>
      </c>
      <c r="T139" s="1" t="str">
        <f t="shared" si="12"/>
        <v>3</v>
      </c>
      <c r="U139" s="1">
        <v>-35.440595000000002</v>
      </c>
      <c r="V139" s="3">
        <v>149.79888800000001</v>
      </c>
    </row>
    <row r="140" spans="1:22" x14ac:dyDescent="0.35">
      <c r="A140" s="22" t="s">
        <v>559</v>
      </c>
      <c r="B140" s="1" t="s">
        <v>560</v>
      </c>
      <c r="C140" s="1" t="s">
        <v>561</v>
      </c>
      <c r="D140" s="1" t="s">
        <v>62</v>
      </c>
      <c r="E140" s="1" t="s">
        <v>56</v>
      </c>
      <c r="F140" s="1" t="s">
        <v>57</v>
      </c>
      <c r="G140" s="1">
        <f t="shared" si="10"/>
        <v>2</v>
      </c>
      <c r="H140" s="1" t="s">
        <v>58</v>
      </c>
      <c r="I140" s="1" t="s">
        <v>49</v>
      </c>
      <c r="J140" s="23" t="s">
        <v>50</v>
      </c>
      <c r="K140" s="2" t="s">
        <v>51</v>
      </c>
      <c r="L140" s="1">
        <v>540</v>
      </c>
      <c r="M140" s="1">
        <v>17</v>
      </c>
      <c r="N140" s="1" t="str">
        <f t="shared" si="13"/>
        <v>Published</v>
      </c>
      <c r="O140" s="1">
        <f t="shared" si="11"/>
        <v>91.800000000000011</v>
      </c>
      <c r="P140" s="1">
        <v>6</v>
      </c>
      <c r="Q140" s="1">
        <v>949</v>
      </c>
      <c r="R140" s="1" t="str">
        <f t="shared" si="14"/>
        <v>2</v>
      </c>
      <c r="S140" s="1">
        <v>116</v>
      </c>
      <c r="T140" s="1" t="str">
        <f t="shared" si="12"/>
        <v>3</v>
      </c>
      <c r="U140" s="1">
        <v>-32.659390999999999</v>
      </c>
      <c r="V140" s="3">
        <v>151.35068200000001</v>
      </c>
    </row>
    <row r="141" spans="1:22" x14ac:dyDescent="0.35">
      <c r="A141" s="22" t="s">
        <v>562</v>
      </c>
      <c r="B141" s="1" t="s">
        <v>563</v>
      </c>
      <c r="C141" s="1" t="s">
        <v>564</v>
      </c>
      <c r="D141" s="1" t="s">
        <v>394</v>
      </c>
      <c r="E141" s="1" t="s">
        <v>68</v>
      </c>
      <c r="F141" s="1" t="s">
        <v>57</v>
      </c>
      <c r="G141" s="1">
        <f t="shared" si="10"/>
        <v>2</v>
      </c>
      <c r="H141" s="1" t="s">
        <v>86</v>
      </c>
      <c r="I141" s="1" t="s">
        <v>49</v>
      </c>
      <c r="J141" s="23" t="s">
        <v>50</v>
      </c>
      <c r="K141" s="2" t="s">
        <v>51</v>
      </c>
      <c r="L141" s="1">
        <v>9</v>
      </c>
      <c r="M141" s="1">
        <v>0</v>
      </c>
      <c r="N141" s="1" t="str">
        <f t="shared" si="13"/>
        <v>Published</v>
      </c>
      <c r="O141" s="1">
        <f t="shared" si="11"/>
        <v>0</v>
      </c>
      <c r="P141" s="1"/>
      <c r="Q141" s="1">
        <v>1005</v>
      </c>
      <c r="R141" s="1" t="str">
        <f t="shared" si="14"/>
        <v>3</v>
      </c>
      <c r="S141" s="1">
        <v>120</v>
      </c>
      <c r="T141" s="1" t="str">
        <f t="shared" si="12"/>
        <v>1</v>
      </c>
      <c r="U141" s="1">
        <v>-34.790545999999999</v>
      </c>
      <c r="V141" s="3">
        <v>149.48757599999999</v>
      </c>
    </row>
    <row r="142" spans="1:22" x14ac:dyDescent="0.35">
      <c r="A142" s="22" t="s">
        <v>565</v>
      </c>
      <c r="B142" s="1" t="s">
        <v>566</v>
      </c>
      <c r="C142" s="1" t="s">
        <v>567</v>
      </c>
      <c r="D142" s="1" t="s">
        <v>404</v>
      </c>
      <c r="E142" s="1" t="s">
        <v>127</v>
      </c>
      <c r="F142" s="1" t="s">
        <v>69</v>
      </c>
      <c r="G142" s="1">
        <f t="shared" si="10"/>
        <v>3</v>
      </c>
      <c r="H142" s="1" t="s">
        <v>63</v>
      </c>
      <c r="I142" s="1" t="s">
        <v>49</v>
      </c>
      <c r="J142" s="23" t="s">
        <v>50</v>
      </c>
      <c r="K142" s="2" t="s">
        <v>51</v>
      </c>
      <c r="L142" s="1">
        <v>29</v>
      </c>
      <c r="M142" s="1"/>
      <c r="N142" s="1" t="str">
        <f t="shared" si="13"/>
        <v>Suppressed</v>
      </c>
      <c r="O142" s="1" t="str">
        <f t="shared" si="11"/>
        <v/>
      </c>
      <c r="P142" s="1"/>
      <c r="Q142" s="1">
        <v>949</v>
      </c>
      <c r="R142" s="1" t="str">
        <f t="shared" si="14"/>
        <v>2</v>
      </c>
      <c r="S142" s="1">
        <v>128</v>
      </c>
      <c r="T142" s="1" t="str">
        <f t="shared" si="12"/>
        <v>1</v>
      </c>
      <c r="U142" s="1">
        <v>-33.372971999999997</v>
      </c>
      <c r="V142" s="3">
        <v>150.73977600000001</v>
      </c>
    </row>
    <row r="143" spans="1:22" x14ac:dyDescent="0.35">
      <c r="A143" s="22" t="s">
        <v>568</v>
      </c>
      <c r="B143" s="1" t="s">
        <v>569</v>
      </c>
      <c r="C143" s="1" t="s">
        <v>570</v>
      </c>
      <c r="D143" s="1" t="s">
        <v>67</v>
      </c>
      <c r="E143" s="1" t="s">
        <v>68</v>
      </c>
      <c r="F143" s="1" t="s">
        <v>57</v>
      </c>
      <c r="G143" s="1">
        <f t="shared" si="10"/>
        <v>2</v>
      </c>
      <c r="H143" s="1" t="s">
        <v>70</v>
      </c>
      <c r="I143" s="1" t="s">
        <v>49</v>
      </c>
      <c r="J143" s="23" t="s">
        <v>50</v>
      </c>
      <c r="K143" s="2" t="s">
        <v>51</v>
      </c>
      <c r="L143" s="1">
        <v>15</v>
      </c>
      <c r="M143" s="1">
        <v>0</v>
      </c>
      <c r="N143" s="1" t="str">
        <f t="shared" si="13"/>
        <v>Published</v>
      </c>
      <c r="O143" s="1">
        <f t="shared" si="11"/>
        <v>0</v>
      </c>
      <c r="P143" s="1">
        <v>0</v>
      </c>
      <c r="Q143" s="1">
        <v>1045</v>
      </c>
      <c r="R143" s="1" t="str">
        <f t="shared" si="14"/>
        <v>3</v>
      </c>
      <c r="S143" s="1">
        <v>68</v>
      </c>
      <c r="T143" s="1" t="str">
        <f t="shared" si="12"/>
        <v>1</v>
      </c>
      <c r="U143" s="1">
        <v>-35.953989999999997</v>
      </c>
      <c r="V143" s="3">
        <v>149.14796999999999</v>
      </c>
    </row>
    <row r="144" spans="1:22" x14ac:dyDescent="0.35">
      <c r="A144" s="22" t="s">
        <v>571</v>
      </c>
      <c r="B144" s="1" t="s">
        <v>572</v>
      </c>
      <c r="C144" s="1" t="s">
        <v>573</v>
      </c>
      <c r="D144" s="1" t="s">
        <v>574</v>
      </c>
      <c r="E144" s="1" t="s">
        <v>102</v>
      </c>
      <c r="F144" s="1" t="s">
        <v>544</v>
      </c>
      <c r="G144" s="1">
        <f t="shared" si="10"/>
        <v>5</v>
      </c>
      <c r="H144" s="1" t="s">
        <v>86</v>
      </c>
      <c r="I144" s="1" t="s">
        <v>132</v>
      </c>
      <c r="J144" s="23" t="s">
        <v>50</v>
      </c>
      <c r="K144" s="2" t="s">
        <v>51</v>
      </c>
      <c r="L144" s="1">
        <v>122</v>
      </c>
      <c r="M144" s="1">
        <v>99</v>
      </c>
      <c r="N144" s="1" t="str">
        <f t="shared" si="13"/>
        <v>Published</v>
      </c>
      <c r="O144" s="1">
        <f t="shared" si="11"/>
        <v>120.78</v>
      </c>
      <c r="P144" s="1"/>
      <c r="Q144" s="1">
        <v>652</v>
      </c>
      <c r="R144" s="1" t="str">
        <f t="shared" si="14"/>
        <v>1</v>
      </c>
      <c r="S144" s="1">
        <v>207</v>
      </c>
      <c r="T144" s="1" t="str">
        <f t="shared" si="12"/>
        <v>2</v>
      </c>
      <c r="U144" s="1">
        <v>-29.963668999999999</v>
      </c>
      <c r="V144" s="3">
        <v>146.85908800000001</v>
      </c>
    </row>
    <row r="145" spans="1:22" x14ac:dyDescent="0.35">
      <c r="A145" s="22" t="s">
        <v>575</v>
      </c>
      <c r="B145" s="1" t="s">
        <v>576</v>
      </c>
      <c r="C145" s="1" t="s">
        <v>577</v>
      </c>
      <c r="D145" s="1" t="s">
        <v>525</v>
      </c>
      <c r="E145" s="1" t="s">
        <v>68</v>
      </c>
      <c r="F145" s="1" t="s">
        <v>69</v>
      </c>
      <c r="G145" s="1">
        <f t="shared" si="10"/>
        <v>3</v>
      </c>
      <c r="H145" s="1" t="s">
        <v>70</v>
      </c>
      <c r="I145" s="1" t="s">
        <v>49</v>
      </c>
      <c r="J145" s="23" t="s">
        <v>50</v>
      </c>
      <c r="K145" s="2" t="s">
        <v>51</v>
      </c>
      <c r="L145" s="1">
        <v>8</v>
      </c>
      <c r="M145" s="1">
        <v>0</v>
      </c>
      <c r="N145" s="1" t="str">
        <f t="shared" si="13"/>
        <v>Published</v>
      </c>
      <c r="O145" s="1">
        <f t="shared" si="11"/>
        <v>0</v>
      </c>
      <c r="P145" s="1"/>
      <c r="Q145" s="1">
        <v>903</v>
      </c>
      <c r="R145" s="1" t="str">
        <f t="shared" si="14"/>
        <v>2</v>
      </c>
      <c r="S145" s="1">
        <v>136</v>
      </c>
      <c r="T145" s="1" t="str">
        <f t="shared" si="12"/>
        <v>1</v>
      </c>
      <c r="U145" s="1">
        <v>-34.120420000000003</v>
      </c>
      <c r="V145" s="3">
        <v>147.87469899999999</v>
      </c>
    </row>
    <row r="146" spans="1:22" x14ac:dyDescent="0.35">
      <c r="A146" s="22" t="s">
        <v>578</v>
      </c>
      <c r="B146" s="1" t="s">
        <v>579</v>
      </c>
      <c r="C146" s="1" t="s">
        <v>580</v>
      </c>
      <c r="D146" s="1" t="s">
        <v>224</v>
      </c>
      <c r="E146" s="1" t="s">
        <v>229</v>
      </c>
      <c r="F146" s="1" t="s">
        <v>47</v>
      </c>
      <c r="G146" s="1">
        <f t="shared" si="10"/>
        <v>1</v>
      </c>
      <c r="H146" s="1" t="s">
        <v>48</v>
      </c>
      <c r="I146" s="1" t="s">
        <v>49</v>
      </c>
      <c r="J146" s="23" t="s">
        <v>50</v>
      </c>
      <c r="K146" s="2" t="s">
        <v>51</v>
      </c>
      <c r="L146" s="1">
        <v>433</v>
      </c>
      <c r="M146" s="1">
        <v>2</v>
      </c>
      <c r="N146" s="1" t="str">
        <f t="shared" si="13"/>
        <v>Published</v>
      </c>
      <c r="O146" s="1">
        <f t="shared" si="11"/>
        <v>8.66</v>
      </c>
      <c r="P146" s="1">
        <v>69</v>
      </c>
      <c r="Q146" s="1">
        <v>1064</v>
      </c>
      <c r="R146" s="1" t="str">
        <f t="shared" si="14"/>
        <v>3</v>
      </c>
      <c r="S146" s="1">
        <v>63</v>
      </c>
      <c r="T146" s="1" t="str">
        <f t="shared" si="12"/>
        <v>3</v>
      </c>
      <c r="U146" s="1">
        <v>-33.962356999999997</v>
      </c>
      <c r="V146" s="3">
        <v>151.14892900000001</v>
      </c>
    </row>
    <row r="147" spans="1:22" x14ac:dyDescent="0.35">
      <c r="A147" s="22" t="s">
        <v>581</v>
      </c>
      <c r="B147" s="1" t="s">
        <v>582</v>
      </c>
      <c r="C147" s="1" t="s">
        <v>583</v>
      </c>
      <c r="D147" s="1" t="s">
        <v>180</v>
      </c>
      <c r="E147" s="1" t="s">
        <v>181</v>
      </c>
      <c r="F147" s="1" t="s">
        <v>57</v>
      </c>
      <c r="G147" s="1">
        <f t="shared" si="10"/>
        <v>2</v>
      </c>
      <c r="H147" s="1" t="s">
        <v>86</v>
      </c>
      <c r="I147" s="1" t="s">
        <v>49</v>
      </c>
      <c r="J147" s="23" t="s">
        <v>50</v>
      </c>
      <c r="K147" s="2" t="s">
        <v>51</v>
      </c>
      <c r="L147" s="1">
        <v>114</v>
      </c>
      <c r="M147" s="1">
        <v>15</v>
      </c>
      <c r="N147" s="1" t="str">
        <f t="shared" si="13"/>
        <v>Published</v>
      </c>
      <c r="O147" s="1">
        <f t="shared" si="11"/>
        <v>17.099999999999998</v>
      </c>
      <c r="P147" s="1">
        <v>41</v>
      </c>
      <c r="Q147" s="1">
        <v>929</v>
      </c>
      <c r="R147" s="1" t="str">
        <f t="shared" si="14"/>
        <v>2</v>
      </c>
      <c r="S147" s="1">
        <v>153</v>
      </c>
      <c r="T147" s="1" t="str">
        <f t="shared" si="12"/>
        <v>2</v>
      </c>
      <c r="U147" s="1">
        <v>-33.937910000000002</v>
      </c>
      <c r="V147" s="3">
        <v>150.730266</v>
      </c>
    </row>
    <row r="148" spans="1:22" x14ac:dyDescent="0.35">
      <c r="A148" s="22" t="s">
        <v>584</v>
      </c>
      <c r="B148" s="1" t="s">
        <v>585</v>
      </c>
      <c r="C148" s="1" t="s">
        <v>586</v>
      </c>
      <c r="D148" s="1" t="s">
        <v>587</v>
      </c>
      <c r="E148" s="1" t="s">
        <v>107</v>
      </c>
      <c r="F148" s="1" t="s">
        <v>57</v>
      </c>
      <c r="G148" s="1">
        <f t="shared" si="10"/>
        <v>2</v>
      </c>
      <c r="H148" s="1" t="s">
        <v>92</v>
      </c>
      <c r="I148" s="1" t="s">
        <v>49</v>
      </c>
      <c r="J148" s="23" t="s">
        <v>50</v>
      </c>
      <c r="K148" s="2" t="s">
        <v>51</v>
      </c>
      <c r="L148" s="1">
        <v>47</v>
      </c>
      <c r="M148" s="1">
        <v>0</v>
      </c>
      <c r="N148" s="1" t="str">
        <f t="shared" si="13"/>
        <v>Published</v>
      </c>
      <c r="O148" s="1">
        <f t="shared" si="11"/>
        <v>0</v>
      </c>
      <c r="P148" s="1"/>
      <c r="Q148" s="1">
        <v>979</v>
      </c>
      <c r="R148" s="1" t="str">
        <f t="shared" si="14"/>
        <v>2</v>
      </c>
      <c r="S148" s="1">
        <v>124</v>
      </c>
      <c r="T148" s="1" t="str">
        <f t="shared" si="12"/>
        <v>1</v>
      </c>
      <c r="U148" s="1">
        <v>-29.002773000000001</v>
      </c>
      <c r="V148" s="3">
        <v>153.43727899999999</v>
      </c>
    </row>
    <row r="149" spans="1:22" x14ac:dyDescent="0.35">
      <c r="A149" s="22" t="s">
        <v>588</v>
      </c>
      <c r="B149" s="1" t="s">
        <v>589</v>
      </c>
      <c r="C149" s="1" t="s">
        <v>590</v>
      </c>
      <c r="D149" s="1" t="s">
        <v>591</v>
      </c>
      <c r="E149" s="1" t="s">
        <v>96</v>
      </c>
      <c r="F149" s="1" t="s">
        <v>57</v>
      </c>
      <c r="G149" s="1">
        <f t="shared" si="10"/>
        <v>2</v>
      </c>
      <c r="H149" s="1" t="s">
        <v>70</v>
      </c>
      <c r="I149" s="1" t="s">
        <v>49</v>
      </c>
      <c r="J149" s="23" t="s">
        <v>50</v>
      </c>
      <c r="K149" s="2" t="s">
        <v>51</v>
      </c>
      <c r="L149" s="1">
        <v>21</v>
      </c>
      <c r="M149" s="1"/>
      <c r="N149" s="1" t="str">
        <f t="shared" si="13"/>
        <v>Suppressed</v>
      </c>
      <c r="O149" s="1" t="str">
        <f t="shared" si="11"/>
        <v/>
      </c>
      <c r="P149" s="1"/>
      <c r="Q149" s="1">
        <v>968</v>
      </c>
      <c r="R149" s="1" t="str">
        <f t="shared" si="14"/>
        <v>2</v>
      </c>
      <c r="S149" s="1">
        <v>102</v>
      </c>
      <c r="T149" s="1" t="str">
        <f t="shared" si="12"/>
        <v>1</v>
      </c>
      <c r="U149" s="1">
        <v>-35.823911000000003</v>
      </c>
      <c r="V149" s="3">
        <v>146.677989</v>
      </c>
    </row>
    <row r="150" spans="1:22" x14ac:dyDescent="0.35">
      <c r="A150" s="22" t="s">
        <v>592</v>
      </c>
      <c r="B150" s="1" t="s">
        <v>593</v>
      </c>
      <c r="C150" s="1" t="s">
        <v>594</v>
      </c>
      <c r="D150" s="1" t="s">
        <v>595</v>
      </c>
      <c r="E150" s="1" t="s">
        <v>56</v>
      </c>
      <c r="F150" s="1" t="s">
        <v>57</v>
      </c>
      <c r="G150" s="1">
        <f t="shared" si="10"/>
        <v>2</v>
      </c>
      <c r="H150" s="1" t="s">
        <v>58</v>
      </c>
      <c r="I150" s="1" t="s">
        <v>49</v>
      </c>
      <c r="J150" s="23" t="s">
        <v>50</v>
      </c>
      <c r="K150" s="2" t="s">
        <v>51</v>
      </c>
      <c r="L150" s="1">
        <v>30</v>
      </c>
      <c r="M150" s="1">
        <v>50</v>
      </c>
      <c r="N150" s="1" t="str">
        <f t="shared" si="13"/>
        <v>Published</v>
      </c>
      <c r="O150" s="1">
        <f t="shared" si="11"/>
        <v>15</v>
      </c>
      <c r="P150" s="1"/>
      <c r="Q150" s="1">
        <v>861</v>
      </c>
      <c r="R150" s="1" t="str">
        <f t="shared" si="14"/>
        <v>1</v>
      </c>
      <c r="S150" s="1">
        <v>150</v>
      </c>
      <c r="T150" s="1" t="str">
        <f t="shared" si="12"/>
        <v>1</v>
      </c>
      <c r="U150" s="1">
        <v>-32.744976000000001</v>
      </c>
      <c r="V150" s="3">
        <v>151.10433399999999</v>
      </c>
    </row>
    <row r="151" spans="1:22" x14ac:dyDescent="0.35">
      <c r="A151" s="22" t="s">
        <v>596</v>
      </c>
      <c r="B151" s="1" t="s">
        <v>597</v>
      </c>
      <c r="C151" s="1" t="s">
        <v>101</v>
      </c>
      <c r="D151" s="1" t="s">
        <v>101</v>
      </c>
      <c r="E151" s="1" t="s">
        <v>102</v>
      </c>
      <c r="F151" s="1" t="s">
        <v>69</v>
      </c>
      <c r="G151" s="1">
        <f t="shared" si="10"/>
        <v>3</v>
      </c>
      <c r="H151" s="1" t="s">
        <v>70</v>
      </c>
      <c r="I151" s="1" t="s">
        <v>49</v>
      </c>
      <c r="J151" s="23" t="s">
        <v>50</v>
      </c>
      <c r="K151" s="2" t="s">
        <v>51</v>
      </c>
      <c r="L151" s="1">
        <v>162</v>
      </c>
      <c r="M151" s="1">
        <v>33</v>
      </c>
      <c r="N151" s="1" t="str">
        <f t="shared" si="13"/>
        <v>Published</v>
      </c>
      <c r="O151" s="1">
        <f t="shared" si="11"/>
        <v>53.46</v>
      </c>
      <c r="P151" s="1">
        <v>9</v>
      </c>
      <c r="Q151" s="1">
        <v>881</v>
      </c>
      <c r="R151" s="1" t="str">
        <f t="shared" si="14"/>
        <v>1</v>
      </c>
      <c r="S151" s="1">
        <v>143</v>
      </c>
      <c r="T151" s="1" t="str">
        <f t="shared" si="12"/>
        <v>2</v>
      </c>
      <c r="U151" s="1">
        <v>-31.956108</v>
      </c>
      <c r="V151" s="3">
        <v>141.456502</v>
      </c>
    </row>
    <row r="152" spans="1:22" x14ac:dyDescent="0.35">
      <c r="A152" s="22" t="s">
        <v>598</v>
      </c>
      <c r="B152" s="1" t="s">
        <v>599</v>
      </c>
      <c r="C152" s="1" t="s">
        <v>101</v>
      </c>
      <c r="D152" s="1" t="s">
        <v>101</v>
      </c>
      <c r="E152" s="1" t="s">
        <v>102</v>
      </c>
      <c r="F152" s="1" t="s">
        <v>69</v>
      </c>
      <c r="G152" s="1">
        <f t="shared" si="10"/>
        <v>3</v>
      </c>
      <c r="H152" s="1" t="s">
        <v>70</v>
      </c>
      <c r="I152" s="1" t="s">
        <v>49</v>
      </c>
      <c r="J152" s="23" t="s">
        <v>50</v>
      </c>
      <c r="K152" s="2" t="s">
        <v>51</v>
      </c>
      <c r="L152" s="1">
        <v>206</v>
      </c>
      <c r="M152" s="1">
        <v>33</v>
      </c>
      <c r="N152" s="1" t="str">
        <f t="shared" si="13"/>
        <v>Published</v>
      </c>
      <c r="O152" s="1">
        <f t="shared" si="11"/>
        <v>67.98</v>
      </c>
      <c r="P152" s="1">
        <v>7</v>
      </c>
      <c r="Q152" s="1">
        <v>864</v>
      </c>
      <c r="R152" s="1" t="str">
        <f t="shared" si="14"/>
        <v>1</v>
      </c>
      <c r="S152" s="1">
        <v>159</v>
      </c>
      <c r="T152" s="1" t="str">
        <f t="shared" si="12"/>
        <v>2</v>
      </c>
      <c r="U152" s="1">
        <v>-31.944457</v>
      </c>
      <c r="V152" s="3">
        <v>141.471518</v>
      </c>
    </row>
    <row r="153" spans="1:22" x14ac:dyDescent="0.35">
      <c r="A153" s="22" t="s">
        <v>600</v>
      </c>
      <c r="B153" s="1" t="s">
        <v>601</v>
      </c>
      <c r="C153" s="1" t="s">
        <v>602</v>
      </c>
      <c r="D153" s="1" t="s">
        <v>502</v>
      </c>
      <c r="E153" s="1" t="s">
        <v>330</v>
      </c>
      <c r="F153" s="1" t="s">
        <v>47</v>
      </c>
      <c r="G153" s="1">
        <f t="shared" si="10"/>
        <v>1</v>
      </c>
      <c r="H153" s="1" t="s">
        <v>48</v>
      </c>
      <c r="I153" s="1" t="s">
        <v>49</v>
      </c>
      <c r="J153" s="23" t="s">
        <v>50</v>
      </c>
      <c r="K153" s="2" t="s">
        <v>51</v>
      </c>
      <c r="L153" s="1">
        <v>257</v>
      </c>
      <c r="M153" s="1"/>
      <c r="N153" s="1" t="str">
        <f t="shared" si="13"/>
        <v>Suppressed</v>
      </c>
      <c r="O153" s="1" t="str">
        <f t="shared" si="11"/>
        <v/>
      </c>
      <c r="P153" s="1">
        <v>18</v>
      </c>
      <c r="Q153" s="1">
        <v>1176</v>
      </c>
      <c r="R153" s="1" t="str">
        <f t="shared" si="14"/>
        <v>4</v>
      </c>
      <c r="S153" s="1">
        <v>1</v>
      </c>
      <c r="T153" s="1" t="str">
        <f t="shared" si="12"/>
        <v>2</v>
      </c>
      <c r="U153" s="1">
        <v>-33.900604999999999</v>
      </c>
      <c r="V153" s="3">
        <v>151.262011</v>
      </c>
    </row>
    <row r="154" spans="1:22" x14ac:dyDescent="0.35">
      <c r="A154" s="22" t="s">
        <v>603</v>
      </c>
      <c r="B154" s="1" t="s">
        <v>604</v>
      </c>
      <c r="C154" s="1" t="s">
        <v>605</v>
      </c>
      <c r="D154" s="1" t="s">
        <v>126</v>
      </c>
      <c r="E154" s="1" t="s">
        <v>147</v>
      </c>
      <c r="F154" s="1" t="s">
        <v>57</v>
      </c>
      <c r="G154" s="1">
        <f t="shared" si="10"/>
        <v>2</v>
      </c>
      <c r="H154" s="1" t="s">
        <v>63</v>
      </c>
      <c r="I154" s="1" t="s">
        <v>49</v>
      </c>
      <c r="J154" s="23" t="s">
        <v>50</v>
      </c>
      <c r="K154" s="2" t="s">
        <v>51</v>
      </c>
      <c r="L154" s="1">
        <v>79</v>
      </c>
      <c r="M154" s="1"/>
      <c r="N154" s="1" t="str">
        <f t="shared" si="13"/>
        <v>Suppressed</v>
      </c>
      <c r="O154" s="1" t="str">
        <f t="shared" si="11"/>
        <v/>
      </c>
      <c r="P154" s="1">
        <v>21</v>
      </c>
      <c r="Q154" s="1">
        <v>1064</v>
      </c>
      <c r="R154" s="1" t="str">
        <f t="shared" si="14"/>
        <v>3</v>
      </c>
      <c r="S154" s="1">
        <v>36</v>
      </c>
      <c r="T154" s="1" t="str">
        <f t="shared" si="12"/>
        <v>1</v>
      </c>
      <c r="U154" s="1">
        <v>-33.548414000000001</v>
      </c>
      <c r="V154" s="3">
        <v>151.214992</v>
      </c>
    </row>
    <row r="155" spans="1:22" x14ac:dyDescent="0.35">
      <c r="A155" s="22" t="s">
        <v>606</v>
      </c>
      <c r="B155" s="1" t="s">
        <v>607</v>
      </c>
      <c r="C155" s="1" t="s">
        <v>608</v>
      </c>
      <c r="D155" s="1" t="s">
        <v>203</v>
      </c>
      <c r="E155" s="1" t="s">
        <v>204</v>
      </c>
      <c r="F155" s="1" t="s">
        <v>47</v>
      </c>
      <c r="G155" s="1">
        <f t="shared" si="10"/>
        <v>1</v>
      </c>
      <c r="H155" s="1" t="s">
        <v>148</v>
      </c>
      <c r="I155" s="1" t="s">
        <v>49</v>
      </c>
      <c r="J155" s="23" t="s">
        <v>50</v>
      </c>
      <c r="K155" s="2" t="s">
        <v>51</v>
      </c>
      <c r="L155" s="1">
        <v>306</v>
      </c>
      <c r="M155" s="1"/>
      <c r="N155" s="1" t="str">
        <f t="shared" si="13"/>
        <v>Suppressed</v>
      </c>
      <c r="O155" s="1" t="str">
        <f t="shared" si="11"/>
        <v/>
      </c>
      <c r="P155" s="1">
        <v>43</v>
      </c>
      <c r="Q155" s="1">
        <v>1075</v>
      </c>
      <c r="R155" s="1" t="str">
        <f t="shared" si="14"/>
        <v>3</v>
      </c>
      <c r="S155" s="1">
        <v>43</v>
      </c>
      <c r="T155" s="1" t="str">
        <f t="shared" si="12"/>
        <v>3</v>
      </c>
      <c r="U155" s="1">
        <v>-33.761678000000003</v>
      </c>
      <c r="V155" s="3">
        <v>151.27078700000001</v>
      </c>
    </row>
    <row r="156" spans="1:22" x14ac:dyDescent="0.35">
      <c r="A156" s="22" t="s">
        <v>609</v>
      </c>
      <c r="B156" s="1" t="s">
        <v>610</v>
      </c>
      <c r="C156" s="1" t="s">
        <v>611</v>
      </c>
      <c r="D156" s="1" t="s">
        <v>79</v>
      </c>
      <c r="E156" s="1" t="s">
        <v>80</v>
      </c>
      <c r="F156" s="1" t="s">
        <v>57</v>
      </c>
      <c r="G156" s="1">
        <f t="shared" si="10"/>
        <v>2</v>
      </c>
      <c r="H156" s="1" t="s">
        <v>70</v>
      </c>
      <c r="I156" s="1" t="s">
        <v>49</v>
      </c>
      <c r="J156" s="23" t="s">
        <v>50</v>
      </c>
      <c r="K156" s="2" t="s">
        <v>51</v>
      </c>
      <c r="L156" s="1">
        <v>16</v>
      </c>
      <c r="M156" s="1">
        <v>81</v>
      </c>
      <c r="N156" s="1" t="str">
        <f t="shared" si="13"/>
        <v>Published</v>
      </c>
      <c r="O156" s="1">
        <f t="shared" si="11"/>
        <v>12.96</v>
      </c>
      <c r="P156" s="1">
        <v>0</v>
      </c>
      <c r="Q156" s="1">
        <v>646</v>
      </c>
      <c r="R156" s="1" t="str">
        <f t="shared" si="14"/>
        <v>1</v>
      </c>
      <c r="S156" s="1">
        <v>223</v>
      </c>
      <c r="T156" s="1" t="str">
        <f t="shared" si="12"/>
        <v>1</v>
      </c>
      <c r="U156" s="1">
        <v>-35.156754999999997</v>
      </c>
      <c r="V156" s="3">
        <v>148.23357200000001</v>
      </c>
    </row>
    <row r="157" spans="1:22" x14ac:dyDescent="0.35">
      <c r="A157" s="22" t="s">
        <v>612</v>
      </c>
      <c r="B157" s="1" t="s">
        <v>613</v>
      </c>
      <c r="C157" s="1" t="s">
        <v>614</v>
      </c>
      <c r="D157" s="1" t="s">
        <v>220</v>
      </c>
      <c r="E157" s="1" t="s">
        <v>107</v>
      </c>
      <c r="F157" s="1" t="s">
        <v>57</v>
      </c>
      <c r="G157" s="1">
        <f t="shared" si="10"/>
        <v>2</v>
      </c>
      <c r="H157" s="1" t="s">
        <v>92</v>
      </c>
      <c r="I157" s="1" t="s">
        <v>49</v>
      </c>
      <c r="J157" s="23" t="s">
        <v>50</v>
      </c>
      <c r="K157" s="2" t="s">
        <v>51</v>
      </c>
      <c r="L157" s="1">
        <v>222</v>
      </c>
      <c r="M157" s="1">
        <v>10</v>
      </c>
      <c r="N157" s="1" t="str">
        <f t="shared" si="13"/>
        <v>Published</v>
      </c>
      <c r="O157" s="1">
        <f t="shared" si="11"/>
        <v>22.200000000000003</v>
      </c>
      <c r="P157" s="1">
        <v>13</v>
      </c>
      <c r="Q157" s="1">
        <v>1025</v>
      </c>
      <c r="R157" s="1" t="str">
        <f t="shared" si="14"/>
        <v>3</v>
      </c>
      <c r="S157" s="1">
        <v>59</v>
      </c>
      <c r="T157" s="1" t="str">
        <f t="shared" si="12"/>
        <v>2</v>
      </c>
      <c r="U157" s="1">
        <v>-28.541343000000001</v>
      </c>
      <c r="V157" s="3">
        <v>153.550848</v>
      </c>
    </row>
    <row r="158" spans="1:22" x14ac:dyDescent="0.35">
      <c r="A158" s="22" t="s">
        <v>615</v>
      </c>
      <c r="B158" s="1" t="s">
        <v>616</v>
      </c>
      <c r="C158" s="1" t="s">
        <v>617</v>
      </c>
      <c r="D158" s="1" t="s">
        <v>275</v>
      </c>
      <c r="E158" s="1" t="s">
        <v>276</v>
      </c>
      <c r="F158" s="1" t="s">
        <v>57</v>
      </c>
      <c r="G158" s="1">
        <f t="shared" si="10"/>
        <v>2</v>
      </c>
      <c r="H158" s="1" t="s">
        <v>58</v>
      </c>
      <c r="I158" s="1" t="s">
        <v>132</v>
      </c>
      <c r="J158" s="23" t="s">
        <v>50</v>
      </c>
      <c r="K158" s="2" t="s">
        <v>51</v>
      </c>
      <c r="L158" s="1">
        <v>288.8</v>
      </c>
      <c r="M158" s="1">
        <v>24</v>
      </c>
      <c r="N158" s="1" t="str">
        <f t="shared" si="13"/>
        <v>Published</v>
      </c>
      <c r="O158" s="1">
        <f t="shared" si="11"/>
        <v>69.311999999999998</v>
      </c>
      <c r="P158" s="1">
        <v>4</v>
      </c>
      <c r="Q158" s="1">
        <v>902</v>
      </c>
      <c r="R158" s="1" t="str">
        <f t="shared" si="14"/>
        <v>2</v>
      </c>
      <c r="S158" s="1">
        <v>145</v>
      </c>
      <c r="T158" s="1" t="str">
        <f t="shared" si="12"/>
        <v>2</v>
      </c>
      <c r="U158" s="1">
        <v>-32.413373999999997</v>
      </c>
      <c r="V158" s="3">
        <v>152.211848</v>
      </c>
    </row>
    <row r="159" spans="1:22" x14ac:dyDescent="0.35">
      <c r="A159" s="22" t="s">
        <v>618</v>
      </c>
      <c r="B159" s="1" t="s">
        <v>619</v>
      </c>
      <c r="C159" s="1" t="s">
        <v>620</v>
      </c>
      <c r="D159" s="1" t="s">
        <v>176</v>
      </c>
      <c r="E159" s="1" t="s">
        <v>85</v>
      </c>
      <c r="F159" s="1" t="s">
        <v>47</v>
      </c>
      <c r="G159" s="1">
        <f t="shared" si="10"/>
        <v>1</v>
      </c>
      <c r="H159" s="1" t="s">
        <v>86</v>
      </c>
      <c r="I159" s="1" t="s">
        <v>49</v>
      </c>
      <c r="J159" s="23" t="s">
        <v>50</v>
      </c>
      <c r="K159" s="2" t="s">
        <v>51</v>
      </c>
      <c r="L159" s="1">
        <v>318</v>
      </c>
      <c r="M159" s="1">
        <v>7</v>
      </c>
      <c r="N159" s="1" t="str">
        <f t="shared" si="13"/>
        <v>Published</v>
      </c>
      <c r="O159" s="1">
        <f t="shared" si="11"/>
        <v>22.26</v>
      </c>
      <c r="P159" s="1">
        <v>8</v>
      </c>
      <c r="Q159" s="1">
        <v>1069</v>
      </c>
      <c r="R159" s="1" t="str">
        <f t="shared" si="14"/>
        <v>3</v>
      </c>
      <c r="S159" s="1">
        <v>52</v>
      </c>
      <c r="T159" s="1" t="str">
        <f t="shared" si="12"/>
        <v>3</v>
      </c>
      <c r="U159" s="1">
        <v>-34.326951000000001</v>
      </c>
      <c r="V159" s="3">
        <v>150.91270299999999</v>
      </c>
    </row>
    <row r="160" spans="1:22" x14ac:dyDescent="0.35">
      <c r="A160" s="22" t="s">
        <v>621</v>
      </c>
      <c r="B160" s="1" t="s">
        <v>622</v>
      </c>
      <c r="C160" s="1" t="s">
        <v>623</v>
      </c>
      <c r="D160" s="1" t="s">
        <v>195</v>
      </c>
      <c r="E160" s="1" t="s">
        <v>196</v>
      </c>
      <c r="F160" s="1" t="s">
        <v>57</v>
      </c>
      <c r="G160" s="1">
        <f t="shared" si="10"/>
        <v>2</v>
      </c>
      <c r="H160" s="1" t="s">
        <v>86</v>
      </c>
      <c r="I160" s="1" t="s">
        <v>49</v>
      </c>
      <c r="J160" s="23" t="s">
        <v>50</v>
      </c>
      <c r="K160" s="2" t="s">
        <v>51</v>
      </c>
      <c r="L160" s="1">
        <v>125</v>
      </c>
      <c r="M160" s="1">
        <v>6</v>
      </c>
      <c r="N160" s="1" t="str">
        <f t="shared" si="13"/>
        <v>Published</v>
      </c>
      <c r="O160" s="1">
        <f t="shared" si="11"/>
        <v>7.5</v>
      </c>
      <c r="P160" s="1">
        <v>11</v>
      </c>
      <c r="Q160" s="1">
        <v>1036</v>
      </c>
      <c r="R160" s="1" t="str">
        <f t="shared" si="14"/>
        <v>3</v>
      </c>
      <c r="S160" s="1">
        <v>55</v>
      </c>
      <c r="T160" s="1" t="str">
        <f t="shared" si="12"/>
        <v>2</v>
      </c>
      <c r="U160" s="1">
        <v>-34.657877999999997</v>
      </c>
      <c r="V160" s="3">
        <v>150.300442</v>
      </c>
    </row>
    <row r="161" spans="1:22" x14ac:dyDescent="0.35">
      <c r="A161" s="22" t="s">
        <v>624</v>
      </c>
      <c r="B161" s="1" t="s">
        <v>625</v>
      </c>
      <c r="C161" s="1" t="s">
        <v>626</v>
      </c>
      <c r="D161" s="1" t="s">
        <v>627</v>
      </c>
      <c r="E161" s="1" t="s">
        <v>91</v>
      </c>
      <c r="F161" s="1" t="s">
        <v>69</v>
      </c>
      <c r="G161" s="1">
        <f t="shared" si="10"/>
        <v>3</v>
      </c>
      <c r="H161" s="1" t="s">
        <v>92</v>
      </c>
      <c r="I161" s="1" t="s">
        <v>132</v>
      </c>
      <c r="J161" s="23" t="s">
        <v>50</v>
      </c>
      <c r="K161" s="2" t="s">
        <v>51</v>
      </c>
      <c r="L161" s="1">
        <v>99</v>
      </c>
      <c r="M161" s="1">
        <v>23</v>
      </c>
      <c r="N161" s="1" t="str">
        <f t="shared" si="13"/>
        <v>Published</v>
      </c>
      <c r="O161" s="1">
        <f t="shared" si="11"/>
        <v>22.77</v>
      </c>
      <c r="P161" s="1"/>
      <c r="Q161" s="1">
        <v>874</v>
      </c>
      <c r="R161" s="1" t="str">
        <f t="shared" si="14"/>
        <v>1</v>
      </c>
      <c r="S161" s="1">
        <v>144</v>
      </c>
      <c r="T161" s="1" t="str">
        <f t="shared" si="12"/>
        <v>1</v>
      </c>
      <c r="U161" s="1">
        <v>-30.168353</v>
      </c>
      <c r="V161" s="3">
        <v>151.07762500000001</v>
      </c>
    </row>
    <row r="162" spans="1:22" x14ac:dyDescent="0.35">
      <c r="A162" s="22" t="s">
        <v>628</v>
      </c>
      <c r="B162" s="1" t="s">
        <v>629</v>
      </c>
      <c r="C162" s="1" t="s">
        <v>630</v>
      </c>
      <c r="D162" s="1" t="s">
        <v>558</v>
      </c>
      <c r="E162" s="1" t="s">
        <v>68</v>
      </c>
      <c r="F162" s="1" t="s">
        <v>57</v>
      </c>
      <c r="G162" s="1">
        <f t="shared" si="10"/>
        <v>2</v>
      </c>
      <c r="H162" s="1" t="s">
        <v>70</v>
      </c>
      <c r="I162" s="1" t="s">
        <v>49</v>
      </c>
      <c r="J162" s="23" t="s">
        <v>50</v>
      </c>
      <c r="K162" s="2" t="s">
        <v>51</v>
      </c>
      <c r="L162" s="1">
        <v>444</v>
      </c>
      <c r="M162" s="1">
        <v>5</v>
      </c>
      <c r="N162" s="1" t="str">
        <f t="shared" si="13"/>
        <v>Published</v>
      </c>
      <c r="O162" s="1">
        <f t="shared" si="11"/>
        <v>22.200000000000003</v>
      </c>
      <c r="P162" s="1">
        <v>4</v>
      </c>
      <c r="Q162" s="1">
        <v>1047</v>
      </c>
      <c r="R162" s="1" t="str">
        <f t="shared" si="14"/>
        <v>3</v>
      </c>
      <c r="S162" s="1">
        <v>70</v>
      </c>
      <c r="T162" s="1" t="str">
        <f t="shared" si="12"/>
        <v>3</v>
      </c>
      <c r="U162" s="1">
        <v>-35.255619000000003</v>
      </c>
      <c r="V162" s="3">
        <v>149.44462799999999</v>
      </c>
    </row>
    <row r="163" spans="1:22" x14ac:dyDescent="0.35">
      <c r="A163" s="22" t="s">
        <v>631</v>
      </c>
      <c r="B163" s="1" t="s">
        <v>632</v>
      </c>
      <c r="C163" s="1" t="s">
        <v>633</v>
      </c>
      <c r="D163" s="1" t="s">
        <v>275</v>
      </c>
      <c r="E163" s="1" t="s">
        <v>276</v>
      </c>
      <c r="F163" s="1" t="s">
        <v>57</v>
      </c>
      <c r="G163" s="1">
        <f t="shared" si="10"/>
        <v>2</v>
      </c>
      <c r="H163" s="1" t="s">
        <v>58</v>
      </c>
      <c r="I163" s="1" t="s">
        <v>49</v>
      </c>
      <c r="J163" s="23" t="s">
        <v>50</v>
      </c>
      <c r="K163" s="2" t="s">
        <v>51</v>
      </c>
      <c r="L163" s="1">
        <v>36</v>
      </c>
      <c r="M163" s="1"/>
      <c r="N163" s="1" t="str">
        <f t="shared" si="13"/>
        <v>Suppressed</v>
      </c>
      <c r="O163" s="1" t="str">
        <f t="shared" si="11"/>
        <v/>
      </c>
      <c r="P163" s="1"/>
      <c r="Q163" s="1">
        <v>1037</v>
      </c>
      <c r="R163" s="1" t="str">
        <f t="shared" si="14"/>
        <v>3</v>
      </c>
      <c r="S163" s="1">
        <v>81</v>
      </c>
      <c r="T163" s="1" t="str">
        <f t="shared" si="12"/>
        <v>1</v>
      </c>
      <c r="U163" s="1">
        <v>-32.389144000000002</v>
      </c>
      <c r="V163" s="3">
        <v>152.44855799999999</v>
      </c>
    </row>
    <row r="164" spans="1:22" x14ac:dyDescent="0.35">
      <c r="A164" s="22" t="s">
        <v>634</v>
      </c>
      <c r="B164" s="1" t="s">
        <v>635</v>
      </c>
      <c r="C164" s="1" t="s">
        <v>636</v>
      </c>
      <c r="D164" s="1" t="s">
        <v>252</v>
      </c>
      <c r="E164" s="1" t="s">
        <v>96</v>
      </c>
      <c r="F164" s="1" t="s">
        <v>69</v>
      </c>
      <c r="G164" s="1">
        <f t="shared" si="10"/>
        <v>3</v>
      </c>
      <c r="H164" s="1" t="s">
        <v>70</v>
      </c>
      <c r="I164" s="1" t="s">
        <v>49</v>
      </c>
      <c r="J164" s="23" t="s">
        <v>50</v>
      </c>
      <c r="K164" s="2" t="s">
        <v>51</v>
      </c>
      <c r="L164" s="1">
        <v>31</v>
      </c>
      <c r="M164" s="1"/>
      <c r="N164" s="1" t="str">
        <f t="shared" si="13"/>
        <v>Suppressed</v>
      </c>
      <c r="O164" s="1" t="str">
        <f t="shared" si="11"/>
        <v/>
      </c>
      <c r="P164" s="1"/>
      <c r="Q164" s="1">
        <v>990</v>
      </c>
      <c r="R164" s="1" t="str">
        <f t="shared" si="14"/>
        <v>2</v>
      </c>
      <c r="S164" s="1">
        <v>94</v>
      </c>
      <c r="T164" s="1" t="str">
        <f t="shared" si="12"/>
        <v>1</v>
      </c>
      <c r="U164" s="1">
        <v>-35.786399000000003</v>
      </c>
      <c r="V164" s="3">
        <v>144.59792300000001</v>
      </c>
    </row>
    <row r="165" spans="1:22" x14ac:dyDescent="0.35">
      <c r="A165" s="22" t="s">
        <v>637</v>
      </c>
      <c r="B165" s="1" t="s">
        <v>638</v>
      </c>
      <c r="C165" s="1" t="s">
        <v>101</v>
      </c>
      <c r="D165" s="1" t="s">
        <v>101</v>
      </c>
      <c r="E165" s="1" t="s">
        <v>102</v>
      </c>
      <c r="F165" s="1" t="s">
        <v>69</v>
      </c>
      <c r="G165" s="1">
        <f t="shared" si="10"/>
        <v>3</v>
      </c>
      <c r="H165" s="1" t="s">
        <v>70</v>
      </c>
      <c r="I165" s="1" t="s">
        <v>49</v>
      </c>
      <c r="J165" s="23" t="s">
        <v>50</v>
      </c>
      <c r="K165" s="2" t="s">
        <v>51</v>
      </c>
      <c r="L165" s="1">
        <v>200</v>
      </c>
      <c r="M165" s="1">
        <v>37</v>
      </c>
      <c r="N165" s="1" t="str">
        <f t="shared" si="13"/>
        <v>Published</v>
      </c>
      <c r="O165" s="1">
        <f t="shared" si="11"/>
        <v>74</v>
      </c>
      <c r="P165" s="1">
        <v>5</v>
      </c>
      <c r="Q165" s="1">
        <v>858</v>
      </c>
      <c r="R165" s="1" t="str">
        <f t="shared" si="14"/>
        <v>1</v>
      </c>
      <c r="S165" s="1">
        <v>164</v>
      </c>
      <c r="T165" s="1" t="str">
        <f t="shared" si="12"/>
        <v>2</v>
      </c>
      <c r="U165" s="1">
        <v>-31.960360999999999</v>
      </c>
      <c r="V165" s="3">
        <v>141.44105400000001</v>
      </c>
    </row>
    <row r="166" spans="1:22" x14ac:dyDescent="0.35">
      <c r="A166" s="22" t="s">
        <v>639</v>
      </c>
      <c r="B166" s="1" t="s">
        <v>640</v>
      </c>
      <c r="C166" s="1" t="s">
        <v>641</v>
      </c>
      <c r="D166" s="1" t="s">
        <v>642</v>
      </c>
      <c r="E166" s="1" t="s">
        <v>170</v>
      </c>
      <c r="F166" s="1" t="s">
        <v>47</v>
      </c>
      <c r="G166" s="1">
        <f t="shared" si="10"/>
        <v>1</v>
      </c>
      <c r="H166" s="1" t="s">
        <v>148</v>
      </c>
      <c r="I166" s="1" t="s">
        <v>49</v>
      </c>
      <c r="J166" s="23" t="s">
        <v>50</v>
      </c>
      <c r="K166" s="2" t="s">
        <v>51</v>
      </c>
      <c r="L166" s="1">
        <v>218</v>
      </c>
      <c r="M166" s="1"/>
      <c r="N166" s="1" t="str">
        <f t="shared" si="13"/>
        <v>Suppressed</v>
      </c>
      <c r="O166" s="1" t="str">
        <f t="shared" si="11"/>
        <v/>
      </c>
      <c r="P166" s="1">
        <v>57</v>
      </c>
      <c r="Q166" s="1">
        <v>1124</v>
      </c>
      <c r="R166" s="1" t="str">
        <f t="shared" si="14"/>
        <v>4</v>
      </c>
      <c r="S166" s="1">
        <v>32</v>
      </c>
      <c r="T166" s="1" t="str">
        <f t="shared" si="12"/>
        <v>2</v>
      </c>
      <c r="U166" s="1">
        <v>-33.792580000000001</v>
      </c>
      <c r="V166" s="3">
        <v>151.018316</v>
      </c>
    </row>
    <row r="167" spans="1:22" x14ac:dyDescent="0.35">
      <c r="A167" s="22" t="s">
        <v>643</v>
      </c>
      <c r="B167" s="1" t="s">
        <v>644</v>
      </c>
      <c r="C167" s="1" t="s">
        <v>645</v>
      </c>
      <c r="D167" s="1" t="s">
        <v>195</v>
      </c>
      <c r="E167" s="1" t="s">
        <v>196</v>
      </c>
      <c r="F167" s="1" t="s">
        <v>57</v>
      </c>
      <c r="G167" s="1">
        <f t="shared" si="10"/>
        <v>2</v>
      </c>
      <c r="H167" s="1" t="s">
        <v>86</v>
      </c>
      <c r="I167" s="1" t="s">
        <v>49</v>
      </c>
      <c r="J167" s="23" t="s">
        <v>50</v>
      </c>
      <c r="K167" s="2" t="s">
        <v>51</v>
      </c>
      <c r="L167" s="1">
        <v>30</v>
      </c>
      <c r="M167" s="1">
        <v>0</v>
      </c>
      <c r="N167" s="1" t="str">
        <f t="shared" si="13"/>
        <v>Published</v>
      </c>
      <c r="O167" s="1">
        <f t="shared" si="11"/>
        <v>0</v>
      </c>
      <c r="P167" s="1"/>
      <c r="Q167" s="1">
        <v>1076</v>
      </c>
      <c r="R167" s="1" t="str">
        <f t="shared" si="14"/>
        <v>3</v>
      </c>
      <c r="S167" s="1">
        <v>44</v>
      </c>
      <c r="T167" s="1" t="str">
        <f t="shared" si="12"/>
        <v>1</v>
      </c>
      <c r="U167" s="1">
        <v>-34.592222</v>
      </c>
      <c r="V167" s="3">
        <v>150.51724999999999</v>
      </c>
    </row>
    <row r="168" spans="1:22" x14ac:dyDescent="0.35">
      <c r="A168" s="22" t="s">
        <v>646</v>
      </c>
      <c r="B168" s="1" t="s">
        <v>647</v>
      </c>
      <c r="C168" s="1" t="s">
        <v>648</v>
      </c>
      <c r="D168" s="1" t="s">
        <v>649</v>
      </c>
      <c r="E168" s="1" t="s">
        <v>102</v>
      </c>
      <c r="F168" s="1" t="s">
        <v>241</v>
      </c>
      <c r="G168" s="1">
        <f t="shared" si="10"/>
        <v>4</v>
      </c>
      <c r="H168" s="1" t="s">
        <v>92</v>
      </c>
      <c r="I168" s="1" t="s">
        <v>49</v>
      </c>
      <c r="J168" s="23" t="s">
        <v>50</v>
      </c>
      <c r="K168" s="2" t="s">
        <v>51</v>
      </c>
      <c r="L168" s="1">
        <v>36</v>
      </c>
      <c r="M168" s="1"/>
      <c r="N168" s="1" t="str">
        <f t="shared" si="13"/>
        <v>Suppressed</v>
      </c>
      <c r="O168" s="1" t="str">
        <f t="shared" si="11"/>
        <v/>
      </c>
      <c r="P168" s="1"/>
      <c r="Q168" s="1">
        <v>969</v>
      </c>
      <c r="R168" s="1" t="str">
        <f t="shared" si="14"/>
        <v>2</v>
      </c>
      <c r="S168" s="1">
        <v>107</v>
      </c>
      <c r="T168" s="1" t="str">
        <f t="shared" si="12"/>
        <v>1</v>
      </c>
      <c r="U168" s="1">
        <v>-30.102685999999999</v>
      </c>
      <c r="V168" s="3">
        <v>148.96470299999999</v>
      </c>
    </row>
    <row r="169" spans="1:22" x14ac:dyDescent="0.35">
      <c r="A169" s="22" t="s">
        <v>650</v>
      </c>
      <c r="B169" s="1" t="s">
        <v>651</v>
      </c>
      <c r="C169" s="1" t="s">
        <v>652</v>
      </c>
      <c r="D169" s="1" t="s">
        <v>236</v>
      </c>
      <c r="E169" s="1" t="s">
        <v>107</v>
      </c>
      <c r="F169" s="1" t="s">
        <v>57</v>
      </c>
      <c r="G169" s="1">
        <f t="shared" si="10"/>
        <v>2</v>
      </c>
      <c r="H169" s="1" t="s">
        <v>92</v>
      </c>
      <c r="I169" s="1" t="s">
        <v>49</v>
      </c>
      <c r="J169" s="23" t="s">
        <v>50</v>
      </c>
      <c r="K169" s="2" t="s">
        <v>51</v>
      </c>
      <c r="L169" s="1">
        <v>93</v>
      </c>
      <c r="M169" s="1">
        <v>11</v>
      </c>
      <c r="N169" s="1" t="str">
        <f t="shared" si="13"/>
        <v>Published</v>
      </c>
      <c r="O169" s="1">
        <f t="shared" si="11"/>
        <v>10.23</v>
      </c>
      <c r="P169" s="1">
        <v>24</v>
      </c>
      <c r="Q169" s="1">
        <v>992</v>
      </c>
      <c r="R169" s="1" t="str">
        <f t="shared" si="14"/>
        <v>2</v>
      </c>
      <c r="S169" s="1">
        <v>95</v>
      </c>
      <c r="T169" s="1" t="str">
        <f t="shared" si="12"/>
        <v>1</v>
      </c>
      <c r="U169" s="1">
        <v>-28.436644999999999</v>
      </c>
      <c r="V169" s="3">
        <v>153.46673799999999</v>
      </c>
    </row>
    <row r="170" spans="1:22" x14ac:dyDescent="0.35">
      <c r="A170" s="22" t="s">
        <v>653</v>
      </c>
      <c r="B170" s="1" t="s">
        <v>654</v>
      </c>
      <c r="C170" s="1" t="s">
        <v>655</v>
      </c>
      <c r="D170" s="1" t="s">
        <v>591</v>
      </c>
      <c r="E170" s="1" t="s">
        <v>96</v>
      </c>
      <c r="F170" s="1" t="s">
        <v>57</v>
      </c>
      <c r="G170" s="1">
        <f t="shared" si="10"/>
        <v>2</v>
      </c>
      <c r="H170" s="1" t="s">
        <v>70</v>
      </c>
      <c r="I170" s="1" t="s">
        <v>49</v>
      </c>
      <c r="J170" s="23" t="s">
        <v>50</v>
      </c>
      <c r="K170" s="2" t="s">
        <v>51</v>
      </c>
      <c r="L170" s="1">
        <v>33</v>
      </c>
      <c r="M170" s="1"/>
      <c r="N170" s="1" t="str">
        <f t="shared" si="13"/>
        <v>Suppressed</v>
      </c>
      <c r="O170" s="1" t="str">
        <f t="shared" si="11"/>
        <v/>
      </c>
      <c r="P170" s="1"/>
      <c r="Q170" s="1">
        <v>964</v>
      </c>
      <c r="R170" s="1" t="str">
        <f t="shared" si="14"/>
        <v>2</v>
      </c>
      <c r="S170" s="1">
        <v>99</v>
      </c>
      <c r="T170" s="1" t="str">
        <f t="shared" si="12"/>
        <v>1</v>
      </c>
      <c r="U170" s="1">
        <v>-35.837488999999998</v>
      </c>
      <c r="V170" s="3">
        <v>146.800049</v>
      </c>
    </row>
    <row r="171" spans="1:22" x14ac:dyDescent="0.35">
      <c r="A171" s="22" t="s">
        <v>656</v>
      </c>
      <c r="B171" s="1" t="s">
        <v>657</v>
      </c>
      <c r="C171" s="1" t="s">
        <v>658</v>
      </c>
      <c r="D171" s="1" t="s">
        <v>659</v>
      </c>
      <c r="E171" s="1" t="s">
        <v>46</v>
      </c>
      <c r="F171" s="1" t="s">
        <v>47</v>
      </c>
      <c r="G171" s="1">
        <f t="shared" si="10"/>
        <v>1</v>
      </c>
      <c r="H171" s="1" t="s">
        <v>48</v>
      </c>
      <c r="I171" s="1" t="s">
        <v>49</v>
      </c>
      <c r="J171" s="23" t="s">
        <v>50</v>
      </c>
      <c r="K171" s="2" t="s">
        <v>51</v>
      </c>
      <c r="L171" s="1">
        <v>476</v>
      </c>
      <c r="M171" s="1"/>
      <c r="N171" s="1" t="str">
        <f t="shared" si="13"/>
        <v>Suppressed</v>
      </c>
      <c r="O171" s="1" t="str">
        <f t="shared" si="11"/>
        <v/>
      </c>
      <c r="P171" s="1">
        <v>96</v>
      </c>
      <c r="Q171" s="1">
        <v>1092</v>
      </c>
      <c r="R171" s="1" t="str">
        <f t="shared" si="14"/>
        <v>3</v>
      </c>
      <c r="S171" s="1">
        <v>41</v>
      </c>
      <c r="T171" s="1" t="str">
        <f t="shared" si="12"/>
        <v>3</v>
      </c>
      <c r="U171" s="1">
        <v>-33.876800000000003</v>
      </c>
      <c r="V171" s="3">
        <v>151.09898699999999</v>
      </c>
    </row>
    <row r="172" spans="1:22" x14ac:dyDescent="0.35">
      <c r="A172" s="22" t="s">
        <v>660</v>
      </c>
      <c r="B172" s="1" t="s">
        <v>661</v>
      </c>
      <c r="C172" s="1" t="s">
        <v>662</v>
      </c>
      <c r="D172" s="1" t="s">
        <v>121</v>
      </c>
      <c r="E172" s="1" t="s">
        <v>122</v>
      </c>
      <c r="F172" s="1" t="s">
        <v>57</v>
      </c>
      <c r="G172" s="1">
        <f t="shared" si="10"/>
        <v>2</v>
      </c>
      <c r="H172" s="1" t="s">
        <v>86</v>
      </c>
      <c r="I172" s="1" t="s">
        <v>49</v>
      </c>
      <c r="J172" s="23" t="s">
        <v>50</v>
      </c>
      <c r="K172" s="2" t="s">
        <v>51</v>
      </c>
      <c r="L172" s="1">
        <v>163</v>
      </c>
      <c r="M172" s="1">
        <v>13</v>
      </c>
      <c r="N172" s="1" t="str">
        <f t="shared" si="13"/>
        <v>Published</v>
      </c>
      <c r="O172" s="1">
        <f t="shared" si="11"/>
        <v>21.19</v>
      </c>
      <c r="P172" s="1">
        <v>4</v>
      </c>
      <c r="Q172" s="1">
        <v>949</v>
      </c>
      <c r="R172" s="1" t="str">
        <f t="shared" si="14"/>
        <v>2</v>
      </c>
      <c r="S172" s="1">
        <v>120</v>
      </c>
      <c r="T172" s="1" t="str">
        <f t="shared" si="12"/>
        <v>2</v>
      </c>
      <c r="U172" s="1">
        <v>-34.246971000000002</v>
      </c>
      <c r="V172" s="3">
        <v>150.544826</v>
      </c>
    </row>
    <row r="173" spans="1:22" x14ac:dyDescent="0.35">
      <c r="A173" s="22" t="s">
        <v>663</v>
      </c>
      <c r="B173" s="1" t="s">
        <v>664</v>
      </c>
      <c r="C173" s="1" t="s">
        <v>665</v>
      </c>
      <c r="D173" s="1" t="s">
        <v>220</v>
      </c>
      <c r="E173" s="1" t="s">
        <v>107</v>
      </c>
      <c r="F173" s="1" t="s">
        <v>57</v>
      </c>
      <c r="G173" s="1">
        <f t="shared" si="10"/>
        <v>2</v>
      </c>
      <c r="H173" s="1" t="s">
        <v>92</v>
      </c>
      <c r="I173" s="1" t="s">
        <v>49</v>
      </c>
      <c r="J173" s="23" t="s">
        <v>50</v>
      </c>
      <c r="K173" s="2" t="s">
        <v>51</v>
      </c>
      <c r="L173" s="1">
        <v>461</v>
      </c>
      <c r="M173" s="1">
        <v>6</v>
      </c>
      <c r="N173" s="1" t="str">
        <f t="shared" si="13"/>
        <v>Published</v>
      </c>
      <c r="O173" s="1">
        <f t="shared" si="11"/>
        <v>27.66</v>
      </c>
      <c r="P173" s="1">
        <v>22</v>
      </c>
      <c r="Q173" s="1">
        <v>1067</v>
      </c>
      <c r="R173" s="1" t="str">
        <f t="shared" si="14"/>
        <v>3</v>
      </c>
      <c r="S173" s="1">
        <v>43</v>
      </c>
      <c r="T173" s="1" t="str">
        <f t="shared" si="12"/>
        <v>3</v>
      </c>
      <c r="U173" s="1">
        <v>-28.647416</v>
      </c>
      <c r="V173" s="3">
        <v>153.61482599999999</v>
      </c>
    </row>
    <row r="174" spans="1:22" x14ac:dyDescent="0.35">
      <c r="A174" s="22" t="s">
        <v>666</v>
      </c>
      <c r="B174" s="1" t="s">
        <v>667</v>
      </c>
      <c r="C174" s="1" t="s">
        <v>668</v>
      </c>
      <c r="D174" s="1" t="s">
        <v>106</v>
      </c>
      <c r="E174" s="1" t="s">
        <v>107</v>
      </c>
      <c r="F174" s="1" t="s">
        <v>57</v>
      </c>
      <c r="G174" s="1">
        <f t="shared" si="10"/>
        <v>2</v>
      </c>
      <c r="H174" s="1" t="s">
        <v>92</v>
      </c>
      <c r="I174" s="1" t="s">
        <v>49</v>
      </c>
      <c r="J174" s="23" t="s">
        <v>50</v>
      </c>
      <c r="K174" s="2" t="s">
        <v>51</v>
      </c>
      <c r="L174" s="1">
        <v>21</v>
      </c>
      <c r="M174" s="1">
        <v>100</v>
      </c>
      <c r="N174" s="1" t="str">
        <f t="shared" si="13"/>
        <v>Published</v>
      </c>
      <c r="O174" s="1">
        <f t="shared" si="11"/>
        <v>21</v>
      </c>
      <c r="P174" s="1"/>
      <c r="Q174" s="1">
        <v>694</v>
      </c>
      <c r="R174" s="1" t="str">
        <f t="shared" si="14"/>
        <v>1</v>
      </c>
      <c r="S174" s="1">
        <v>193</v>
      </c>
      <c r="T174" s="1" t="str">
        <f t="shared" si="12"/>
        <v>1</v>
      </c>
      <c r="U174" s="1">
        <v>-28.947741000000001</v>
      </c>
      <c r="V174" s="3">
        <v>153.45849899999999</v>
      </c>
    </row>
    <row r="175" spans="1:22" x14ac:dyDescent="0.35">
      <c r="A175" s="22" t="s">
        <v>669</v>
      </c>
      <c r="B175" s="1" t="s">
        <v>670</v>
      </c>
      <c r="C175" s="1" t="s">
        <v>671</v>
      </c>
      <c r="D175" s="1" t="s">
        <v>537</v>
      </c>
      <c r="E175" s="1" t="s">
        <v>181</v>
      </c>
      <c r="F175" s="1" t="s">
        <v>47</v>
      </c>
      <c r="G175" s="1">
        <f t="shared" si="10"/>
        <v>1</v>
      </c>
      <c r="H175" s="1" t="s">
        <v>182</v>
      </c>
      <c r="I175" s="1" t="s">
        <v>49</v>
      </c>
      <c r="J175" s="23" t="s">
        <v>50</v>
      </c>
      <c r="K175" s="2" t="s">
        <v>51</v>
      </c>
      <c r="L175" s="1">
        <v>435</v>
      </c>
      <c r="M175" s="1"/>
      <c r="N175" s="1" t="str">
        <f t="shared" si="13"/>
        <v>Suppressed</v>
      </c>
      <c r="O175" s="1" t="str">
        <f t="shared" si="11"/>
        <v/>
      </c>
      <c r="P175" s="1">
        <v>94</v>
      </c>
      <c r="Q175" s="1">
        <v>950</v>
      </c>
      <c r="R175" s="1" t="str">
        <f t="shared" si="14"/>
        <v>2</v>
      </c>
      <c r="S175" s="1">
        <v>152</v>
      </c>
      <c r="T175" s="1" t="str">
        <f t="shared" si="12"/>
        <v>3</v>
      </c>
      <c r="U175" s="1">
        <v>-33.895823</v>
      </c>
      <c r="V175" s="3">
        <v>150.94262900000001</v>
      </c>
    </row>
    <row r="176" spans="1:22" x14ac:dyDescent="0.35">
      <c r="A176" s="22" t="s">
        <v>672</v>
      </c>
      <c r="B176" s="1" t="s">
        <v>673</v>
      </c>
      <c r="C176" s="1" t="s">
        <v>674</v>
      </c>
      <c r="D176" s="1" t="s">
        <v>382</v>
      </c>
      <c r="E176" s="1" t="s">
        <v>196</v>
      </c>
      <c r="F176" s="1" t="s">
        <v>57</v>
      </c>
      <c r="G176" s="1">
        <f t="shared" si="10"/>
        <v>2</v>
      </c>
      <c r="H176" s="1" t="s">
        <v>86</v>
      </c>
      <c r="I176" s="1" t="s">
        <v>49</v>
      </c>
      <c r="J176" s="23" t="s">
        <v>50</v>
      </c>
      <c r="K176" s="2" t="s">
        <v>51</v>
      </c>
      <c r="L176" s="1">
        <v>216</v>
      </c>
      <c r="M176" s="1">
        <v>11</v>
      </c>
      <c r="N176" s="1" t="str">
        <f t="shared" si="13"/>
        <v>Published</v>
      </c>
      <c r="O176" s="1">
        <f t="shared" si="11"/>
        <v>23.76</v>
      </c>
      <c r="P176" s="1">
        <v>5</v>
      </c>
      <c r="Q176" s="1">
        <v>1029</v>
      </c>
      <c r="R176" s="1" t="str">
        <f t="shared" si="14"/>
        <v>3</v>
      </c>
      <c r="S176" s="1">
        <v>73</v>
      </c>
      <c r="T176" s="1" t="str">
        <f t="shared" si="12"/>
        <v>2</v>
      </c>
      <c r="U176" s="1">
        <v>-34.821536999999999</v>
      </c>
      <c r="V176" s="3">
        <v>150.55604299999999</v>
      </c>
    </row>
    <row r="177" spans="1:22" x14ac:dyDescent="0.35">
      <c r="A177" s="22" t="s">
        <v>675</v>
      </c>
      <c r="B177" s="1" t="s">
        <v>676</v>
      </c>
      <c r="C177" s="1" t="s">
        <v>677</v>
      </c>
      <c r="D177" s="1" t="s">
        <v>678</v>
      </c>
      <c r="E177" s="1" t="s">
        <v>122</v>
      </c>
      <c r="F177" s="1" t="s">
        <v>47</v>
      </c>
      <c r="G177" s="1">
        <f t="shared" si="10"/>
        <v>1</v>
      </c>
      <c r="H177" s="1" t="s">
        <v>86</v>
      </c>
      <c r="I177" s="1" t="s">
        <v>49</v>
      </c>
      <c r="J177" s="23" t="s">
        <v>50</v>
      </c>
      <c r="K177" s="2" t="s">
        <v>51</v>
      </c>
      <c r="L177" s="1">
        <v>313</v>
      </c>
      <c r="M177" s="1">
        <v>6</v>
      </c>
      <c r="N177" s="1" t="str">
        <f t="shared" si="13"/>
        <v>Published</v>
      </c>
      <c r="O177" s="1">
        <f t="shared" si="11"/>
        <v>18.779999999999998</v>
      </c>
      <c r="P177" s="1">
        <v>13</v>
      </c>
      <c r="Q177" s="1">
        <v>1041</v>
      </c>
      <c r="R177" s="1" t="str">
        <f t="shared" si="14"/>
        <v>3</v>
      </c>
      <c r="S177" s="1">
        <v>82</v>
      </c>
      <c r="T177" s="1" t="str">
        <f t="shared" si="12"/>
        <v>3</v>
      </c>
      <c r="U177" s="1">
        <v>-34.051997999999998</v>
      </c>
      <c r="V177" s="3">
        <v>150.69323600000001</v>
      </c>
    </row>
    <row r="178" spans="1:22" x14ac:dyDescent="0.35">
      <c r="A178" s="22" t="s">
        <v>679</v>
      </c>
      <c r="B178" s="1" t="s">
        <v>680</v>
      </c>
      <c r="C178" s="1" t="s">
        <v>681</v>
      </c>
      <c r="D178" s="1" t="s">
        <v>115</v>
      </c>
      <c r="E178" s="1" t="s">
        <v>225</v>
      </c>
      <c r="F178" s="1" t="s">
        <v>47</v>
      </c>
      <c r="G178" s="1">
        <f t="shared" si="10"/>
        <v>1</v>
      </c>
      <c r="H178" s="1" t="s">
        <v>48</v>
      </c>
      <c r="I178" s="1" t="s">
        <v>49</v>
      </c>
      <c r="J178" s="23" t="s">
        <v>50</v>
      </c>
      <c r="K178" s="2" t="s">
        <v>51</v>
      </c>
      <c r="L178" s="1">
        <v>310</v>
      </c>
      <c r="M178" s="1">
        <v>5</v>
      </c>
      <c r="N178" s="1" t="str">
        <f t="shared" si="13"/>
        <v>Published</v>
      </c>
      <c r="O178" s="1">
        <f t="shared" si="11"/>
        <v>15.5</v>
      </c>
      <c r="P178" s="1">
        <v>26</v>
      </c>
      <c r="Q178" s="1">
        <v>1132</v>
      </c>
      <c r="R178" s="1" t="str">
        <f t="shared" si="14"/>
        <v>4</v>
      </c>
      <c r="S178" s="1">
        <v>24</v>
      </c>
      <c r="T178" s="1" t="str">
        <f t="shared" si="12"/>
        <v>3</v>
      </c>
      <c r="U178" s="1">
        <v>-33.906146</v>
      </c>
      <c r="V178" s="3">
        <v>151.17574099999999</v>
      </c>
    </row>
    <row r="179" spans="1:22" x14ac:dyDescent="0.35">
      <c r="A179" s="22" t="s">
        <v>682</v>
      </c>
      <c r="B179" s="1" t="s">
        <v>683</v>
      </c>
      <c r="C179" s="1" t="s">
        <v>684</v>
      </c>
      <c r="D179" s="1" t="s">
        <v>685</v>
      </c>
      <c r="E179" s="1" t="s">
        <v>147</v>
      </c>
      <c r="F179" s="1" t="s">
        <v>47</v>
      </c>
      <c r="G179" s="1">
        <f t="shared" si="10"/>
        <v>1</v>
      </c>
      <c r="H179" s="1" t="s">
        <v>148</v>
      </c>
      <c r="I179" s="1" t="s">
        <v>49</v>
      </c>
      <c r="J179" s="23" t="s">
        <v>50</v>
      </c>
      <c r="K179" s="2" t="s">
        <v>51</v>
      </c>
      <c r="L179" s="1">
        <v>622</v>
      </c>
      <c r="M179" s="1"/>
      <c r="N179" s="1" t="str">
        <f t="shared" si="13"/>
        <v>Suppressed</v>
      </c>
      <c r="O179" s="1" t="str">
        <f t="shared" si="11"/>
        <v/>
      </c>
      <c r="P179" s="1">
        <v>35</v>
      </c>
      <c r="Q179" s="1">
        <v>1168</v>
      </c>
      <c r="R179" s="1" t="str">
        <f t="shared" si="14"/>
        <v>4</v>
      </c>
      <c r="S179" s="1">
        <v>0</v>
      </c>
      <c r="T179" s="1" t="str">
        <f t="shared" si="12"/>
        <v>4</v>
      </c>
      <c r="U179" s="1">
        <v>-33.820422000000001</v>
      </c>
      <c r="V179" s="3">
        <v>151.21154200000001</v>
      </c>
    </row>
    <row r="180" spans="1:22" x14ac:dyDescent="0.35">
      <c r="A180" s="22" t="s">
        <v>686</v>
      </c>
      <c r="B180" s="1" t="s">
        <v>687</v>
      </c>
      <c r="C180" s="1" t="s">
        <v>688</v>
      </c>
      <c r="D180" s="1" t="s">
        <v>689</v>
      </c>
      <c r="E180" s="1" t="s">
        <v>122</v>
      </c>
      <c r="F180" s="1" t="s">
        <v>47</v>
      </c>
      <c r="G180" s="1">
        <f t="shared" si="10"/>
        <v>1</v>
      </c>
      <c r="H180" s="1" t="s">
        <v>86</v>
      </c>
      <c r="I180" s="1" t="s">
        <v>49</v>
      </c>
      <c r="J180" s="23" t="s">
        <v>50</v>
      </c>
      <c r="K180" s="2" t="s">
        <v>51</v>
      </c>
      <c r="L180" s="1">
        <v>284</v>
      </c>
      <c r="M180" s="1">
        <v>11</v>
      </c>
      <c r="N180" s="1" t="str">
        <f t="shared" si="13"/>
        <v>Published</v>
      </c>
      <c r="O180" s="1">
        <f t="shared" si="11"/>
        <v>31.24</v>
      </c>
      <c r="P180" s="1">
        <v>56</v>
      </c>
      <c r="Q180" s="1">
        <v>946</v>
      </c>
      <c r="R180" s="1" t="str">
        <f t="shared" si="14"/>
        <v>2</v>
      </c>
      <c r="S180" s="1">
        <v>123</v>
      </c>
      <c r="T180" s="1" t="str">
        <f t="shared" si="12"/>
        <v>2</v>
      </c>
      <c r="U180" s="1">
        <v>-34.070109000000002</v>
      </c>
      <c r="V180" s="3">
        <v>150.81563399999999</v>
      </c>
    </row>
    <row r="181" spans="1:22" x14ac:dyDescent="0.35">
      <c r="A181" s="22" t="s">
        <v>690</v>
      </c>
      <c r="B181" s="1" t="s">
        <v>691</v>
      </c>
      <c r="C181" s="1" t="s">
        <v>692</v>
      </c>
      <c r="D181" s="1" t="s">
        <v>152</v>
      </c>
      <c r="E181" s="1" t="s">
        <v>229</v>
      </c>
      <c r="F181" s="1" t="s">
        <v>47</v>
      </c>
      <c r="G181" s="1">
        <f t="shared" si="10"/>
        <v>1</v>
      </c>
      <c r="H181" s="1" t="s">
        <v>48</v>
      </c>
      <c r="I181" s="1" t="s">
        <v>49</v>
      </c>
      <c r="J181" s="23" t="s">
        <v>50</v>
      </c>
      <c r="K181" s="2" t="s">
        <v>51</v>
      </c>
      <c r="L181" s="1">
        <v>515</v>
      </c>
      <c r="M181" s="1"/>
      <c r="N181" s="1" t="str">
        <f t="shared" si="13"/>
        <v>Suppressed</v>
      </c>
      <c r="O181" s="1" t="str">
        <f t="shared" si="11"/>
        <v/>
      </c>
      <c r="P181" s="1">
        <v>97</v>
      </c>
      <c r="Q181" s="1">
        <v>1016</v>
      </c>
      <c r="R181" s="1" t="str">
        <f t="shared" si="14"/>
        <v>3</v>
      </c>
      <c r="S181" s="1">
        <v>96</v>
      </c>
      <c r="T181" s="1" t="str">
        <f t="shared" si="12"/>
        <v>3</v>
      </c>
      <c r="U181" s="1">
        <v>-33.911862999999997</v>
      </c>
      <c r="V181" s="3">
        <v>151.10484600000001</v>
      </c>
    </row>
    <row r="182" spans="1:22" x14ac:dyDescent="0.35">
      <c r="A182" s="22" t="s">
        <v>693</v>
      </c>
      <c r="B182" s="1" t="s">
        <v>694</v>
      </c>
      <c r="C182" s="1" t="s">
        <v>695</v>
      </c>
      <c r="D182" s="1" t="s">
        <v>314</v>
      </c>
      <c r="E182" s="1" t="s">
        <v>68</v>
      </c>
      <c r="F182" s="1" t="s">
        <v>69</v>
      </c>
      <c r="G182" s="1">
        <f t="shared" si="10"/>
        <v>3</v>
      </c>
      <c r="H182" s="1" t="s">
        <v>86</v>
      </c>
      <c r="I182" s="1" t="s">
        <v>49</v>
      </c>
      <c r="J182" s="23" t="s">
        <v>50</v>
      </c>
      <c r="K182" s="2" t="s">
        <v>51</v>
      </c>
      <c r="L182" s="1">
        <v>84</v>
      </c>
      <c r="M182" s="1"/>
      <c r="N182" s="1" t="str">
        <f t="shared" si="13"/>
        <v>Suppressed</v>
      </c>
      <c r="O182" s="1" t="str">
        <f t="shared" si="11"/>
        <v/>
      </c>
      <c r="P182" s="1"/>
      <c r="Q182" s="1">
        <v>982</v>
      </c>
      <c r="R182" s="1" t="str">
        <f t="shared" si="14"/>
        <v>2</v>
      </c>
      <c r="S182" s="1">
        <v>104</v>
      </c>
      <c r="T182" s="1" t="str">
        <f t="shared" si="12"/>
        <v>1</v>
      </c>
      <c r="U182" s="1">
        <v>-36.768391999999999</v>
      </c>
      <c r="V182" s="3">
        <v>149.695674</v>
      </c>
    </row>
    <row r="183" spans="1:22" x14ac:dyDescent="0.35">
      <c r="A183" s="22" t="s">
        <v>696</v>
      </c>
      <c r="B183" s="1" t="s">
        <v>697</v>
      </c>
      <c r="C183" s="1" t="s">
        <v>390</v>
      </c>
      <c r="D183" s="1" t="s">
        <v>390</v>
      </c>
      <c r="E183" s="1" t="s">
        <v>107</v>
      </c>
      <c r="F183" s="1" t="s">
        <v>57</v>
      </c>
      <c r="G183" s="1">
        <f t="shared" si="10"/>
        <v>2</v>
      </c>
      <c r="H183" s="1" t="s">
        <v>92</v>
      </c>
      <c r="I183" s="1" t="s">
        <v>49</v>
      </c>
      <c r="J183" s="23" t="s">
        <v>50</v>
      </c>
      <c r="K183" s="2" t="s">
        <v>51</v>
      </c>
      <c r="L183" s="1">
        <v>29</v>
      </c>
      <c r="M183" s="1">
        <v>21</v>
      </c>
      <c r="N183" s="1" t="str">
        <f t="shared" si="13"/>
        <v>Published</v>
      </c>
      <c r="O183" s="1">
        <f t="shared" si="11"/>
        <v>6.09</v>
      </c>
      <c r="P183" s="1"/>
      <c r="Q183" s="1">
        <v>955</v>
      </c>
      <c r="R183" s="1" t="str">
        <f t="shared" si="14"/>
        <v>2</v>
      </c>
      <c r="S183" s="1">
        <v>118</v>
      </c>
      <c r="T183" s="1" t="str">
        <f t="shared" si="12"/>
        <v>1</v>
      </c>
      <c r="U183" s="1">
        <v>-28.830798999999999</v>
      </c>
      <c r="V183" s="3">
        <v>153.23131699999999</v>
      </c>
    </row>
    <row r="184" spans="1:22" x14ac:dyDescent="0.35">
      <c r="A184" s="22" t="s">
        <v>698</v>
      </c>
      <c r="B184" s="1" t="s">
        <v>699</v>
      </c>
      <c r="C184" s="1" t="s">
        <v>700</v>
      </c>
      <c r="D184" s="1" t="s">
        <v>537</v>
      </c>
      <c r="E184" s="1" t="s">
        <v>181</v>
      </c>
      <c r="F184" s="1" t="s">
        <v>47</v>
      </c>
      <c r="G184" s="1">
        <f t="shared" si="10"/>
        <v>1</v>
      </c>
      <c r="H184" s="1" t="s">
        <v>182</v>
      </c>
      <c r="I184" s="1" t="s">
        <v>49</v>
      </c>
      <c r="J184" s="23" t="s">
        <v>50</v>
      </c>
      <c r="K184" s="2" t="s">
        <v>51</v>
      </c>
      <c r="L184" s="1">
        <v>752</v>
      </c>
      <c r="M184" s="1"/>
      <c r="N184" s="1" t="str">
        <f t="shared" si="13"/>
        <v>Suppressed</v>
      </c>
      <c r="O184" s="1" t="str">
        <f t="shared" si="11"/>
        <v/>
      </c>
      <c r="P184" s="1">
        <v>98</v>
      </c>
      <c r="Q184" s="1">
        <v>973</v>
      </c>
      <c r="R184" s="1" t="str">
        <f t="shared" si="14"/>
        <v>2</v>
      </c>
      <c r="S184" s="1">
        <v>131</v>
      </c>
      <c r="T184" s="1" t="str">
        <f t="shared" si="12"/>
        <v>4</v>
      </c>
      <c r="U184" s="1">
        <v>-33.886760000000002</v>
      </c>
      <c r="V184" s="3">
        <v>150.93763200000001</v>
      </c>
    </row>
    <row r="185" spans="1:22" x14ac:dyDescent="0.35">
      <c r="A185" s="22" t="s">
        <v>701</v>
      </c>
      <c r="B185" s="1" t="s">
        <v>702</v>
      </c>
      <c r="C185" s="1" t="s">
        <v>703</v>
      </c>
      <c r="D185" s="1" t="s">
        <v>703</v>
      </c>
      <c r="E185" s="1" t="s">
        <v>261</v>
      </c>
      <c r="F185" s="1" t="s">
        <v>57</v>
      </c>
      <c r="G185" s="1">
        <f t="shared" si="10"/>
        <v>2</v>
      </c>
      <c r="H185" s="1" t="s">
        <v>70</v>
      </c>
      <c r="I185" s="1" t="s">
        <v>49</v>
      </c>
      <c r="J185" s="23" t="s">
        <v>50</v>
      </c>
      <c r="K185" s="2" t="s">
        <v>51</v>
      </c>
      <c r="L185" s="1">
        <v>136</v>
      </c>
      <c r="M185" s="1"/>
      <c r="N185" s="1" t="str">
        <f t="shared" si="13"/>
        <v>Suppressed</v>
      </c>
      <c r="O185" s="1" t="str">
        <f t="shared" si="11"/>
        <v/>
      </c>
      <c r="P185" s="1">
        <v>11</v>
      </c>
      <c r="Q185" s="1">
        <v>1098</v>
      </c>
      <c r="R185" s="1" t="str">
        <f t="shared" si="14"/>
        <v>3</v>
      </c>
      <c r="S185" s="1">
        <v>38</v>
      </c>
      <c r="T185" s="1" t="str">
        <f t="shared" si="12"/>
        <v>2</v>
      </c>
      <c r="U185" s="1">
        <v>-33.305942000000002</v>
      </c>
      <c r="V185" s="3">
        <v>149.04621</v>
      </c>
    </row>
    <row r="186" spans="1:22" x14ac:dyDescent="0.35">
      <c r="A186" s="22" t="s">
        <v>704</v>
      </c>
      <c r="B186" s="1" t="s">
        <v>705</v>
      </c>
      <c r="C186" s="1" t="s">
        <v>706</v>
      </c>
      <c r="D186" s="1" t="s">
        <v>152</v>
      </c>
      <c r="E186" s="1" t="s">
        <v>46</v>
      </c>
      <c r="F186" s="1" t="s">
        <v>47</v>
      </c>
      <c r="G186" s="1">
        <f t="shared" si="10"/>
        <v>1</v>
      </c>
      <c r="H186" s="1" t="s">
        <v>48</v>
      </c>
      <c r="I186" s="1" t="s">
        <v>49</v>
      </c>
      <c r="J186" s="23" t="s">
        <v>50</v>
      </c>
      <c r="K186" s="2" t="s">
        <v>51</v>
      </c>
      <c r="L186" s="1">
        <v>346</v>
      </c>
      <c r="M186" s="1">
        <v>3</v>
      </c>
      <c r="N186" s="1" t="str">
        <f t="shared" si="13"/>
        <v>Published</v>
      </c>
      <c r="O186" s="1">
        <f t="shared" si="11"/>
        <v>10.379999999999999</v>
      </c>
      <c r="P186" s="1">
        <v>51</v>
      </c>
      <c r="Q186" s="1">
        <v>1082</v>
      </c>
      <c r="R186" s="1" t="str">
        <f t="shared" si="14"/>
        <v>3</v>
      </c>
      <c r="S186" s="1">
        <v>34</v>
      </c>
      <c r="T186" s="1" t="str">
        <f t="shared" si="12"/>
        <v>3</v>
      </c>
      <c r="U186" s="1">
        <v>-33.908760999999998</v>
      </c>
      <c r="V186" s="3">
        <v>151.12230600000001</v>
      </c>
    </row>
    <row r="187" spans="1:22" x14ac:dyDescent="0.35">
      <c r="A187" s="22" t="s">
        <v>707</v>
      </c>
      <c r="B187" s="1" t="s">
        <v>708</v>
      </c>
      <c r="C187" s="1" t="s">
        <v>709</v>
      </c>
      <c r="D187" s="1" t="s">
        <v>186</v>
      </c>
      <c r="E187" s="1" t="s">
        <v>187</v>
      </c>
      <c r="F187" s="1" t="s">
        <v>47</v>
      </c>
      <c r="G187" s="1">
        <f t="shared" si="10"/>
        <v>1</v>
      </c>
      <c r="H187" s="1" t="s">
        <v>63</v>
      </c>
      <c r="I187" s="1" t="s">
        <v>49</v>
      </c>
      <c r="J187" s="23" t="s">
        <v>50</v>
      </c>
      <c r="K187" s="2" t="s">
        <v>51</v>
      </c>
      <c r="L187" s="1">
        <v>358</v>
      </c>
      <c r="M187" s="1">
        <v>11</v>
      </c>
      <c r="N187" s="1" t="str">
        <f t="shared" si="13"/>
        <v>Published</v>
      </c>
      <c r="O187" s="1">
        <f t="shared" si="11"/>
        <v>39.380000000000003</v>
      </c>
      <c r="P187" s="1">
        <v>5</v>
      </c>
      <c r="Q187" s="1">
        <v>1014</v>
      </c>
      <c r="R187" s="1" t="str">
        <f t="shared" si="14"/>
        <v>3</v>
      </c>
      <c r="S187" s="1">
        <v>79</v>
      </c>
      <c r="T187" s="1" t="str">
        <f t="shared" si="12"/>
        <v>3</v>
      </c>
      <c r="U187" s="1">
        <v>-33.478822000000001</v>
      </c>
      <c r="V187" s="3">
        <v>151.357294</v>
      </c>
    </row>
    <row r="188" spans="1:22" x14ac:dyDescent="0.35">
      <c r="A188" s="22" t="s">
        <v>710</v>
      </c>
      <c r="B188" s="1" t="s">
        <v>711</v>
      </c>
      <c r="C188" s="1" t="s">
        <v>712</v>
      </c>
      <c r="D188" s="1" t="s">
        <v>713</v>
      </c>
      <c r="E188" s="1" t="s">
        <v>80</v>
      </c>
      <c r="F188" s="1" t="s">
        <v>57</v>
      </c>
      <c r="G188" s="1">
        <f t="shared" si="10"/>
        <v>2</v>
      </c>
      <c r="H188" s="1" t="s">
        <v>70</v>
      </c>
      <c r="I188" s="1" t="s">
        <v>49</v>
      </c>
      <c r="J188" s="23" t="s">
        <v>50</v>
      </c>
      <c r="K188" s="2" t="s">
        <v>51</v>
      </c>
      <c r="L188" s="1">
        <v>27</v>
      </c>
      <c r="M188" s="1"/>
      <c r="N188" s="1" t="str">
        <f t="shared" si="13"/>
        <v>Suppressed</v>
      </c>
      <c r="O188" s="1" t="str">
        <f t="shared" si="11"/>
        <v/>
      </c>
      <c r="P188" s="1">
        <v>25</v>
      </c>
      <c r="Q188" s="1">
        <v>940</v>
      </c>
      <c r="R188" s="1" t="str">
        <f t="shared" si="14"/>
        <v>2</v>
      </c>
      <c r="S188" s="1">
        <v>99</v>
      </c>
      <c r="T188" s="1" t="str">
        <f t="shared" si="12"/>
        <v>1</v>
      </c>
      <c r="U188" s="1">
        <v>-35.188792999999997</v>
      </c>
      <c r="V188" s="3">
        <v>147.24948599999999</v>
      </c>
    </row>
    <row r="189" spans="1:22" x14ac:dyDescent="0.35">
      <c r="A189" s="22" t="s">
        <v>714</v>
      </c>
      <c r="B189" s="1" t="s">
        <v>715</v>
      </c>
      <c r="C189" s="1" t="s">
        <v>716</v>
      </c>
      <c r="D189" s="1" t="s">
        <v>558</v>
      </c>
      <c r="E189" s="1" t="s">
        <v>68</v>
      </c>
      <c r="F189" s="1" t="s">
        <v>57</v>
      </c>
      <c r="G189" s="1">
        <f t="shared" si="10"/>
        <v>2</v>
      </c>
      <c r="H189" s="1" t="s">
        <v>70</v>
      </c>
      <c r="I189" s="1" t="s">
        <v>49</v>
      </c>
      <c r="J189" s="23" t="s">
        <v>50</v>
      </c>
      <c r="K189" s="2" t="s">
        <v>51</v>
      </c>
      <c r="L189" s="1">
        <v>26</v>
      </c>
      <c r="M189" s="1">
        <v>23</v>
      </c>
      <c r="N189" s="1" t="str">
        <f t="shared" si="13"/>
        <v>Published</v>
      </c>
      <c r="O189" s="1">
        <f t="shared" si="11"/>
        <v>5.98</v>
      </c>
      <c r="P189" s="1"/>
      <c r="Q189" s="1">
        <v>903</v>
      </c>
      <c r="R189" s="1" t="str">
        <f t="shared" si="14"/>
        <v>2</v>
      </c>
      <c r="S189" s="1">
        <v>122</v>
      </c>
      <c r="T189" s="1" t="str">
        <f t="shared" si="12"/>
        <v>1</v>
      </c>
      <c r="U189" s="1">
        <v>-35.587192000000002</v>
      </c>
      <c r="V189" s="3">
        <v>149.45014699999999</v>
      </c>
    </row>
    <row r="190" spans="1:22" x14ac:dyDescent="0.35">
      <c r="A190" s="22" t="s">
        <v>717</v>
      </c>
      <c r="B190" s="1" t="s">
        <v>718</v>
      </c>
      <c r="C190" s="1" t="s">
        <v>719</v>
      </c>
      <c r="D190" s="1" t="s">
        <v>720</v>
      </c>
      <c r="E190" s="1" t="s">
        <v>261</v>
      </c>
      <c r="F190" s="1" t="s">
        <v>69</v>
      </c>
      <c r="G190" s="1">
        <f t="shared" si="10"/>
        <v>3</v>
      </c>
      <c r="H190" s="1" t="s">
        <v>70</v>
      </c>
      <c r="I190" s="1" t="s">
        <v>49</v>
      </c>
      <c r="J190" s="23" t="s">
        <v>50</v>
      </c>
      <c r="K190" s="2" t="s">
        <v>51</v>
      </c>
      <c r="L190" s="1">
        <v>15</v>
      </c>
      <c r="M190" s="1"/>
      <c r="N190" s="1" t="str">
        <f t="shared" si="13"/>
        <v>Suppressed</v>
      </c>
      <c r="O190" s="1" t="str">
        <f t="shared" si="11"/>
        <v/>
      </c>
      <c r="P190" s="1">
        <v>0</v>
      </c>
      <c r="Q190" s="1">
        <v>986</v>
      </c>
      <c r="R190" s="1" t="str">
        <f t="shared" si="14"/>
        <v>2</v>
      </c>
      <c r="S190" s="1">
        <v>67</v>
      </c>
      <c r="T190" s="1" t="str">
        <f t="shared" si="12"/>
        <v>1</v>
      </c>
      <c r="U190" s="1">
        <v>-33.845320000000001</v>
      </c>
      <c r="V190" s="3">
        <v>147.744452</v>
      </c>
    </row>
    <row r="191" spans="1:22" x14ac:dyDescent="0.35">
      <c r="A191" s="22" t="s">
        <v>721</v>
      </c>
      <c r="B191" s="1" t="s">
        <v>722</v>
      </c>
      <c r="C191" s="1" t="s">
        <v>723</v>
      </c>
      <c r="D191" s="1" t="s">
        <v>457</v>
      </c>
      <c r="E191" s="1" t="s">
        <v>261</v>
      </c>
      <c r="F191" s="1" t="s">
        <v>57</v>
      </c>
      <c r="G191" s="1">
        <f t="shared" si="10"/>
        <v>2</v>
      </c>
      <c r="H191" s="1" t="s">
        <v>58</v>
      </c>
      <c r="I191" s="1" t="s">
        <v>49</v>
      </c>
      <c r="J191" s="23" t="s">
        <v>50</v>
      </c>
      <c r="K191" s="2" t="s">
        <v>51</v>
      </c>
      <c r="L191" s="1">
        <v>31</v>
      </c>
      <c r="M191" s="1">
        <v>26</v>
      </c>
      <c r="N191" s="1" t="str">
        <f t="shared" si="13"/>
        <v>Published</v>
      </c>
      <c r="O191" s="1">
        <f t="shared" si="11"/>
        <v>8.06</v>
      </c>
      <c r="P191" s="1"/>
      <c r="Q191" s="1">
        <v>941</v>
      </c>
      <c r="R191" s="1" t="str">
        <f t="shared" si="14"/>
        <v>2</v>
      </c>
      <c r="S191" s="1">
        <v>122</v>
      </c>
      <c r="T191" s="1" t="str">
        <f t="shared" si="12"/>
        <v>1</v>
      </c>
      <c r="U191" s="1">
        <v>-33.612326000000003</v>
      </c>
      <c r="V191" s="3">
        <v>149.14243200000001</v>
      </c>
    </row>
    <row r="192" spans="1:22" x14ac:dyDescent="0.35">
      <c r="A192" s="22" t="s">
        <v>724</v>
      </c>
      <c r="B192" s="1" t="s">
        <v>725</v>
      </c>
      <c r="C192" s="1" t="s">
        <v>726</v>
      </c>
      <c r="D192" s="1" t="s">
        <v>191</v>
      </c>
      <c r="E192" s="1" t="s">
        <v>75</v>
      </c>
      <c r="F192" s="1" t="s">
        <v>47</v>
      </c>
      <c r="G192" s="1">
        <f t="shared" si="10"/>
        <v>1</v>
      </c>
      <c r="H192" s="1" t="s">
        <v>63</v>
      </c>
      <c r="I192" s="1" t="s">
        <v>49</v>
      </c>
      <c r="J192" s="23" t="s">
        <v>50</v>
      </c>
      <c r="K192" s="2" t="s">
        <v>51</v>
      </c>
      <c r="L192" s="1">
        <v>283</v>
      </c>
      <c r="M192" s="1">
        <v>12</v>
      </c>
      <c r="N192" s="1" t="str">
        <f t="shared" si="13"/>
        <v>Published</v>
      </c>
      <c r="O192" s="1">
        <f t="shared" si="11"/>
        <v>33.96</v>
      </c>
      <c r="P192" s="1">
        <v>7</v>
      </c>
      <c r="Q192" s="1">
        <v>1000</v>
      </c>
      <c r="R192" s="1" t="str">
        <f t="shared" si="14"/>
        <v>3</v>
      </c>
      <c r="S192" s="1">
        <v>94</v>
      </c>
      <c r="T192" s="1" t="str">
        <f t="shared" si="12"/>
        <v>2</v>
      </c>
      <c r="U192" s="1">
        <v>-32.945779000000002</v>
      </c>
      <c r="V192" s="3">
        <v>151.65775400000001</v>
      </c>
    </row>
    <row r="193" spans="1:22" x14ac:dyDescent="0.35">
      <c r="A193" s="22" t="s">
        <v>727</v>
      </c>
      <c r="B193" s="1" t="s">
        <v>728</v>
      </c>
      <c r="C193" s="1" t="s">
        <v>729</v>
      </c>
      <c r="D193" s="1" t="s">
        <v>730</v>
      </c>
      <c r="E193" s="1" t="s">
        <v>261</v>
      </c>
      <c r="F193" s="1" t="s">
        <v>69</v>
      </c>
      <c r="G193" s="1">
        <f t="shared" si="10"/>
        <v>3</v>
      </c>
      <c r="H193" s="1" t="s">
        <v>70</v>
      </c>
      <c r="I193" s="1" t="s">
        <v>49</v>
      </c>
      <c r="J193" s="23" t="s">
        <v>50</v>
      </c>
      <c r="K193" s="2" t="s">
        <v>51</v>
      </c>
      <c r="L193" s="1">
        <v>12</v>
      </c>
      <c r="M193" s="1">
        <v>67</v>
      </c>
      <c r="N193" s="1" t="str">
        <f t="shared" si="13"/>
        <v>Published</v>
      </c>
      <c r="O193" s="1">
        <f t="shared" si="11"/>
        <v>8.0400000000000009</v>
      </c>
      <c r="P193" s="1">
        <v>0</v>
      </c>
      <c r="Q193" s="1">
        <v>764</v>
      </c>
      <c r="R193" s="1" t="str">
        <f t="shared" si="14"/>
        <v>1</v>
      </c>
      <c r="S193" s="1">
        <v>181</v>
      </c>
      <c r="T193" s="1" t="str">
        <f t="shared" si="12"/>
        <v>1</v>
      </c>
      <c r="U193" s="1">
        <v>-33.427612000000003</v>
      </c>
      <c r="V193" s="3">
        <v>148.80769699999999</v>
      </c>
    </row>
    <row r="194" spans="1:22" x14ac:dyDescent="0.35">
      <c r="A194" s="22" t="s">
        <v>731</v>
      </c>
      <c r="B194" s="1" t="s">
        <v>732</v>
      </c>
      <c r="C194" s="1" t="s">
        <v>733</v>
      </c>
      <c r="D194" s="1" t="s">
        <v>649</v>
      </c>
      <c r="E194" s="1" t="s">
        <v>102</v>
      </c>
      <c r="F194" s="1" t="s">
        <v>241</v>
      </c>
      <c r="G194" s="1">
        <f t="shared" ref="G194:G257" si="15">IF(F194="Major Cities of Australia",1,IF(F194="Inner Regional Australia",2,IF(F194="Outer Regional Australia",3,IF(F194="Remote Australia",4,IF(F194="Very Remote Australia",5,6)))))</f>
        <v>4</v>
      </c>
      <c r="H194" s="1" t="s">
        <v>92</v>
      </c>
      <c r="I194" s="1" t="s">
        <v>49</v>
      </c>
      <c r="J194" s="23" t="s">
        <v>50</v>
      </c>
      <c r="K194" s="2" t="s">
        <v>51</v>
      </c>
      <c r="L194" s="1">
        <v>18</v>
      </c>
      <c r="M194" s="1"/>
      <c r="N194" s="1" t="str">
        <f t="shared" si="13"/>
        <v>Suppressed</v>
      </c>
      <c r="O194" s="1" t="str">
        <f t="shared" ref="O194:O257" si="16">IF(OR(M194="",L194=""),"",M194/100*L194)</f>
        <v/>
      </c>
      <c r="P194" s="1">
        <v>0</v>
      </c>
      <c r="Q194" s="1">
        <v>1017</v>
      </c>
      <c r="R194" s="1" t="str">
        <f t="shared" si="14"/>
        <v>3</v>
      </c>
      <c r="S194" s="1">
        <v>95</v>
      </c>
      <c r="T194" s="1" t="str">
        <f t="shared" ref="T194:T257" si="17">IF(L194="","No enrolment",IF(L194&lt;100,"1",IF(L194&lt;300,"2",IF(L194&lt;600,"3",IF(L194&lt;1000,"4","5")))))</f>
        <v>1</v>
      </c>
      <c r="U194" s="1">
        <v>-30.461881999999999</v>
      </c>
      <c r="V194" s="3">
        <v>147.687555</v>
      </c>
    </row>
    <row r="195" spans="1:22" x14ac:dyDescent="0.35">
      <c r="A195" s="22" t="s">
        <v>734</v>
      </c>
      <c r="B195" s="1" t="s">
        <v>735</v>
      </c>
      <c r="C195" s="1" t="s">
        <v>736</v>
      </c>
      <c r="D195" s="1" t="s">
        <v>737</v>
      </c>
      <c r="E195" s="1" t="s">
        <v>738</v>
      </c>
      <c r="F195" s="1" t="s">
        <v>47</v>
      </c>
      <c r="G195" s="1">
        <f t="shared" si="15"/>
        <v>1</v>
      </c>
      <c r="H195" s="1" t="s">
        <v>182</v>
      </c>
      <c r="I195" s="1" t="s">
        <v>49</v>
      </c>
      <c r="J195" s="23" t="s">
        <v>50</v>
      </c>
      <c r="K195" s="2" t="s">
        <v>51</v>
      </c>
      <c r="L195" s="1">
        <v>394</v>
      </c>
      <c r="M195" s="1">
        <v>5</v>
      </c>
      <c r="N195" s="1" t="str">
        <f t="shared" ref="N195:N258" si="18">IF(M195="","Suppressed","Published")</f>
        <v>Published</v>
      </c>
      <c r="O195" s="1">
        <f t="shared" si="16"/>
        <v>19.700000000000003</v>
      </c>
      <c r="P195" s="1">
        <v>14</v>
      </c>
      <c r="Q195" s="1">
        <v>1088</v>
      </c>
      <c r="R195" s="1" t="str">
        <f t="shared" ref="R195:R258" si="19">IF(Q195="","No ICSEA",IF(Q195&lt;900,"1",IF(Q195&lt;1000,"2",IF(Q195&lt;1100,"3","4"))))</f>
        <v>3</v>
      </c>
      <c r="S195" s="1">
        <v>47</v>
      </c>
      <c r="T195" s="1" t="str">
        <f t="shared" si="17"/>
        <v>3</v>
      </c>
      <c r="U195" s="1">
        <v>-34.053432999999998</v>
      </c>
      <c r="V195" s="3">
        <v>151.12298799999999</v>
      </c>
    </row>
    <row r="196" spans="1:22" x14ac:dyDescent="0.35">
      <c r="A196" s="22" t="s">
        <v>739</v>
      </c>
      <c r="B196" s="1" t="s">
        <v>740</v>
      </c>
      <c r="C196" s="1" t="s">
        <v>741</v>
      </c>
      <c r="D196" s="1" t="s">
        <v>224</v>
      </c>
      <c r="E196" s="1" t="s">
        <v>229</v>
      </c>
      <c r="F196" s="1" t="s">
        <v>47</v>
      </c>
      <c r="G196" s="1">
        <f t="shared" si="15"/>
        <v>1</v>
      </c>
      <c r="H196" s="1" t="s">
        <v>48</v>
      </c>
      <c r="I196" s="1" t="s">
        <v>49</v>
      </c>
      <c r="J196" s="23" t="s">
        <v>50</v>
      </c>
      <c r="K196" s="2" t="s">
        <v>51</v>
      </c>
      <c r="L196" s="1">
        <v>599</v>
      </c>
      <c r="M196" s="1"/>
      <c r="N196" s="1" t="str">
        <f t="shared" si="18"/>
        <v>Suppressed</v>
      </c>
      <c r="O196" s="1" t="str">
        <f t="shared" si="16"/>
        <v/>
      </c>
      <c r="P196" s="1">
        <v>89</v>
      </c>
      <c r="Q196" s="1">
        <v>1041</v>
      </c>
      <c r="R196" s="1" t="str">
        <f t="shared" si="19"/>
        <v>3</v>
      </c>
      <c r="S196" s="1">
        <v>67</v>
      </c>
      <c r="T196" s="1" t="str">
        <f t="shared" si="17"/>
        <v>3</v>
      </c>
      <c r="U196" s="1">
        <v>-33.963495999999999</v>
      </c>
      <c r="V196" s="3">
        <v>151.12245999999999</v>
      </c>
    </row>
    <row r="197" spans="1:22" x14ac:dyDescent="0.35">
      <c r="A197" s="22" t="s">
        <v>742</v>
      </c>
      <c r="B197" s="1" t="s">
        <v>743</v>
      </c>
      <c r="C197" s="1" t="s">
        <v>744</v>
      </c>
      <c r="D197" s="1" t="s">
        <v>386</v>
      </c>
      <c r="E197" s="1" t="s">
        <v>229</v>
      </c>
      <c r="F197" s="1" t="s">
        <v>47</v>
      </c>
      <c r="G197" s="1">
        <f t="shared" si="15"/>
        <v>1</v>
      </c>
      <c r="H197" s="1" t="s">
        <v>48</v>
      </c>
      <c r="I197" s="1" t="s">
        <v>49</v>
      </c>
      <c r="J197" s="23" t="s">
        <v>50</v>
      </c>
      <c r="K197" s="2" t="s">
        <v>51</v>
      </c>
      <c r="L197" s="1">
        <v>514</v>
      </c>
      <c r="M197" s="1"/>
      <c r="N197" s="1" t="str">
        <f t="shared" si="18"/>
        <v>Suppressed</v>
      </c>
      <c r="O197" s="1" t="str">
        <f t="shared" si="16"/>
        <v/>
      </c>
      <c r="P197" s="1">
        <v>78</v>
      </c>
      <c r="Q197" s="1">
        <v>1064</v>
      </c>
      <c r="R197" s="1" t="str">
        <f t="shared" si="19"/>
        <v>3</v>
      </c>
      <c r="S197" s="1">
        <v>53</v>
      </c>
      <c r="T197" s="1" t="str">
        <f t="shared" si="17"/>
        <v>3</v>
      </c>
      <c r="U197" s="1">
        <v>-33.973044999999999</v>
      </c>
      <c r="V197" s="3">
        <v>151.128287</v>
      </c>
    </row>
    <row r="198" spans="1:22" x14ac:dyDescent="0.35">
      <c r="A198" s="22" t="s">
        <v>745</v>
      </c>
      <c r="B198" s="1" t="s">
        <v>746</v>
      </c>
      <c r="C198" s="1" t="s">
        <v>747</v>
      </c>
      <c r="D198" s="1" t="s">
        <v>74</v>
      </c>
      <c r="E198" s="1" t="s">
        <v>75</v>
      </c>
      <c r="F198" s="1" t="s">
        <v>47</v>
      </c>
      <c r="G198" s="1">
        <f t="shared" si="15"/>
        <v>1</v>
      </c>
      <c r="H198" s="1" t="s">
        <v>63</v>
      </c>
      <c r="I198" s="1" t="s">
        <v>49</v>
      </c>
      <c r="J198" s="23" t="s">
        <v>50</v>
      </c>
      <c r="K198" s="2" t="s">
        <v>51</v>
      </c>
      <c r="L198" s="1">
        <v>110</v>
      </c>
      <c r="M198" s="1">
        <v>22</v>
      </c>
      <c r="N198" s="1" t="str">
        <f t="shared" si="18"/>
        <v>Published</v>
      </c>
      <c r="O198" s="1">
        <f t="shared" si="16"/>
        <v>24.2</v>
      </c>
      <c r="P198" s="1">
        <v>6</v>
      </c>
      <c r="Q198" s="1">
        <v>996</v>
      </c>
      <c r="R198" s="1" t="str">
        <f t="shared" si="19"/>
        <v>2</v>
      </c>
      <c r="S198" s="1">
        <v>64</v>
      </c>
      <c r="T198" s="1" t="str">
        <f t="shared" si="17"/>
        <v>2</v>
      </c>
      <c r="U198" s="1">
        <v>-32.912446000000003</v>
      </c>
      <c r="V198" s="3">
        <v>151.76532800000001</v>
      </c>
    </row>
    <row r="199" spans="1:22" x14ac:dyDescent="0.35">
      <c r="A199" s="22" t="s">
        <v>748</v>
      </c>
      <c r="B199" s="1" t="s">
        <v>749</v>
      </c>
      <c r="C199" s="1" t="s">
        <v>750</v>
      </c>
      <c r="D199" s="1" t="s">
        <v>751</v>
      </c>
      <c r="E199" s="1" t="s">
        <v>91</v>
      </c>
      <c r="F199" s="1" t="s">
        <v>69</v>
      </c>
      <c r="G199" s="1">
        <f t="shared" si="15"/>
        <v>3</v>
      </c>
      <c r="H199" s="1" t="s">
        <v>92</v>
      </c>
      <c r="I199" s="1" t="s">
        <v>49</v>
      </c>
      <c r="J199" s="23" t="s">
        <v>50</v>
      </c>
      <c r="K199" s="2" t="s">
        <v>51</v>
      </c>
      <c r="L199" s="1">
        <v>46</v>
      </c>
      <c r="M199" s="1">
        <v>20</v>
      </c>
      <c r="N199" s="1" t="str">
        <f t="shared" si="18"/>
        <v>Published</v>
      </c>
      <c r="O199" s="1">
        <f t="shared" si="16"/>
        <v>9.2000000000000011</v>
      </c>
      <c r="P199" s="1"/>
      <c r="Q199" s="1">
        <v>987</v>
      </c>
      <c r="R199" s="1" t="str">
        <f t="shared" si="19"/>
        <v>2</v>
      </c>
      <c r="S199" s="1">
        <v>79</v>
      </c>
      <c r="T199" s="1" t="str">
        <f t="shared" si="17"/>
        <v>1</v>
      </c>
      <c r="U199" s="1">
        <v>-30.986073999999999</v>
      </c>
      <c r="V199" s="3">
        <v>150.44709599999999</v>
      </c>
    </row>
    <row r="200" spans="1:22" x14ac:dyDescent="0.35">
      <c r="A200" s="22" t="s">
        <v>752</v>
      </c>
      <c r="B200" s="1" t="s">
        <v>753</v>
      </c>
      <c r="C200" s="1" t="s">
        <v>754</v>
      </c>
      <c r="D200" s="1" t="s">
        <v>587</v>
      </c>
      <c r="E200" s="1" t="s">
        <v>107</v>
      </c>
      <c r="F200" s="1" t="s">
        <v>57</v>
      </c>
      <c r="G200" s="1">
        <f t="shared" si="15"/>
        <v>2</v>
      </c>
      <c r="H200" s="1" t="s">
        <v>92</v>
      </c>
      <c r="I200" s="1" t="s">
        <v>49</v>
      </c>
      <c r="J200" s="23" t="s">
        <v>50</v>
      </c>
      <c r="K200" s="2" t="s">
        <v>51</v>
      </c>
      <c r="L200" s="1">
        <v>428</v>
      </c>
      <c r="M200" s="1">
        <v>37</v>
      </c>
      <c r="N200" s="1" t="str">
        <f t="shared" si="18"/>
        <v>Published</v>
      </c>
      <c r="O200" s="1">
        <f t="shared" si="16"/>
        <v>158.35999999999999</v>
      </c>
      <c r="P200" s="1">
        <v>4</v>
      </c>
      <c r="Q200" s="1">
        <v>860</v>
      </c>
      <c r="R200" s="1" t="str">
        <f t="shared" si="19"/>
        <v>1</v>
      </c>
      <c r="S200" s="1">
        <v>158</v>
      </c>
      <c r="T200" s="1" t="str">
        <f t="shared" si="17"/>
        <v>3</v>
      </c>
      <c r="U200" s="1">
        <v>-28.867384000000001</v>
      </c>
      <c r="V200" s="3">
        <v>153.04805300000001</v>
      </c>
    </row>
    <row r="201" spans="1:22" x14ac:dyDescent="0.35">
      <c r="A201" s="22" t="s">
        <v>755</v>
      </c>
      <c r="B201" s="1" t="s">
        <v>756</v>
      </c>
      <c r="C201" s="1" t="s">
        <v>757</v>
      </c>
      <c r="D201" s="1" t="s">
        <v>55</v>
      </c>
      <c r="E201" s="1" t="s">
        <v>56</v>
      </c>
      <c r="F201" s="1" t="s">
        <v>69</v>
      </c>
      <c r="G201" s="1">
        <f t="shared" si="15"/>
        <v>3</v>
      </c>
      <c r="H201" s="1" t="s">
        <v>58</v>
      </c>
      <c r="I201" s="1" t="s">
        <v>49</v>
      </c>
      <c r="J201" s="23" t="s">
        <v>50</v>
      </c>
      <c r="K201" s="2" t="s">
        <v>51</v>
      </c>
      <c r="L201" s="1">
        <v>11</v>
      </c>
      <c r="M201" s="1"/>
      <c r="N201" s="1" t="str">
        <f t="shared" si="18"/>
        <v>Suppressed</v>
      </c>
      <c r="O201" s="1" t="str">
        <f t="shared" si="16"/>
        <v/>
      </c>
      <c r="P201" s="1">
        <v>0</v>
      </c>
      <c r="Q201" s="1">
        <v>959</v>
      </c>
      <c r="R201" s="1" t="str">
        <f t="shared" si="19"/>
        <v>2</v>
      </c>
      <c r="S201" s="1">
        <v>54</v>
      </c>
      <c r="T201" s="1" t="str">
        <f t="shared" si="17"/>
        <v>1</v>
      </c>
      <c r="U201" s="1">
        <v>-32.004551999999997</v>
      </c>
      <c r="V201" s="3">
        <v>149.97807499999999</v>
      </c>
    </row>
    <row r="202" spans="1:22" x14ac:dyDescent="0.35">
      <c r="A202" s="22" t="s">
        <v>758</v>
      </c>
      <c r="B202" s="1" t="s">
        <v>759</v>
      </c>
      <c r="C202" s="1" t="s">
        <v>760</v>
      </c>
      <c r="D202" s="1" t="s">
        <v>761</v>
      </c>
      <c r="E202" s="1" t="s">
        <v>127</v>
      </c>
      <c r="F202" s="1" t="s">
        <v>47</v>
      </c>
      <c r="G202" s="1">
        <f t="shared" si="15"/>
        <v>1</v>
      </c>
      <c r="H202" s="1" t="s">
        <v>148</v>
      </c>
      <c r="I202" s="1" t="s">
        <v>49</v>
      </c>
      <c r="J202" s="23" t="s">
        <v>50</v>
      </c>
      <c r="K202" s="2" t="s">
        <v>51</v>
      </c>
      <c r="L202" s="1">
        <v>970</v>
      </c>
      <c r="M202" s="1"/>
      <c r="N202" s="1" t="str">
        <f t="shared" si="18"/>
        <v>Suppressed</v>
      </c>
      <c r="O202" s="1" t="str">
        <f t="shared" si="16"/>
        <v/>
      </c>
      <c r="P202" s="1">
        <v>83</v>
      </c>
      <c r="Q202" s="1">
        <v>1128</v>
      </c>
      <c r="R202" s="1" t="str">
        <f t="shared" si="19"/>
        <v>4</v>
      </c>
      <c r="S202" s="1">
        <v>14</v>
      </c>
      <c r="T202" s="1" t="str">
        <f t="shared" si="17"/>
        <v>4</v>
      </c>
      <c r="U202" s="1">
        <v>-33.727887000000003</v>
      </c>
      <c r="V202" s="3">
        <v>151.00466299999999</v>
      </c>
    </row>
    <row r="203" spans="1:22" x14ac:dyDescent="0.35">
      <c r="A203" s="22" t="s">
        <v>762</v>
      </c>
      <c r="B203" s="1" t="s">
        <v>763</v>
      </c>
      <c r="C203" s="1" t="s">
        <v>764</v>
      </c>
      <c r="D203" s="1" t="s">
        <v>404</v>
      </c>
      <c r="E203" s="1" t="s">
        <v>127</v>
      </c>
      <c r="F203" s="1" t="s">
        <v>57</v>
      </c>
      <c r="G203" s="1">
        <f t="shared" si="15"/>
        <v>2</v>
      </c>
      <c r="H203" s="1" t="s">
        <v>63</v>
      </c>
      <c r="I203" s="1" t="s">
        <v>49</v>
      </c>
      <c r="J203" s="23" t="s">
        <v>50</v>
      </c>
      <c r="K203" s="2" t="s">
        <v>51</v>
      </c>
      <c r="L203" s="1">
        <v>57</v>
      </c>
      <c r="M203" s="1"/>
      <c r="N203" s="1" t="str">
        <f t="shared" si="18"/>
        <v>Suppressed</v>
      </c>
      <c r="O203" s="1" t="str">
        <f t="shared" si="16"/>
        <v/>
      </c>
      <c r="P203" s="1">
        <v>16</v>
      </c>
      <c r="Q203" s="1">
        <v>990</v>
      </c>
      <c r="R203" s="1" t="str">
        <f t="shared" si="19"/>
        <v>2</v>
      </c>
      <c r="S203" s="1">
        <v>92</v>
      </c>
      <c r="T203" s="1" t="str">
        <f t="shared" si="17"/>
        <v>1</v>
      </c>
      <c r="U203" s="1">
        <v>-33.558762000000002</v>
      </c>
      <c r="V203" s="3">
        <v>150.906904</v>
      </c>
    </row>
    <row r="204" spans="1:22" x14ac:dyDescent="0.35">
      <c r="A204" s="22" t="s">
        <v>765</v>
      </c>
      <c r="B204" s="1" t="s">
        <v>766</v>
      </c>
      <c r="C204" s="1" t="s">
        <v>767</v>
      </c>
      <c r="D204" s="1" t="s">
        <v>121</v>
      </c>
      <c r="E204" s="1" t="s">
        <v>122</v>
      </c>
      <c r="F204" s="1" t="s">
        <v>47</v>
      </c>
      <c r="G204" s="1">
        <f t="shared" si="15"/>
        <v>1</v>
      </c>
      <c r="H204" s="1" t="s">
        <v>86</v>
      </c>
      <c r="I204" s="1" t="s">
        <v>49</v>
      </c>
      <c r="J204" s="23" t="s">
        <v>50</v>
      </c>
      <c r="K204" s="2" t="s">
        <v>51</v>
      </c>
      <c r="L204" s="1">
        <v>76</v>
      </c>
      <c r="M204" s="1">
        <v>11</v>
      </c>
      <c r="N204" s="1" t="str">
        <f t="shared" si="18"/>
        <v>Published</v>
      </c>
      <c r="O204" s="1">
        <f t="shared" si="16"/>
        <v>8.36</v>
      </c>
      <c r="P204" s="1">
        <v>10</v>
      </c>
      <c r="Q204" s="1">
        <v>982</v>
      </c>
      <c r="R204" s="1" t="str">
        <f t="shared" si="19"/>
        <v>2</v>
      </c>
      <c r="S204" s="1">
        <v>101</v>
      </c>
      <c r="T204" s="1" t="str">
        <f t="shared" si="17"/>
        <v>1</v>
      </c>
      <c r="U204" s="1">
        <v>-34.109710999999997</v>
      </c>
      <c r="V204" s="3">
        <v>150.67372700000001</v>
      </c>
    </row>
    <row r="205" spans="1:22" x14ac:dyDescent="0.35">
      <c r="A205" s="22" t="s">
        <v>768</v>
      </c>
      <c r="B205" s="1" t="s">
        <v>769</v>
      </c>
      <c r="C205" s="1" t="s">
        <v>62</v>
      </c>
      <c r="D205" s="1" t="s">
        <v>62</v>
      </c>
      <c r="E205" s="1" t="s">
        <v>56</v>
      </c>
      <c r="F205" s="1" t="s">
        <v>47</v>
      </c>
      <c r="G205" s="1">
        <f t="shared" si="15"/>
        <v>1</v>
      </c>
      <c r="H205" s="1" t="s">
        <v>63</v>
      </c>
      <c r="I205" s="1" t="s">
        <v>49</v>
      </c>
      <c r="J205" s="23" t="s">
        <v>50</v>
      </c>
      <c r="K205" s="2" t="s">
        <v>51</v>
      </c>
      <c r="L205" s="1">
        <v>276</v>
      </c>
      <c r="M205" s="1">
        <v>30</v>
      </c>
      <c r="N205" s="1" t="str">
        <f t="shared" si="18"/>
        <v>Published</v>
      </c>
      <c r="O205" s="1">
        <f t="shared" si="16"/>
        <v>82.8</v>
      </c>
      <c r="P205" s="1">
        <v>7</v>
      </c>
      <c r="Q205" s="1">
        <v>876</v>
      </c>
      <c r="R205" s="1" t="str">
        <f t="shared" si="19"/>
        <v>1</v>
      </c>
      <c r="S205" s="1">
        <v>150</v>
      </c>
      <c r="T205" s="1" t="str">
        <f t="shared" si="17"/>
        <v>2</v>
      </c>
      <c r="U205" s="1">
        <v>-32.840404999999997</v>
      </c>
      <c r="V205" s="3">
        <v>151.36380800000001</v>
      </c>
    </row>
    <row r="206" spans="1:22" x14ac:dyDescent="0.35">
      <c r="A206" s="22" t="s">
        <v>770</v>
      </c>
      <c r="B206" s="1" t="s">
        <v>771</v>
      </c>
      <c r="C206" s="1" t="s">
        <v>62</v>
      </c>
      <c r="D206" s="1" t="s">
        <v>62</v>
      </c>
      <c r="E206" s="1" t="s">
        <v>56</v>
      </c>
      <c r="F206" s="1" t="s">
        <v>47</v>
      </c>
      <c r="G206" s="1">
        <f t="shared" si="15"/>
        <v>1</v>
      </c>
      <c r="H206" s="1" t="s">
        <v>63</v>
      </c>
      <c r="I206" s="1" t="s">
        <v>49</v>
      </c>
      <c r="J206" s="23" t="s">
        <v>50</v>
      </c>
      <c r="K206" s="2" t="s">
        <v>51</v>
      </c>
      <c r="L206" s="1">
        <v>215</v>
      </c>
      <c r="M206" s="1">
        <v>43</v>
      </c>
      <c r="N206" s="1" t="str">
        <f t="shared" si="18"/>
        <v>Published</v>
      </c>
      <c r="O206" s="1">
        <f t="shared" si="16"/>
        <v>92.45</v>
      </c>
      <c r="P206" s="1"/>
      <c r="Q206" s="1">
        <v>835</v>
      </c>
      <c r="R206" s="1" t="str">
        <f t="shared" si="19"/>
        <v>1</v>
      </c>
      <c r="S206" s="1">
        <v>175</v>
      </c>
      <c r="T206" s="1" t="str">
        <f t="shared" si="17"/>
        <v>2</v>
      </c>
      <c r="U206" s="1">
        <v>-32.827606000000003</v>
      </c>
      <c r="V206" s="3">
        <v>151.36974599999999</v>
      </c>
    </row>
    <row r="207" spans="1:22" x14ac:dyDescent="0.35">
      <c r="A207" s="22" t="s">
        <v>772</v>
      </c>
      <c r="B207" s="1" t="s">
        <v>773</v>
      </c>
      <c r="C207" s="1" t="s">
        <v>62</v>
      </c>
      <c r="D207" s="1" t="s">
        <v>62</v>
      </c>
      <c r="E207" s="1" t="s">
        <v>56</v>
      </c>
      <c r="F207" s="1" t="s">
        <v>47</v>
      </c>
      <c r="G207" s="1">
        <f t="shared" si="15"/>
        <v>1</v>
      </c>
      <c r="H207" s="1" t="s">
        <v>63</v>
      </c>
      <c r="I207" s="1" t="s">
        <v>49</v>
      </c>
      <c r="J207" s="23" t="s">
        <v>50</v>
      </c>
      <c r="K207" s="2" t="s">
        <v>51</v>
      </c>
      <c r="L207" s="1">
        <v>399</v>
      </c>
      <c r="M207" s="1">
        <v>30</v>
      </c>
      <c r="N207" s="1" t="str">
        <f t="shared" si="18"/>
        <v>Published</v>
      </c>
      <c r="O207" s="1">
        <f t="shared" si="16"/>
        <v>119.69999999999999</v>
      </c>
      <c r="P207" s="1">
        <v>9</v>
      </c>
      <c r="Q207" s="1">
        <v>884</v>
      </c>
      <c r="R207" s="1" t="str">
        <f t="shared" si="19"/>
        <v>1</v>
      </c>
      <c r="S207" s="1">
        <v>152</v>
      </c>
      <c r="T207" s="1" t="str">
        <f t="shared" si="17"/>
        <v>3</v>
      </c>
      <c r="U207" s="1">
        <v>-32.838386999999997</v>
      </c>
      <c r="V207" s="3">
        <v>151.344863</v>
      </c>
    </row>
    <row r="208" spans="1:22" x14ac:dyDescent="0.35">
      <c r="A208" s="22" t="s">
        <v>774</v>
      </c>
      <c r="B208" s="1" t="s">
        <v>775</v>
      </c>
      <c r="C208" s="1" t="s">
        <v>776</v>
      </c>
      <c r="D208" s="1" t="s">
        <v>139</v>
      </c>
      <c r="E208" s="1" t="s">
        <v>91</v>
      </c>
      <c r="F208" s="1" t="s">
        <v>69</v>
      </c>
      <c r="G208" s="1">
        <f t="shared" si="15"/>
        <v>3</v>
      </c>
      <c r="H208" s="1" t="s">
        <v>92</v>
      </c>
      <c r="I208" s="1" t="s">
        <v>49</v>
      </c>
      <c r="J208" s="23" t="s">
        <v>50</v>
      </c>
      <c r="K208" s="2" t="s">
        <v>51</v>
      </c>
      <c r="L208" s="1">
        <v>4</v>
      </c>
      <c r="M208" s="1">
        <v>0</v>
      </c>
      <c r="N208" s="1" t="str">
        <f t="shared" si="18"/>
        <v>Published</v>
      </c>
      <c r="O208" s="1">
        <f t="shared" si="16"/>
        <v>0</v>
      </c>
      <c r="P208" s="1"/>
      <c r="Q208" s="1"/>
      <c r="R208" s="1" t="str">
        <f t="shared" si="19"/>
        <v>No ICSEA</v>
      </c>
      <c r="S208" s="1">
        <v>137</v>
      </c>
      <c r="T208" s="1" t="str">
        <f t="shared" si="17"/>
        <v>1</v>
      </c>
      <c r="U208" s="1">
        <v>-30.518553000000001</v>
      </c>
      <c r="V208" s="3">
        <v>152.053551</v>
      </c>
    </row>
    <row r="209" spans="1:22" x14ac:dyDescent="0.35">
      <c r="A209" s="22" t="s">
        <v>777</v>
      </c>
      <c r="B209" s="1" t="s">
        <v>778</v>
      </c>
      <c r="C209" s="1" t="s">
        <v>779</v>
      </c>
      <c r="D209" s="1" t="s">
        <v>390</v>
      </c>
      <c r="E209" s="1" t="s">
        <v>107</v>
      </c>
      <c r="F209" s="1" t="s">
        <v>57</v>
      </c>
      <c r="G209" s="1">
        <f t="shared" si="15"/>
        <v>2</v>
      </c>
      <c r="H209" s="1" t="s">
        <v>92</v>
      </c>
      <c r="I209" s="1" t="s">
        <v>49</v>
      </c>
      <c r="J209" s="23" t="s">
        <v>50</v>
      </c>
      <c r="K209" s="2" t="s">
        <v>51</v>
      </c>
      <c r="L209" s="1">
        <v>25</v>
      </c>
      <c r="M209" s="1"/>
      <c r="N209" s="1" t="str">
        <f t="shared" si="18"/>
        <v>Suppressed</v>
      </c>
      <c r="O209" s="1" t="str">
        <f t="shared" si="16"/>
        <v/>
      </c>
      <c r="P209" s="1"/>
      <c r="Q209" s="1">
        <v>1019</v>
      </c>
      <c r="R209" s="1" t="str">
        <f t="shared" si="19"/>
        <v>3</v>
      </c>
      <c r="S209" s="1">
        <v>56</v>
      </c>
      <c r="T209" s="1" t="str">
        <f t="shared" si="17"/>
        <v>1</v>
      </c>
      <c r="U209" s="1">
        <v>-28.675098999999999</v>
      </c>
      <c r="V209" s="3">
        <v>153.28028800000001</v>
      </c>
    </row>
    <row r="210" spans="1:22" x14ac:dyDescent="0.35">
      <c r="A210" s="22" t="s">
        <v>780</v>
      </c>
      <c r="B210" s="1" t="s">
        <v>781</v>
      </c>
      <c r="C210" s="1" t="s">
        <v>782</v>
      </c>
      <c r="D210" s="1" t="s">
        <v>191</v>
      </c>
      <c r="E210" s="1" t="s">
        <v>75</v>
      </c>
      <c r="F210" s="1" t="s">
        <v>47</v>
      </c>
      <c r="G210" s="1">
        <f t="shared" si="15"/>
        <v>1</v>
      </c>
      <c r="H210" s="1" t="s">
        <v>63</v>
      </c>
      <c r="I210" s="1" t="s">
        <v>49</v>
      </c>
      <c r="J210" s="23" t="s">
        <v>50</v>
      </c>
      <c r="K210" s="2" t="s">
        <v>51</v>
      </c>
      <c r="L210" s="1">
        <v>234</v>
      </c>
      <c r="M210" s="1">
        <v>11</v>
      </c>
      <c r="N210" s="1" t="str">
        <f t="shared" si="18"/>
        <v>Published</v>
      </c>
      <c r="O210" s="1">
        <f t="shared" si="16"/>
        <v>25.74</v>
      </c>
      <c r="P210" s="1">
        <v>21</v>
      </c>
      <c r="Q210" s="1">
        <v>1037</v>
      </c>
      <c r="R210" s="1" t="str">
        <f t="shared" si="19"/>
        <v>3</v>
      </c>
      <c r="S210" s="1">
        <v>66</v>
      </c>
      <c r="T210" s="1" t="str">
        <f t="shared" si="17"/>
        <v>2</v>
      </c>
      <c r="U210" s="1">
        <v>-32.965494</v>
      </c>
      <c r="V210" s="3">
        <v>151.697486</v>
      </c>
    </row>
    <row r="211" spans="1:22" x14ac:dyDescent="0.35">
      <c r="A211" s="22" t="s">
        <v>783</v>
      </c>
      <c r="B211" s="1" t="s">
        <v>784</v>
      </c>
      <c r="C211" s="1" t="s">
        <v>785</v>
      </c>
      <c r="D211" s="1" t="s">
        <v>275</v>
      </c>
      <c r="E211" s="1" t="s">
        <v>276</v>
      </c>
      <c r="F211" s="1" t="s">
        <v>57</v>
      </c>
      <c r="G211" s="1">
        <f t="shared" si="15"/>
        <v>2</v>
      </c>
      <c r="H211" s="1" t="s">
        <v>58</v>
      </c>
      <c r="I211" s="1" t="s">
        <v>49</v>
      </c>
      <c r="J211" s="23" t="s">
        <v>50</v>
      </c>
      <c r="K211" s="2" t="s">
        <v>51</v>
      </c>
      <c r="L211" s="1">
        <v>247</v>
      </c>
      <c r="M211" s="1">
        <v>8</v>
      </c>
      <c r="N211" s="1" t="str">
        <f t="shared" si="18"/>
        <v>Published</v>
      </c>
      <c r="O211" s="1">
        <f t="shared" si="16"/>
        <v>19.760000000000002</v>
      </c>
      <c r="P211" s="1">
        <v>11</v>
      </c>
      <c r="Q211" s="1">
        <v>1007</v>
      </c>
      <c r="R211" s="1" t="str">
        <f t="shared" si="19"/>
        <v>3</v>
      </c>
      <c r="S211" s="1">
        <v>82</v>
      </c>
      <c r="T211" s="1" t="str">
        <f t="shared" si="17"/>
        <v>2</v>
      </c>
      <c r="U211" s="1">
        <v>-32.341023</v>
      </c>
      <c r="V211" s="3">
        <v>152.53930600000001</v>
      </c>
    </row>
    <row r="212" spans="1:22" x14ac:dyDescent="0.35">
      <c r="A212" s="22" t="s">
        <v>786</v>
      </c>
      <c r="B212" s="1" t="s">
        <v>787</v>
      </c>
      <c r="C212" s="1" t="s">
        <v>788</v>
      </c>
      <c r="D212" s="1" t="s">
        <v>280</v>
      </c>
      <c r="E212" s="1" t="s">
        <v>281</v>
      </c>
      <c r="F212" s="1" t="s">
        <v>57</v>
      </c>
      <c r="G212" s="1">
        <f t="shared" si="15"/>
        <v>2</v>
      </c>
      <c r="H212" s="1" t="s">
        <v>92</v>
      </c>
      <c r="I212" s="1" t="s">
        <v>49</v>
      </c>
      <c r="J212" s="23" t="s">
        <v>50</v>
      </c>
      <c r="K212" s="2" t="s">
        <v>51</v>
      </c>
      <c r="L212" s="1">
        <v>83</v>
      </c>
      <c r="M212" s="1"/>
      <c r="N212" s="1" t="str">
        <f t="shared" si="18"/>
        <v>Suppressed</v>
      </c>
      <c r="O212" s="1" t="str">
        <f t="shared" si="16"/>
        <v/>
      </c>
      <c r="P212" s="1">
        <v>0</v>
      </c>
      <c r="Q212" s="1">
        <v>977</v>
      </c>
      <c r="R212" s="1" t="str">
        <f t="shared" si="19"/>
        <v>2</v>
      </c>
      <c r="S212" s="1">
        <v>99</v>
      </c>
      <c r="T212" s="1" t="str">
        <f t="shared" si="17"/>
        <v>1</v>
      </c>
      <c r="U212" s="1">
        <v>-29.387954000000001</v>
      </c>
      <c r="V212" s="3">
        <v>153.23164499999999</v>
      </c>
    </row>
    <row r="213" spans="1:22" x14ac:dyDescent="0.35">
      <c r="A213" s="22" t="s">
        <v>789</v>
      </c>
      <c r="B213" s="1" t="s">
        <v>790</v>
      </c>
      <c r="C213" s="1" t="s">
        <v>791</v>
      </c>
      <c r="D213" s="1" t="s">
        <v>236</v>
      </c>
      <c r="E213" s="1" t="s">
        <v>107</v>
      </c>
      <c r="F213" s="1" t="s">
        <v>57</v>
      </c>
      <c r="G213" s="1">
        <f t="shared" si="15"/>
        <v>2</v>
      </c>
      <c r="H213" s="1" t="s">
        <v>92</v>
      </c>
      <c r="I213" s="1" t="s">
        <v>49</v>
      </c>
      <c r="J213" s="23" t="s">
        <v>50</v>
      </c>
      <c r="K213" s="2" t="s">
        <v>51</v>
      </c>
      <c r="L213" s="1">
        <v>35</v>
      </c>
      <c r="M213" s="1"/>
      <c r="N213" s="1" t="str">
        <f t="shared" si="18"/>
        <v>Suppressed</v>
      </c>
      <c r="O213" s="1" t="str">
        <f t="shared" si="16"/>
        <v/>
      </c>
      <c r="P213" s="1">
        <v>0</v>
      </c>
      <c r="Q213" s="1">
        <v>1005</v>
      </c>
      <c r="R213" s="1" t="str">
        <f t="shared" si="19"/>
        <v>3</v>
      </c>
      <c r="S213" s="1">
        <v>89</v>
      </c>
      <c r="T213" s="1" t="str">
        <f t="shared" si="17"/>
        <v>1</v>
      </c>
      <c r="U213" s="1">
        <v>-28.311937</v>
      </c>
      <c r="V213" s="3">
        <v>153.27556899999999</v>
      </c>
    </row>
    <row r="214" spans="1:22" x14ac:dyDescent="0.35">
      <c r="A214" s="22" t="s">
        <v>792</v>
      </c>
      <c r="B214" s="1" t="s">
        <v>793</v>
      </c>
      <c r="C214" s="1" t="s">
        <v>794</v>
      </c>
      <c r="D214" s="1" t="s">
        <v>180</v>
      </c>
      <c r="E214" s="1" t="s">
        <v>181</v>
      </c>
      <c r="F214" s="1" t="s">
        <v>47</v>
      </c>
      <c r="G214" s="1">
        <f t="shared" si="15"/>
        <v>1</v>
      </c>
      <c r="H214" s="1" t="s">
        <v>182</v>
      </c>
      <c r="I214" s="1" t="s">
        <v>49</v>
      </c>
      <c r="J214" s="23" t="s">
        <v>50</v>
      </c>
      <c r="K214" s="2" t="s">
        <v>51</v>
      </c>
      <c r="L214" s="1">
        <v>333</v>
      </c>
      <c r="M214" s="1">
        <v>6</v>
      </c>
      <c r="N214" s="1" t="str">
        <f t="shared" si="18"/>
        <v>Published</v>
      </c>
      <c r="O214" s="1">
        <f t="shared" si="16"/>
        <v>19.98</v>
      </c>
      <c r="P214" s="1">
        <v>59</v>
      </c>
      <c r="Q214" s="1">
        <v>1018</v>
      </c>
      <c r="R214" s="1" t="str">
        <f t="shared" si="19"/>
        <v>3</v>
      </c>
      <c r="S214" s="1">
        <v>93</v>
      </c>
      <c r="T214" s="1" t="str">
        <f t="shared" si="17"/>
        <v>3</v>
      </c>
      <c r="U214" s="1">
        <v>-33.909108000000003</v>
      </c>
      <c r="V214" s="3">
        <v>150.96084999999999</v>
      </c>
    </row>
    <row r="215" spans="1:22" x14ac:dyDescent="0.35">
      <c r="A215" s="22" t="s">
        <v>795</v>
      </c>
      <c r="B215" s="1" t="s">
        <v>796</v>
      </c>
      <c r="C215" s="1" t="s">
        <v>797</v>
      </c>
      <c r="D215" s="1" t="s">
        <v>798</v>
      </c>
      <c r="E215" s="1" t="s">
        <v>56</v>
      </c>
      <c r="F215" s="1" t="s">
        <v>57</v>
      </c>
      <c r="G215" s="1">
        <f t="shared" si="15"/>
        <v>2</v>
      </c>
      <c r="H215" s="1" t="s">
        <v>58</v>
      </c>
      <c r="I215" s="1" t="s">
        <v>49</v>
      </c>
      <c r="J215" s="23" t="s">
        <v>50</v>
      </c>
      <c r="K215" s="2" t="s">
        <v>51</v>
      </c>
      <c r="L215" s="1">
        <v>158</v>
      </c>
      <c r="M215" s="1">
        <v>10</v>
      </c>
      <c r="N215" s="1" t="str">
        <f t="shared" si="18"/>
        <v>Published</v>
      </c>
      <c r="O215" s="1">
        <f t="shared" si="16"/>
        <v>15.8</v>
      </c>
      <c r="P215" s="1"/>
      <c r="Q215" s="1">
        <v>980</v>
      </c>
      <c r="R215" s="1" t="str">
        <f t="shared" si="19"/>
        <v>2</v>
      </c>
      <c r="S215" s="1">
        <v>110</v>
      </c>
      <c r="T215" s="1" t="str">
        <f t="shared" si="17"/>
        <v>2</v>
      </c>
      <c r="U215" s="1">
        <v>-32.588731000000003</v>
      </c>
      <c r="V215" s="3">
        <v>151.777207</v>
      </c>
    </row>
    <row r="216" spans="1:22" x14ac:dyDescent="0.35">
      <c r="A216" s="22" t="s">
        <v>799</v>
      </c>
      <c r="B216" s="1" t="s">
        <v>800</v>
      </c>
      <c r="C216" s="1" t="s">
        <v>801</v>
      </c>
      <c r="D216" s="1" t="s">
        <v>152</v>
      </c>
      <c r="E216" s="1" t="s">
        <v>229</v>
      </c>
      <c r="F216" s="1" t="s">
        <v>47</v>
      </c>
      <c r="G216" s="1">
        <f t="shared" si="15"/>
        <v>1</v>
      </c>
      <c r="H216" s="1" t="s">
        <v>48</v>
      </c>
      <c r="I216" s="1" t="s">
        <v>49</v>
      </c>
      <c r="J216" s="23" t="s">
        <v>50</v>
      </c>
      <c r="K216" s="2" t="s">
        <v>51</v>
      </c>
      <c r="L216" s="1">
        <v>500</v>
      </c>
      <c r="M216" s="1">
        <v>3</v>
      </c>
      <c r="N216" s="1" t="str">
        <f t="shared" si="18"/>
        <v>Published</v>
      </c>
      <c r="O216" s="1">
        <f t="shared" si="16"/>
        <v>15</v>
      </c>
      <c r="P216" s="1">
        <v>84</v>
      </c>
      <c r="Q216" s="1">
        <v>1038</v>
      </c>
      <c r="R216" s="1" t="str">
        <f t="shared" si="19"/>
        <v>3</v>
      </c>
      <c r="S216" s="1">
        <v>81</v>
      </c>
      <c r="T216" s="1" t="str">
        <f t="shared" si="17"/>
        <v>3</v>
      </c>
      <c r="U216" s="1">
        <v>-33.929707999999998</v>
      </c>
      <c r="V216" s="3">
        <v>151.10842299999999</v>
      </c>
    </row>
    <row r="217" spans="1:22" x14ac:dyDescent="0.35">
      <c r="A217" s="22" t="s">
        <v>802</v>
      </c>
      <c r="B217" s="1" t="s">
        <v>803</v>
      </c>
      <c r="C217" s="1" t="s">
        <v>502</v>
      </c>
      <c r="D217" s="1" t="s">
        <v>502</v>
      </c>
      <c r="E217" s="1" t="s">
        <v>330</v>
      </c>
      <c r="F217" s="1" t="s">
        <v>47</v>
      </c>
      <c r="G217" s="1">
        <f t="shared" si="15"/>
        <v>1</v>
      </c>
      <c r="H217" s="1" t="s">
        <v>48</v>
      </c>
      <c r="I217" s="1" t="s">
        <v>49</v>
      </c>
      <c r="J217" s="23" t="s">
        <v>50</v>
      </c>
      <c r="K217" s="2" t="s">
        <v>51</v>
      </c>
      <c r="L217" s="1">
        <v>513</v>
      </c>
      <c r="M217" s="1"/>
      <c r="N217" s="1" t="str">
        <f t="shared" si="18"/>
        <v>Suppressed</v>
      </c>
      <c r="O217" s="1" t="str">
        <f t="shared" si="16"/>
        <v/>
      </c>
      <c r="P217" s="1">
        <v>18</v>
      </c>
      <c r="Q217" s="1">
        <v>1161</v>
      </c>
      <c r="R217" s="1" t="str">
        <f t="shared" si="19"/>
        <v>4</v>
      </c>
      <c r="S217" s="1">
        <v>3</v>
      </c>
      <c r="T217" s="1" t="str">
        <f t="shared" si="17"/>
        <v>3</v>
      </c>
      <c r="U217" s="1">
        <v>-33.907431000000003</v>
      </c>
      <c r="V217" s="3">
        <v>151.26027999999999</v>
      </c>
    </row>
    <row r="218" spans="1:22" x14ac:dyDescent="0.35">
      <c r="A218" s="22" t="s">
        <v>804</v>
      </c>
      <c r="B218" s="1" t="s">
        <v>805</v>
      </c>
      <c r="C218" s="1" t="s">
        <v>806</v>
      </c>
      <c r="D218" s="1" t="s">
        <v>390</v>
      </c>
      <c r="E218" s="1" t="s">
        <v>107</v>
      </c>
      <c r="F218" s="1" t="s">
        <v>57</v>
      </c>
      <c r="G218" s="1">
        <f t="shared" si="15"/>
        <v>2</v>
      </c>
      <c r="H218" s="1" t="s">
        <v>92</v>
      </c>
      <c r="I218" s="1" t="s">
        <v>49</v>
      </c>
      <c r="J218" s="23" t="s">
        <v>50</v>
      </c>
      <c r="K218" s="2" t="s">
        <v>51</v>
      </c>
      <c r="L218" s="1">
        <v>86</v>
      </c>
      <c r="M218" s="1"/>
      <c r="N218" s="1" t="str">
        <f t="shared" si="18"/>
        <v>Suppressed</v>
      </c>
      <c r="O218" s="1" t="str">
        <f t="shared" si="16"/>
        <v/>
      </c>
      <c r="P218" s="1">
        <v>9</v>
      </c>
      <c r="Q218" s="1">
        <v>1056</v>
      </c>
      <c r="R218" s="1" t="str">
        <f t="shared" si="19"/>
        <v>3</v>
      </c>
      <c r="S218" s="1">
        <v>44</v>
      </c>
      <c r="T218" s="1" t="str">
        <f t="shared" si="17"/>
        <v>1</v>
      </c>
      <c r="U218" s="1">
        <v>-28.724778000000001</v>
      </c>
      <c r="V218" s="3">
        <v>153.408852</v>
      </c>
    </row>
    <row r="219" spans="1:22" x14ac:dyDescent="0.35">
      <c r="A219" s="22" t="s">
        <v>807</v>
      </c>
      <c r="B219" s="1" t="s">
        <v>808</v>
      </c>
      <c r="C219" s="1" t="s">
        <v>809</v>
      </c>
      <c r="D219" s="1" t="s">
        <v>809</v>
      </c>
      <c r="E219" s="1" t="s">
        <v>102</v>
      </c>
      <c r="F219" s="1" t="s">
        <v>241</v>
      </c>
      <c r="G219" s="1">
        <f t="shared" si="15"/>
        <v>4</v>
      </c>
      <c r="H219" s="1" t="s">
        <v>70</v>
      </c>
      <c r="I219" s="1" t="s">
        <v>49</v>
      </c>
      <c r="J219" s="23" t="s">
        <v>50</v>
      </c>
      <c r="K219" s="2" t="s">
        <v>51</v>
      </c>
      <c r="L219" s="1">
        <v>228</v>
      </c>
      <c r="M219" s="1">
        <v>46</v>
      </c>
      <c r="N219" s="1" t="str">
        <f t="shared" si="18"/>
        <v>Published</v>
      </c>
      <c r="O219" s="1">
        <f t="shared" si="16"/>
        <v>104.88000000000001</v>
      </c>
      <c r="P219" s="1">
        <v>9</v>
      </c>
      <c r="Q219" s="1">
        <v>849</v>
      </c>
      <c r="R219" s="1" t="str">
        <f t="shared" si="19"/>
        <v>1</v>
      </c>
      <c r="S219" s="1">
        <v>137</v>
      </c>
      <c r="T219" s="1" t="str">
        <f t="shared" si="17"/>
        <v>2</v>
      </c>
      <c r="U219" s="1">
        <v>-31.502199000000001</v>
      </c>
      <c r="V219" s="3">
        <v>145.83660900000001</v>
      </c>
    </row>
    <row r="220" spans="1:22" x14ac:dyDescent="0.35">
      <c r="A220" s="22" t="s">
        <v>810</v>
      </c>
      <c r="B220" s="1" t="s">
        <v>811</v>
      </c>
      <c r="C220" s="1" t="s">
        <v>812</v>
      </c>
      <c r="D220" s="1" t="s">
        <v>314</v>
      </c>
      <c r="E220" s="1" t="s">
        <v>68</v>
      </c>
      <c r="F220" s="1" t="s">
        <v>69</v>
      </c>
      <c r="G220" s="1">
        <f t="shared" si="15"/>
        <v>3</v>
      </c>
      <c r="H220" s="1" t="s">
        <v>86</v>
      </c>
      <c r="I220" s="1" t="s">
        <v>49</v>
      </c>
      <c r="J220" s="23" t="s">
        <v>50</v>
      </c>
      <c r="K220" s="2" t="s">
        <v>51</v>
      </c>
      <c r="L220" s="1">
        <v>77</v>
      </c>
      <c r="M220" s="1">
        <v>19</v>
      </c>
      <c r="N220" s="1" t="str">
        <f t="shared" si="18"/>
        <v>Published</v>
      </c>
      <c r="O220" s="1">
        <f t="shared" si="16"/>
        <v>14.63</v>
      </c>
      <c r="P220" s="1"/>
      <c r="Q220" s="1">
        <v>941</v>
      </c>
      <c r="R220" s="1" t="str">
        <f t="shared" si="19"/>
        <v>2</v>
      </c>
      <c r="S220" s="1">
        <v>108</v>
      </c>
      <c r="T220" s="1" t="str">
        <f t="shared" si="17"/>
        <v>1</v>
      </c>
      <c r="U220" s="1">
        <v>-36.386941999999998</v>
      </c>
      <c r="V220" s="3">
        <v>149.88281799999999</v>
      </c>
    </row>
    <row r="221" spans="1:22" x14ac:dyDescent="0.35">
      <c r="A221" s="22" t="s">
        <v>813</v>
      </c>
      <c r="B221" s="1" t="s">
        <v>814</v>
      </c>
      <c r="C221" s="1" t="s">
        <v>815</v>
      </c>
      <c r="D221" s="1" t="s">
        <v>678</v>
      </c>
      <c r="E221" s="1" t="s">
        <v>181</v>
      </c>
      <c r="F221" s="1" t="s">
        <v>47</v>
      </c>
      <c r="G221" s="1">
        <f t="shared" si="15"/>
        <v>1</v>
      </c>
      <c r="H221" s="1" t="s">
        <v>86</v>
      </c>
      <c r="I221" s="1" t="s">
        <v>49</v>
      </c>
      <c r="J221" s="23" t="s">
        <v>50</v>
      </c>
      <c r="K221" s="2" t="s">
        <v>51</v>
      </c>
      <c r="L221" s="1">
        <v>360</v>
      </c>
      <c r="M221" s="1">
        <v>7</v>
      </c>
      <c r="N221" s="1" t="str">
        <f t="shared" si="18"/>
        <v>Published</v>
      </c>
      <c r="O221" s="1">
        <f t="shared" si="16"/>
        <v>25.200000000000003</v>
      </c>
      <c r="P221" s="1">
        <v>29</v>
      </c>
      <c r="Q221" s="1">
        <v>1021</v>
      </c>
      <c r="R221" s="1" t="str">
        <f t="shared" si="19"/>
        <v>3</v>
      </c>
      <c r="S221" s="1">
        <v>90</v>
      </c>
      <c r="T221" s="1" t="str">
        <f t="shared" si="17"/>
        <v>3</v>
      </c>
      <c r="U221" s="1">
        <v>-34.015900000000002</v>
      </c>
      <c r="V221" s="3">
        <v>150.68593799999999</v>
      </c>
    </row>
    <row r="222" spans="1:22" x14ac:dyDescent="0.35">
      <c r="A222" s="22" t="s">
        <v>816</v>
      </c>
      <c r="B222" s="1" t="s">
        <v>817</v>
      </c>
      <c r="C222" s="1" t="s">
        <v>818</v>
      </c>
      <c r="D222" s="1" t="s">
        <v>390</v>
      </c>
      <c r="E222" s="1" t="s">
        <v>107</v>
      </c>
      <c r="F222" s="1" t="s">
        <v>57</v>
      </c>
      <c r="G222" s="1">
        <f t="shared" si="15"/>
        <v>2</v>
      </c>
      <c r="H222" s="1" t="s">
        <v>92</v>
      </c>
      <c r="I222" s="1" t="s">
        <v>49</v>
      </c>
      <c r="J222" s="23" t="s">
        <v>50</v>
      </c>
      <c r="K222" s="2" t="s">
        <v>51</v>
      </c>
      <c r="L222" s="1">
        <v>25</v>
      </c>
      <c r="M222" s="1"/>
      <c r="N222" s="1" t="str">
        <f t="shared" si="18"/>
        <v>Suppressed</v>
      </c>
      <c r="O222" s="1" t="str">
        <f t="shared" si="16"/>
        <v/>
      </c>
      <c r="P222" s="1"/>
      <c r="Q222" s="1">
        <v>964</v>
      </c>
      <c r="R222" s="1" t="str">
        <f t="shared" si="19"/>
        <v>2</v>
      </c>
      <c r="S222" s="1">
        <v>121</v>
      </c>
      <c r="T222" s="1" t="str">
        <f t="shared" si="17"/>
        <v>1</v>
      </c>
      <c r="U222" s="1">
        <v>-28.662663999999999</v>
      </c>
      <c r="V222" s="3">
        <v>153.22063800000001</v>
      </c>
    </row>
    <row r="223" spans="1:22" x14ac:dyDescent="0.35">
      <c r="A223" s="22" t="s">
        <v>819</v>
      </c>
      <c r="B223" s="1" t="s">
        <v>820</v>
      </c>
      <c r="C223" s="1" t="s">
        <v>821</v>
      </c>
      <c r="D223" s="1" t="s">
        <v>465</v>
      </c>
      <c r="E223" s="1" t="s">
        <v>281</v>
      </c>
      <c r="F223" s="1" t="s">
        <v>57</v>
      </c>
      <c r="G223" s="1">
        <f t="shared" si="15"/>
        <v>2</v>
      </c>
      <c r="H223" s="1" t="s">
        <v>58</v>
      </c>
      <c r="I223" s="1" t="s">
        <v>49</v>
      </c>
      <c r="J223" s="23" t="s">
        <v>50</v>
      </c>
      <c r="K223" s="2" t="s">
        <v>51</v>
      </c>
      <c r="L223" s="1">
        <v>474</v>
      </c>
      <c r="M223" s="1">
        <v>11</v>
      </c>
      <c r="N223" s="1" t="str">
        <f t="shared" si="18"/>
        <v>Published</v>
      </c>
      <c r="O223" s="1">
        <f t="shared" si="16"/>
        <v>52.14</v>
      </c>
      <c r="P223" s="1">
        <v>62</v>
      </c>
      <c r="Q223" s="1">
        <v>897</v>
      </c>
      <c r="R223" s="1" t="str">
        <f t="shared" si="19"/>
        <v>1</v>
      </c>
      <c r="S223" s="1">
        <v>152</v>
      </c>
      <c r="T223" s="1" t="str">
        <f t="shared" si="17"/>
        <v>3</v>
      </c>
      <c r="U223" s="1">
        <v>-30.301960000000001</v>
      </c>
      <c r="V223" s="3">
        <v>153.120372</v>
      </c>
    </row>
    <row r="224" spans="1:22" x14ac:dyDescent="0.35">
      <c r="A224" s="22" t="s">
        <v>822</v>
      </c>
      <c r="B224" s="1" t="s">
        <v>823</v>
      </c>
      <c r="C224" s="1" t="s">
        <v>824</v>
      </c>
      <c r="D224" s="1" t="s">
        <v>176</v>
      </c>
      <c r="E224" s="1" t="s">
        <v>85</v>
      </c>
      <c r="F224" s="1" t="s">
        <v>47</v>
      </c>
      <c r="G224" s="1">
        <f t="shared" si="15"/>
        <v>1</v>
      </c>
      <c r="H224" s="1" t="s">
        <v>86</v>
      </c>
      <c r="I224" s="1" t="s">
        <v>49</v>
      </c>
      <c r="J224" s="23" t="s">
        <v>50</v>
      </c>
      <c r="K224" s="2" t="s">
        <v>51</v>
      </c>
      <c r="L224" s="1">
        <v>135</v>
      </c>
      <c r="M224" s="1"/>
      <c r="N224" s="1" t="str">
        <f t="shared" si="18"/>
        <v>Suppressed</v>
      </c>
      <c r="O224" s="1" t="str">
        <f t="shared" si="16"/>
        <v/>
      </c>
      <c r="P224" s="1">
        <v>9</v>
      </c>
      <c r="Q224" s="1">
        <v>1118</v>
      </c>
      <c r="R224" s="1" t="str">
        <f t="shared" si="19"/>
        <v>4</v>
      </c>
      <c r="S224" s="1">
        <v>24</v>
      </c>
      <c r="T224" s="1" t="str">
        <f t="shared" si="17"/>
        <v>2</v>
      </c>
      <c r="U224" s="1">
        <v>-34.289546000000001</v>
      </c>
      <c r="V224" s="3">
        <v>150.94736599999999</v>
      </c>
    </row>
    <row r="225" spans="1:22" x14ac:dyDescent="0.35">
      <c r="A225" s="22" t="s">
        <v>825</v>
      </c>
      <c r="B225" s="1" t="s">
        <v>826</v>
      </c>
      <c r="C225" s="1" t="s">
        <v>827</v>
      </c>
      <c r="D225" s="1" t="s">
        <v>649</v>
      </c>
      <c r="E225" s="1" t="s">
        <v>102</v>
      </c>
      <c r="F225" s="1" t="s">
        <v>241</v>
      </c>
      <c r="G225" s="1">
        <f t="shared" si="15"/>
        <v>4</v>
      </c>
      <c r="H225" s="1" t="s">
        <v>92</v>
      </c>
      <c r="I225" s="1" t="s">
        <v>132</v>
      </c>
      <c r="J225" s="23" t="s">
        <v>50</v>
      </c>
      <c r="K225" s="2" t="s">
        <v>51</v>
      </c>
      <c r="L225" s="1">
        <v>67.2</v>
      </c>
      <c r="M225" s="1">
        <v>94</v>
      </c>
      <c r="N225" s="1" t="str">
        <f t="shared" si="18"/>
        <v>Published</v>
      </c>
      <c r="O225" s="1">
        <f t="shared" si="16"/>
        <v>63.167999999999999</v>
      </c>
      <c r="P225" s="1"/>
      <c r="Q225" s="1">
        <v>625</v>
      </c>
      <c r="R225" s="1" t="str">
        <f t="shared" si="19"/>
        <v>1</v>
      </c>
      <c r="S225" s="1">
        <v>231</v>
      </c>
      <c r="T225" s="1" t="str">
        <f t="shared" si="17"/>
        <v>1</v>
      </c>
      <c r="U225" s="1">
        <v>-29.543823</v>
      </c>
      <c r="V225" s="3">
        <v>148.57808600000001</v>
      </c>
    </row>
    <row r="226" spans="1:22" x14ac:dyDescent="0.35">
      <c r="A226" s="22" t="s">
        <v>828</v>
      </c>
      <c r="B226" s="1" t="s">
        <v>829</v>
      </c>
      <c r="C226" s="1" t="s">
        <v>830</v>
      </c>
      <c r="D226" s="1" t="s">
        <v>394</v>
      </c>
      <c r="E226" s="1" t="s">
        <v>68</v>
      </c>
      <c r="F226" s="1" t="s">
        <v>57</v>
      </c>
      <c r="G226" s="1">
        <f t="shared" si="15"/>
        <v>2</v>
      </c>
      <c r="H226" s="1" t="s">
        <v>70</v>
      </c>
      <c r="I226" s="1" t="s">
        <v>49</v>
      </c>
      <c r="J226" s="23" t="s">
        <v>50</v>
      </c>
      <c r="K226" s="2" t="s">
        <v>51</v>
      </c>
      <c r="L226" s="1">
        <v>25</v>
      </c>
      <c r="M226" s="1"/>
      <c r="N226" s="1" t="str">
        <f t="shared" si="18"/>
        <v>Suppressed</v>
      </c>
      <c r="O226" s="1" t="str">
        <f t="shared" si="16"/>
        <v/>
      </c>
      <c r="P226" s="1"/>
      <c r="Q226" s="1">
        <v>1038</v>
      </c>
      <c r="R226" s="1" t="str">
        <f t="shared" si="19"/>
        <v>3</v>
      </c>
      <c r="S226" s="1">
        <v>72</v>
      </c>
      <c r="T226" s="1" t="str">
        <f t="shared" si="17"/>
        <v>1</v>
      </c>
      <c r="U226" s="1">
        <v>-34.914220999999998</v>
      </c>
      <c r="V226" s="3">
        <v>149.433144</v>
      </c>
    </row>
    <row r="227" spans="1:22" x14ac:dyDescent="0.35">
      <c r="A227" s="22" t="s">
        <v>831</v>
      </c>
      <c r="B227" s="1" t="s">
        <v>832</v>
      </c>
      <c r="C227" s="1" t="s">
        <v>833</v>
      </c>
      <c r="D227" s="1" t="s">
        <v>256</v>
      </c>
      <c r="E227" s="1" t="s">
        <v>107</v>
      </c>
      <c r="F227" s="1" t="s">
        <v>57</v>
      </c>
      <c r="G227" s="1">
        <f t="shared" si="15"/>
        <v>2</v>
      </c>
      <c r="H227" s="1" t="s">
        <v>92</v>
      </c>
      <c r="I227" s="1" t="s">
        <v>49</v>
      </c>
      <c r="J227" s="23" t="s">
        <v>50</v>
      </c>
      <c r="K227" s="2" t="s">
        <v>51</v>
      </c>
      <c r="L227" s="1">
        <v>15</v>
      </c>
      <c r="M227" s="1"/>
      <c r="N227" s="1" t="str">
        <f t="shared" si="18"/>
        <v>Suppressed</v>
      </c>
      <c r="O227" s="1" t="str">
        <f t="shared" si="16"/>
        <v/>
      </c>
      <c r="P227" s="1"/>
      <c r="Q227" s="1">
        <v>996</v>
      </c>
      <c r="R227" s="1" t="str">
        <f t="shared" si="19"/>
        <v>2</v>
      </c>
      <c r="S227" s="1">
        <v>65</v>
      </c>
      <c r="T227" s="1" t="str">
        <f t="shared" si="17"/>
        <v>1</v>
      </c>
      <c r="U227" s="1">
        <v>-28.489297000000001</v>
      </c>
      <c r="V227" s="3">
        <v>153.022547</v>
      </c>
    </row>
    <row r="228" spans="1:22" x14ac:dyDescent="0.35">
      <c r="A228" s="22" t="s">
        <v>834</v>
      </c>
      <c r="B228" s="1" t="s">
        <v>835</v>
      </c>
      <c r="C228" s="1" t="s">
        <v>836</v>
      </c>
      <c r="D228" s="1" t="s">
        <v>837</v>
      </c>
      <c r="E228" s="1" t="s">
        <v>838</v>
      </c>
      <c r="F228" s="1" t="s">
        <v>47</v>
      </c>
      <c r="G228" s="1">
        <f t="shared" si="15"/>
        <v>1</v>
      </c>
      <c r="H228" s="1" t="s">
        <v>182</v>
      </c>
      <c r="I228" s="1" t="s">
        <v>49</v>
      </c>
      <c r="J228" s="23" t="s">
        <v>50</v>
      </c>
      <c r="K228" s="2" t="s">
        <v>51</v>
      </c>
      <c r="L228" s="1">
        <v>714</v>
      </c>
      <c r="M228" s="1">
        <v>7</v>
      </c>
      <c r="N228" s="1" t="str">
        <f t="shared" si="18"/>
        <v>Published</v>
      </c>
      <c r="O228" s="1">
        <f t="shared" si="16"/>
        <v>49.980000000000004</v>
      </c>
      <c r="P228" s="1">
        <v>76</v>
      </c>
      <c r="Q228" s="1">
        <v>1007</v>
      </c>
      <c r="R228" s="1" t="str">
        <f t="shared" si="19"/>
        <v>3</v>
      </c>
      <c r="S228" s="1">
        <v>94</v>
      </c>
      <c r="T228" s="1" t="str">
        <f t="shared" si="17"/>
        <v>4</v>
      </c>
      <c r="U228" s="1">
        <v>-33.777199000000003</v>
      </c>
      <c r="V228" s="3">
        <v>150.81316000000001</v>
      </c>
    </row>
    <row r="229" spans="1:22" x14ac:dyDescent="0.35">
      <c r="A229" s="22" t="s">
        <v>839</v>
      </c>
      <c r="B229" s="1" t="s">
        <v>840</v>
      </c>
      <c r="C229" s="1" t="s">
        <v>841</v>
      </c>
      <c r="D229" s="1" t="s">
        <v>302</v>
      </c>
      <c r="E229" s="1" t="s">
        <v>276</v>
      </c>
      <c r="F229" s="1" t="s">
        <v>69</v>
      </c>
      <c r="G229" s="1">
        <f t="shared" si="15"/>
        <v>3</v>
      </c>
      <c r="H229" s="1" t="s">
        <v>58</v>
      </c>
      <c r="I229" s="1" t="s">
        <v>49</v>
      </c>
      <c r="J229" s="23" t="s">
        <v>50</v>
      </c>
      <c r="K229" s="2" t="s">
        <v>51</v>
      </c>
      <c r="L229" s="1">
        <v>36</v>
      </c>
      <c r="M229" s="1">
        <v>22</v>
      </c>
      <c r="N229" s="1" t="str">
        <f t="shared" si="18"/>
        <v>Published</v>
      </c>
      <c r="O229" s="1">
        <f t="shared" si="16"/>
        <v>7.92</v>
      </c>
      <c r="P229" s="1">
        <v>21</v>
      </c>
      <c r="Q229" s="1">
        <v>926</v>
      </c>
      <c r="R229" s="1" t="str">
        <f t="shared" si="19"/>
        <v>2</v>
      </c>
      <c r="S229" s="1">
        <v>113</v>
      </c>
      <c r="T229" s="1" t="str">
        <f t="shared" si="17"/>
        <v>1</v>
      </c>
      <c r="U229" s="1">
        <v>-31.605308000000001</v>
      </c>
      <c r="V229" s="3">
        <v>152.472736</v>
      </c>
    </row>
    <row r="230" spans="1:22" x14ac:dyDescent="0.35">
      <c r="A230" s="22" t="s">
        <v>842</v>
      </c>
      <c r="B230" s="1" t="s">
        <v>843</v>
      </c>
      <c r="C230" s="1" t="s">
        <v>844</v>
      </c>
      <c r="D230" s="1" t="s">
        <v>404</v>
      </c>
      <c r="E230" s="1" t="s">
        <v>127</v>
      </c>
      <c r="F230" s="1" t="s">
        <v>57</v>
      </c>
      <c r="G230" s="1">
        <f t="shared" si="15"/>
        <v>2</v>
      </c>
      <c r="H230" s="1" t="s">
        <v>63</v>
      </c>
      <c r="I230" s="1" t="s">
        <v>49</v>
      </c>
      <c r="J230" s="23" t="s">
        <v>50</v>
      </c>
      <c r="K230" s="2" t="s">
        <v>51</v>
      </c>
      <c r="L230" s="1">
        <v>144</v>
      </c>
      <c r="M230" s="1">
        <v>7</v>
      </c>
      <c r="N230" s="1" t="str">
        <f t="shared" si="18"/>
        <v>Published</v>
      </c>
      <c r="O230" s="1">
        <f t="shared" si="16"/>
        <v>10.080000000000002</v>
      </c>
      <c r="P230" s="1">
        <v>8</v>
      </c>
      <c r="Q230" s="1">
        <v>987</v>
      </c>
      <c r="R230" s="1" t="str">
        <f t="shared" si="19"/>
        <v>2</v>
      </c>
      <c r="S230" s="1">
        <v>102</v>
      </c>
      <c r="T230" s="1" t="str">
        <f t="shared" si="17"/>
        <v>2</v>
      </c>
      <c r="U230" s="1">
        <v>-33.506475000000002</v>
      </c>
      <c r="V230" s="3">
        <v>150.69763</v>
      </c>
    </row>
    <row r="231" spans="1:22" x14ac:dyDescent="0.35">
      <c r="A231" s="22" t="s">
        <v>845</v>
      </c>
      <c r="B231" s="1" t="s">
        <v>846</v>
      </c>
      <c r="C231" s="1" t="s">
        <v>847</v>
      </c>
      <c r="D231" s="1" t="s">
        <v>737</v>
      </c>
      <c r="E231" s="1" t="s">
        <v>738</v>
      </c>
      <c r="F231" s="1" t="s">
        <v>47</v>
      </c>
      <c r="G231" s="1">
        <f t="shared" si="15"/>
        <v>1</v>
      </c>
      <c r="H231" s="1" t="s">
        <v>182</v>
      </c>
      <c r="I231" s="1" t="s">
        <v>49</v>
      </c>
      <c r="J231" s="23" t="s">
        <v>50</v>
      </c>
      <c r="K231" s="2" t="s">
        <v>51</v>
      </c>
      <c r="L231" s="1">
        <v>103</v>
      </c>
      <c r="M231" s="1">
        <v>8</v>
      </c>
      <c r="N231" s="1" t="str">
        <f t="shared" si="18"/>
        <v>Published</v>
      </c>
      <c r="O231" s="1">
        <f t="shared" si="16"/>
        <v>8.24</v>
      </c>
      <c r="P231" s="1">
        <v>13</v>
      </c>
      <c r="Q231" s="1">
        <v>1071</v>
      </c>
      <c r="R231" s="1" t="str">
        <f t="shared" si="19"/>
        <v>3</v>
      </c>
      <c r="S231" s="1">
        <v>51</v>
      </c>
      <c r="T231" s="1" t="str">
        <f t="shared" si="17"/>
        <v>2</v>
      </c>
      <c r="U231" s="1">
        <v>-34.001832</v>
      </c>
      <c r="V231" s="3">
        <v>151.06912700000001</v>
      </c>
    </row>
    <row r="232" spans="1:22" x14ac:dyDescent="0.35">
      <c r="A232" s="22" t="s">
        <v>848</v>
      </c>
      <c r="B232" s="1" t="s">
        <v>849</v>
      </c>
      <c r="C232" s="1" t="s">
        <v>850</v>
      </c>
      <c r="D232" s="1" t="s">
        <v>461</v>
      </c>
      <c r="E232" s="1" t="s">
        <v>96</v>
      </c>
      <c r="F232" s="1" t="s">
        <v>69</v>
      </c>
      <c r="G232" s="1">
        <f t="shared" si="15"/>
        <v>3</v>
      </c>
      <c r="H232" s="1" t="s">
        <v>70</v>
      </c>
      <c r="I232" s="1" t="s">
        <v>49</v>
      </c>
      <c r="J232" s="23" t="s">
        <v>50</v>
      </c>
      <c r="K232" s="2" t="s">
        <v>51</v>
      </c>
      <c r="L232" s="1">
        <v>12</v>
      </c>
      <c r="M232" s="1"/>
      <c r="N232" s="1" t="str">
        <f t="shared" si="18"/>
        <v>Suppressed</v>
      </c>
      <c r="O232" s="1" t="str">
        <f t="shared" si="16"/>
        <v/>
      </c>
      <c r="P232" s="1">
        <v>0</v>
      </c>
      <c r="Q232" s="1">
        <v>874</v>
      </c>
      <c r="R232" s="1" t="str">
        <f t="shared" si="19"/>
        <v>1</v>
      </c>
      <c r="S232" s="1">
        <v>124</v>
      </c>
      <c r="T232" s="1" t="str">
        <f t="shared" si="17"/>
        <v>1</v>
      </c>
      <c r="U232" s="1">
        <v>-35.305269000000003</v>
      </c>
      <c r="V232" s="3">
        <v>145.17885999999999</v>
      </c>
    </row>
    <row r="233" spans="1:22" x14ac:dyDescent="0.35">
      <c r="A233" s="22" t="s">
        <v>851</v>
      </c>
      <c r="B233" s="1" t="s">
        <v>852</v>
      </c>
      <c r="C233" s="1" t="s">
        <v>853</v>
      </c>
      <c r="D233" s="1" t="s">
        <v>45</v>
      </c>
      <c r="E233" s="1" t="s">
        <v>46</v>
      </c>
      <c r="F233" s="1" t="s">
        <v>47</v>
      </c>
      <c r="G233" s="1">
        <f t="shared" si="15"/>
        <v>1</v>
      </c>
      <c r="H233" s="1" t="s">
        <v>48</v>
      </c>
      <c r="I233" s="1" t="s">
        <v>49</v>
      </c>
      <c r="J233" s="23" t="s">
        <v>50</v>
      </c>
      <c r="K233" s="2" t="s">
        <v>51</v>
      </c>
      <c r="L233" s="1">
        <v>276</v>
      </c>
      <c r="M233" s="1">
        <v>5</v>
      </c>
      <c r="N233" s="1" t="str">
        <f t="shared" si="18"/>
        <v>Published</v>
      </c>
      <c r="O233" s="1">
        <f t="shared" si="16"/>
        <v>13.8</v>
      </c>
      <c r="P233" s="1">
        <v>65</v>
      </c>
      <c r="Q233" s="1">
        <v>1071</v>
      </c>
      <c r="R233" s="1" t="str">
        <f t="shared" si="19"/>
        <v>3</v>
      </c>
      <c r="S233" s="1">
        <v>54</v>
      </c>
      <c r="T233" s="1" t="str">
        <f t="shared" si="17"/>
        <v>2</v>
      </c>
      <c r="U233" s="1">
        <v>-33.863224000000002</v>
      </c>
      <c r="V233" s="3">
        <v>151.106944</v>
      </c>
    </row>
    <row r="234" spans="1:22" x14ac:dyDescent="0.35">
      <c r="A234" s="22" t="s">
        <v>854</v>
      </c>
      <c r="B234" s="1" t="s">
        <v>855</v>
      </c>
      <c r="C234" s="1" t="s">
        <v>856</v>
      </c>
      <c r="D234" s="1" t="s">
        <v>45</v>
      </c>
      <c r="E234" s="1" t="s">
        <v>46</v>
      </c>
      <c r="F234" s="1" t="s">
        <v>47</v>
      </c>
      <c r="G234" s="1">
        <f t="shared" si="15"/>
        <v>1</v>
      </c>
      <c r="H234" s="1" t="s">
        <v>48</v>
      </c>
      <c r="I234" s="1" t="s">
        <v>49</v>
      </c>
      <c r="J234" s="23" t="s">
        <v>50</v>
      </c>
      <c r="K234" s="2" t="s">
        <v>51</v>
      </c>
      <c r="L234" s="1">
        <v>414</v>
      </c>
      <c r="M234" s="1"/>
      <c r="N234" s="1" t="str">
        <f t="shared" si="18"/>
        <v>Suppressed</v>
      </c>
      <c r="O234" s="1" t="str">
        <f t="shared" si="16"/>
        <v/>
      </c>
      <c r="P234" s="1">
        <v>90</v>
      </c>
      <c r="Q234" s="1">
        <v>1093</v>
      </c>
      <c r="R234" s="1" t="str">
        <f t="shared" si="19"/>
        <v>3</v>
      </c>
      <c r="S234" s="1">
        <v>22</v>
      </c>
      <c r="T234" s="1" t="str">
        <f t="shared" si="17"/>
        <v>3</v>
      </c>
      <c r="U234" s="1">
        <v>-33.839613</v>
      </c>
      <c r="V234" s="3">
        <v>151.08731700000001</v>
      </c>
    </row>
    <row r="235" spans="1:22" x14ac:dyDescent="0.35">
      <c r="A235" s="22" t="s">
        <v>857</v>
      </c>
      <c r="B235" s="1" t="s">
        <v>858</v>
      </c>
      <c r="C235" s="1" t="s">
        <v>859</v>
      </c>
      <c r="D235" s="1" t="s">
        <v>860</v>
      </c>
      <c r="E235" s="1" t="s">
        <v>261</v>
      </c>
      <c r="F235" s="1" t="s">
        <v>69</v>
      </c>
      <c r="G235" s="1">
        <f t="shared" si="15"/>
        <v>3</v>
      </c>
      <c r="H235" s="1" t="s">
        <v>70</v>
      </c>
      <c r="I235" s="1" t="s">
        <v>49</v>
      </c>
      <c r="J235" s="23" t="s">
        <v>50</v>
      </c>
      <c r="K235" s="2" t="s">
        <v>51</v>
      </c>
      <c r="L235" s="1">
        <v>256</v>
      </c>
      <c r="M235" s="1">
        <v>52</v>
      </c>
      <c r="N235" s="1" t="str">
        <f t="shared" si="18"/>
        <v>Published</v>
      </c>
      <c r="O235" s="1">
        <f t="shared" si="16"/>
        <v>133.12</v>
      </c>
      <c r="P235" s="1">
        <v>4</v>
      </c>
      <c r="Q235" s="1">
        <v>848</v>
      </c>
      <c r="R235" s="1" t="str">
        <f t="shared" si="19"/>
        <v>1</v>
      </c>
      <c r="S235" s="1">
        <v>138</v>
      </c>
      <c r="T235" s="1" t="str">
        <f t="shared" si="17"/>
        <v>2</v>
      </c>
      <c r="U235" s="1">
        <v>-33.085514000000003</v>
      </c>
      <c r="V235" s="3">
        <v>147.14907700000001</v>
      </c>
    </row>
    <row r="236" spans="1:22" x14ac:dyDescent="0.35">
      <c r="A236" s="22" t="s">
        <v>861</v>
      </c>
      <c r="B236" s="1" t="s">
        <v>862</v>
      </c>
      <c r="C236" s="1" t="s">
        <v>863</v>
      </c>
      <c r="D236" s="1" t="s">
        <v>236</v>
      </c>
      <c r="E236" s="1" t="s">
        <v>107</v>
      </c>
      <c r="F236" s="1" t="s">
        <v>57</v>
      </c>
      <c r="G236" s="1">
        <f t="shared" si="15"/>
        <v>2</v>
      </c>
      <c r="H236" s="1" t="s">
        <v>92</v>
      </c>
      <c r="I236" s="1" t="s">
        <v>49</v>
      </c>
      <c r="J236" s="23" t="s">
        <v>50</v>
      </c>
      <c r="K236" s="2" t="s">
        <v>51</v>
      </c>
      <c r="L236" s="1">
        <v>49</v>
      </c>
      <c r="M236" s="1"/>
      <c r="N236" s="1" t="str">
        <f t="shared" si="18"/>
        <v>Suppressed</v>
      </c>
      <c r="O236" s="1" t="str">
        <f t="shared" si="16"/>
        <v/>
      </c>
      <c r="P236" s="1">
        <v>14</v>
      </c>
      <c r="Q236" s="1">
        <v>948</v>
      </c>
      <c r="R236" s="1" t="str">
        <f t="shared" si="19"/>
        <v>2</v>
      </c>
      <c r="S236" s="1">
        <v>141</v>
      </c>
      <c r="T236" s="1" t="str">
        <f t="shared" si="17"/>
        <v>1</v>
      </c>
      <c r="U236" s="1">
        <v>-28.309540309999999</v>
      </c>
      <c r="V236" s="3">
        <v>153.43453959999999</v>
      </c>
    </row>
    <row r="237" spans="1:22" x14ac:dyDescent="0.35">
      <c r="A237" s="22" t="s">
        <v>864</v>
      </c>
      <c r="B237" s="1" t="s">
        <v>865</v>
      </c>
      <c r="C237" s="1" t="s">
        <v>866</v>
      </c>
      <c r="D237" s="1" t="s">
        <v>176</v>
      </c>
      <c r="E237" s="1" t="s">
        <v>85</v>
      </c>
      <c r="F237" s="1" t="s">
        <v>47</v>
      </c>
      <c r="G237" s="1">
        <f t="shared" si="15"/>
        <v>1</v>
      </c>
      <c r="H237" s="1" t="s">
        <v>86</v>
      </c>
      <c r="I237" s="1" t="s">
        <v>49</v>
      </c>
      <c r="J237" s="23" t="s">
        <v>50</v>
      </c>
      <c r="K237" s="2" t="s">
        <v>51</v>
      </c>
      <c r="L237" s="1">
        <v>181</v>
      </c>
      <c r="M237" s="1">
        <v>7</v>
      </c>
      <c r="N237" s="1" t="str">
        <f t="shared" si="18"/>
        <v>Published</v>
      </c>
      <c r="O237" s="1">
        <f t="shared" si="16"/>
        <v>12.670000000000002</v>
      </c>
      <c r="P237" s="1">
        <v>61</v>
      </c>
      <c r="Q237" s="1">
        <v>990</v>
      </c>
      <c r="R237" s="1" t="str">
        <f t="shared" si="19"/>
        <v>2</v>
      </c>
      <c r="S237" s="1">
        <v>107</v>
      </c>
      <c r="T237" s="1" t="str">
        <f t="shared" si="17"/>
        <v>2</v>
      </c>
      <c r="U237" s="1">
        <v>-34.439022999999999</v>
      </c>
      <c r="V237" s="3">
        <v>150.88743500000001</v>
      </c>
    </row>
    <row r="238" spans="1:22" x14ac:dyDescent="0.35">
      <c r="A238" s="22" t="s">
        <v>867</v>
      </c>
      <c r="B238" s="1" t="s">
        <v>868</v>
      </c>
      <c r="C238" s="1" t="s">
        <v>869</v>
      </c>
      <c r="D238" s="1" t="s">
        <v>386</v>
      </c>
      <c r="E238" s="1" t="s">
        <v>229</v>
      </c>
      <c r="F238" s="1" t="s">
        <v>47</v>
      </c>
      <c r="G238" s="1">
        <f t="shared" si="15"/>
        <v>1</v>
      </c>
      <c r="H238" s="1" t="s">
        <v>48</v>
      </c>
      <c r="I238" s="1" t="s">
        <v>49</v>
      </c>
      <c r="J238" s="23" t="s">
        <v>50</v>
      </c>
      <c r="K238" s="2" t="s">
        <v>51</v>
      </c>
      <c r="L238" s="1">
        <v>429</v>
      </c>
      <c r="M238" s="1">
        <v>2</v>
      </c>
      <c r="N238" s="1" t="str">
        <f t="shared" si="18"/>
        <v>Published</v>
      </c>
      <c r="O238" s="1">
        <f t="shared" si="16"/>
        <v>8.58</v>
      </c>
      <c r="P238" s="1">
        <v>68</v>
      </c>
      <c r="Q238" s="1">
        <v>1088</v>
      </c>
      <c r="R238" s="1" t="str">
        <f t="shared" si="19"/>
        <v>3</v>
      </c>
      <c r="S238" s="1">
        <v>42</v>
      </c>
      <c r="T238" s="1" t="str">
        <f t="shared" si="17"/>
        <v>3</v>
      </c>
      <c r="U238" s="1">
        <v>-33.984689000000003</v>
      </c>
      <c r="V238" s="3">
        <v>151.10030599999999</v>
      </c>
    </row>
    <row r="239" spans="1:22" x14ac:dyDescent="0.35">
      <c r="A239" s="22" t="s">
        <v>870</v>
      </c>
      <c r="B239" s="1" t="s">
        <v>871</v>
      </c>
      <c r="C239" s="1" t="s">
        <v>872</v>
      </c>
      <c r="D239" s="1" t="s">
        <v>872</v>
      </c>
      <c r="E239" s="1" t="s">
        <v>261</v>
      </c>
      <c r="F239" s="1" t="s">
        <v>57</v>
      </c>
      <c r="G239" s="1">
        <f t="shared" si="15"/>
        <v>2</v>
      </c>
      <c r="H239" s="1" t="s">
        <v>58</v>
      </c>
      <c r="I239" s="1" t="s">
        <v>49</v>
      </c>
      <c r="J239" s="23" t="s">
        <v>50</v>
      </c>
      <c r="K239" s="2" t="s">
        <v>51</v>
      </c>
      <c r="L239" s="1">
        <v>258</v>
      </c>
      <c r="M239" s="1">
        <v>31</v>
      </c>
      <c r="N239" s="1" t="str">
        <f t="shared" si="18"/>
        <v>Published</v>
      </c>
      <c r="O239" s="1">
        <f t="shared" si="16"/>
        <v>79.98</v>
      </c>
      <c r="P239" s="1">
        <v>6</v>
      </c>
      <c r="Q239" s="1">
        <v>906</v>
      </c>
      <c r="R239" s="1" t="str">
        <f t="shared" si="19"/>
        <v>2</v>
      </c>
      <c r="S239" s="1">
        <v>137</v>
      </c>
      <c r="T239" s="1" t="str">
        <f t="shared" si="17"/>
        <v>2</v>
      </c>
      <c r="U239" s="1">
        <v>-33.484053000000003</v>
      </c>
      <c r="V239" s="3">
        <v>150.14209299999999</v>
      </c>
    </row>
    <row r="240" spans="1:22" x14ac:dyDescent="0.35">
      <c r="A240" s="22" t="s">
        <v>873</v>
      </c>
      <c r="B240" s="1" t="s">
        <v>874</v>
      </c>
      <c r="C240" s="1" t="s">
        <v>875</v>
      </c>
      <c r="D240" s="1" t="s">
        <v>876</v>
      </c>
      <c r="E240" s="1" t="s">
        <v>330</v>
      </c>
      <c r="F240" s="1" t="s">
        <v>47</v>
      </c>
      <c r="G240" s="1">
        <f t="shared" si="15"/>
        <v>1</v>
      </c>
      <c r="H240" s="1" t="s">
        <v>48</v>
      </c>
      <c r="I240" s="1" t="s">
        <v>49</v>
      </c>
      <c r="J240" s="23" t="s">
        <v>50</v>
      </c>
      <c r="K240" s="2" t="s">
        <v>51</v>
      </c>
      <c r="L240" s="1">
        <v>361</v>
      </c>
      <c r="M240" s="1"/>
      <c r="N240" s="1" t="str">
        <f t="shared" si="18"/>
        <v>Suppressed</v>
      </c>
      <c r="O240" s="1" t="str">
        <f t="shared" si="16"/>
        <v/>
      </c>
      <c r="P240" s="1">
        <v>30</v>
      </c>
      <c r="Q240" s="1">
        <v>1154</v>
      </c>
      <c r="R240" s="1" t="str">
        <f t="shared" si="19"/>
        <v>4</v>
      </c>
      <c r="S240" s="1">
        <v>4</v>
      </c>
      <c r="T240" s="1" t="str">
        <f t="shared" si="17"/>
        <v>3</v>
      </c>
      <c r="U240" s="1">
        <v>-33.920819000000002</v>
      </c>
      <c r="V240" s="3">
        <v>151.24984599999999</v>
      </c>
    </row>
    <row r="241" spans="1:22" x14ac:dyDescent="0.35">
      <c r="A241" s="22" t="s">
        <v>877</v>
      </c>
      <c r="B241" s="1" t="s">
        <v>878</v>
      </c>
      <c r="C241" s="1" t="s">
        <v>879</v>
      </c>
      <c r="D241" s="1" t="s">
        <v>240</v>
      </c>
      <c r="E241" s="1" t="s">
        <v>102</v>
      </c>
      <c r="F241" s="1" t="s">
        <v>69</v>
      </c>
      <c r="G241" s="1">
        <f t="shared" si="15"/>
        <v>3</v>
      </c>
      <c r="H241" s="1" t="s">
        <v>58</v>
      </c>
      <c r="I241" s="1" t="s">
        <v>132</v>
      </c>
      <c r="J241" s="23" t="s">
        <v>50</v>
      </c>
      <c r="K241" s="2" t="s">
        <v>51</v>
      </c>
      <c r="L241" s="1">
        <v>148</v>
      </c>
      <c r="M241" s="1">
        <v>27</v>
      </c>
      <c r="N241" s="1" t="str">
        <f t="shared" si="18"/>
        <v>Published</v>
      </c>
      <c r="O241" s="1">
        <f t="shared" si="16"/>
        <v>39.96</v>
      </c>
      <c r="P241" s="1">
        <v>4</v>
      </c>
      <c r="Q241" s="1">
        <v>896</v>
      </c>
      <c r="R241" s="1" t="str">
        <f t="shared" si="19"/>
        <v>1</v>
      </c>
      <c r="S241" s="1">
        <v>142</v>
      </c>
      <c r="T241" s="1" t="str">
        <f t="shared" si="17"/>
        <v>2</v>
      </c>
      <c r="U241" s="1">
        <v>-31.821024000000001</v>
      </c>
      <c r="V241" s="3">
        <v>149.723624</v>
      </c>
    </row>
    <row r="242" spans="1:22" x14ac:dyDescent="0.35">
      <c r="A242" s="22" t="s">
        <v>880</v>
      </c>
      <c r="B242" s="1" t="s">
        <v>881</v>
      </c>
      <c r="C242" s="1" t="s">
        <v>131</v>
      </c>
      <c r="D242" s="1" t="s">
        <v>131</v>
      </c>
      <c r="E242" s="1" t="s">
        <v>80</v>
      </c>
      <c r="F242" s="1" t="s">
        <v>57</v>
      </c>
      <c r="G242" s="1">
        <f t="shared" si="15"/>
        <v>2</v>
      </c>
      <c r="H242" s="1" t="s">
        <v>70</v>
      </c>
      <c r="I242" s="1" t="s">
        <v>132</v>
      </c>
      <c r="J242" s="23" t="s">
        <v>50</v>
      </c>
      <c r="K242" s="2" t="s">
        <v>51</v>
      </c>
      <c r="L242" s="1">
        <v>383</v>
      </c>
      <c r="M242" s="1">
        <v>13</v>
      </c>
      <c r="N242" s="1" t="str">
        <f t="shared" si="18"/>
        <v>Published</v>
      </c>
      <c r="O242" s="1">
        <f t="shared" si="16"/>
        <v>49.79</v>
      </c>
      <c r="P242" s="1">
        <v>3</v>
      </c>
      <c r="Q242" s="1">
        <v>974</v>
      </c>
      <c r="R242" s="1" t="str">
        <f t="shared" si="19"/>
        <v>2</v>
      </c>
      <c r="S242" s="1">
        <v>101</v>
      </c>
      <c r="T242" s="1" t="str">
        <f t="shared" si="17"/>
        <v>3</v>
      </c>
      <c r="U242" s="1">
        <v>-34.811903999999998</v>
      </c>
      <c r="V242" s="3">
        <v>147.20139800000001</v>
      </c>
    </row>
    <row r="243" spans="1:22" x14ac:dyDescent="0.35">
      <c r="A243" s="22" t="s">
        <v>882</v>
      </c>
      <c r="B243" s="1" t="s">
        <v>883</v>
      </c>
      <c r="C243" s="1" t="s">
        <v>884</v>
      </c>
      <c r="D243" s="1" t="s">
        <v>382</v>
      </c>
      <c r="E243" s="1" t="s">
        <v>196</v>
      </c>
      <c r="F243" s="1" t="s">
        <v>57</v>
      </c>
      <c r="G243" s="1">
        <f t="shared" si="15"/>
        <v>2</v>
      </c>
      <c r="H243" s="1" t="s">
        <v>86</v>
      </c>
      <c r="I243" s="1" t="s">
        <v>49</v>
      </c>
      <c r="J243" s="23" t="s">
        <v>50</v>
      </c>
      <c r="K243" s="2" t="s">
        <v>51</v>
      </c>
      <c r="L243" s="1">
        <v>180</v>
      </c>
      <c r="M243" s="1">
        <v>9</v>
      </c>
      <c r="N243" s="1" t="str">
        <f t="shared" si="18"/>
        <v>Published</v>
      </c>
      <c r="O243" s="1">
        <f t="shared" si="16"/>
        <v>16.2</v>
      </c>
      <c r="P243" s="1">
        <v>9</v>
      </c>
      <c r="Q243" s="1">
        <v>1021</v>
      </c>
      <c r="R243" s="1" t="str">
        <f t="shared" si="19"/>
        <v>3</v>
      </c>
      <c r="S243" s="1">
        <v>79</v>
      </c>
      <c r="T243" s="1" t="str">
        <f t="shared" si="17"/>
        <v>2</v>
      </c>
      <c r="U243" s="1">
        <v>-34.853166999999999</v>
      </c>
      <c r="V243" s="3">
        <v>150.74008799999999</v>
      </c>
    </row>
    <row r="244" spans="1:22" x14ac:dyDescent="0.35">
      <c r="A244" s="22" t="s">
        <v>885</v>
      </c>
      <c r="B244" s="1" t="s">
        <v>886</v>
      </c>
      <c r="C244" s="1" t="s">
        <v>887</v>
      </c>
      <c r="D244" s="1" t="s">
        <v>275</v>
      </c>
      <c r="E244" s="1" t="s">
        <v>276</v>
      </c>
      <c r="F244" s="1" t="s">
        <v>57</v>
      </c>
      <c r="G244" s="1">
        <f t="shared" si="15"/>
        <v>2</v>
      </c>
      <c r="H244" s="1" t="s">
        <v>58</v>
      </c>
      <c r="I244" s="1" t="s">
        <v>49</v>
      </c>
      <c r="J244" s="23" t="s">
        <v>50</v>
      </c>
      <c r="K244" s="2" t="s">
        <v>51</v>
      </c>
      <c r="L244" s="1">
        <v>31</v>
      </c>
      <c r="M244" s="1"/>
      <c r="N244" s="1" t="str">
        <f t="shared" si="18"/>
        <v>Suppressed</v>
      </c>
      <c r="O244" s="1" t="str">
        <f t="shared" si="16"/>
        <v/>
      </c>
      <c r="P244" s="1"/>
      <c r="Q244" s="1">
        <v>950</v>
      </c>
      <c r="R244" s="1" t="str">
        <f t="shared" si="19"/>
        <v>2</v>
      </c>
      <c r="S244" s="1">
        <v>142</v>
      </c>
      <c r="T244" s="1" t="str">
        <f t="shared" si="17"/>
        <v>1</v>
      </c>
      <c r="U244" s="1">
        <v>-32.222797999999997</v>
      </c>
      <c r="V244" s="3">
        <v>152.318838</v>
      </c>
    </row>
    <row r="245" spans="1:22" x14ac:dyDescent="0.35">
      <c r="A245" s="22" t="s">
        <v>888</v>
      </c>
      <c r="B245" s="1" t="s">
        <v>889</v>
      </c>
      <c r="C245" s="1" t="s">
        <v>890</v>
      </c>
      <c r="D245" s="1" t="s">
        <v>67</v>
      </c>
      <c r="E245" s="1" t="s">
        <v>68</v>
      </c>
      <c r="F245" s="1" t="s">
        <v>57</v>
      </c>
      <c r="G245" s="1">
        <f t="shared" si="15"/>
        <v>2</v>
      </c>
      <c r="H245" s="1" t="s">
        <v>70</v>
      </c>
      <c r="I245" s="1" t="s">
        <v>49</v>
      </c>
      <c r="J245" s="23" t="s">
        <v>50</v>
      </c>
      <c r="K245" s="2" t="s">
        <v>51</v>
      </c>
      <c r="L245" s="1">
        <v>238</v>
      </c>
      <c r="M245" s="1">
        <v>9</v>
      </c>
      <c r="N245" s="1" t="str">
        <f t="shared" si="18"/>
        <v>Published</v>
      </c>
      <c r="O245" s="1">
        <f t="shared" si="16"/>
        <v>21.419999999999998</v>
      </c>
      <c r="P245" s="1">
        <v>18</v>
      </c>
      <c r="Q245" s="1">
        <v>971</v>
      </c>
      <c r="R245" s="1" t="str">
        <f t="shared" si="19"/>
        <v>2</v>
      </c>
      <c r="S245" s="1">
        <v>100</v>
      </c>
      <c r="T245" s="1" t="str">
        <f t="shared" si="17"/>
        <v>2</v>
      </c>
      <c r="U245" s="1">
        <v>-36.237473999999999</v>
      </c>
      <c r="V245" s="3">
        <v>149.125034</v>
      </c>
    </row>
    <row r="246" spans="1:22" x14ac:dyDescent="0.35">
      <c r="A246" s="22" t="s">
        <v>891</v>
      </c>
      <c r="B246" s="1" t="s">
        <v>892</v>
      </c>
      <c r="C246" s="1" t="s">
        <v>893</v>
      </c>
      <c r="D246" s="1" t="s">
        <v>240</v>
      </c>
      <c r="E246" s="1" t="s">
        <v>102</v>
      </c>
      <c r="F246" s="1" t="s">
        <v>69</v>
      </c>
      <c r="G246" s="1">
        <f t="shared" si="15"/>
        <v>3</v>
      </c>
      <c r="H246" s="1" t="s">
        <v>92</v>
      </c>
      <c r="I246" s="1" t="s">
        <v>49</v>
      </c>
      <c r="J246" s="23" t="s">
        <v>50</v>
      </c>
      <c r="K246" s="2" t="s">
        <v>51</v>
      </c>
      <c r="L246" s="1">
        <v>200</v>
      </c>
      <c r="M246" s="1">
        <v>42</v>
      </c>
      <c r="N246" s="1" t="str">
        <f t="shared" si="18"/>
        <v>Published</v>
      </c>
      <c r="O246" s="1">
        <f t="shared" si="16"/>
        <v>84</v>
      </c>
      <c r="P246" s="1">
        <v>4</v>
      </c>
      <c r="Q246" s="1">
        <v>856</v>
      </c>
      <c r="R246" s="1" t="str">
        <f t="shared" si="19"/>
        <v>1</v>
      </c>
      <c r="S246" s="1">
        <v>142</v>
      </c>
      <c r="T246" s="1" t="str">
        <f t="shared" si="17"/>
        <v>2</v>
      </c>
      <c r="U246" s="1">
        <v>-31.280038999999999</v>
      </c>
      <c r="V246" s="3">
        <v>149.282061</v>
      </c>
    </row>
    <row r="247" spans="1:22" x14ac:dyDescent="0.35">
      <c r="A247" s="22" t="s">
        <v>894</v>
      </c>
      <c r="B247" s="1" t="s">
        <v>895</v>
      </c>
      <c r="C247" s="1" t="s">
        <v>896</v>
      </c>
      <c r="D247" s="1" t="s">
        <v>897</v>
      </c>
      <c r="E247" s="1" t="s">
        <v>102</v>
      </c>
      <c r="F247" s="1" t="s">
        <v>241</v>
      </c>
      <c r="G247" s="1">
        <f t="shared" si="15"/>
        <v>4</v>
      </c>
      <c r="H247" s="1" t="s">
        <v>86</v>
      </c>
      <c r="I247" s="1" t="s">
        <v>49</v>
      </c>
      <c r="J247" s="23" t="s">
        <v>50</v>
      </c>
      <c r="K247" s="2" t="s">
        <v>51</v>
      </c>
      <c r="L247" s="1">
        <v>186</v>
      </c>
      <c r="M247" s="1">
        <v>89</v>
      </c>
      <c r="N247" s="1" t="str">
        <f t="shared" si="18"/>
        <v>Published</v>
      </c>
      <c r="O247" s="1">
        <f t="shared" si="16"/>
        <v>165.54</v>
      </c>
      <c r="P247" s="1"/>
      <c r="Q247" s="1">
        <v>701</v>
      </c>
      <c r="R247" s="1" t="str">
        <f t="shared" si="19"/>
        <v>1</v>
      </c>
      <c r="S247" s="1">
        <v>212</v>
      </c>
      <c r="T247" s="1" t="str">
        <f t="shared" si="17"/>
        <v>2</v>
      </c>
      <c r="U247" s="1">
        <v>-30.958362999999999</v>
      </c>
      <c r="V247" s="3">
        <v>148.387024</v>
      </c>
    </row>
    <row r="248" spans="1:22" x14ac:dyDescent="0.35">
      <c r="A248" s="22" t="s">
        <v>898</v>
      </c>
      <c r="B248" s="1" t="s">
        <v>899</v>
      </c>
      <c r="C248" s="1" t="s">
        <v>900</v>
      </c>
      <c r="D248" s="1" t="s">
        <v>275</v>
      </c>
      <c r="E248" s="1" t="s">
        <v>276</v>
      </c>
      <c r="F248" s="1" t="s">
        <v>57</v>
      </c>
      <c r="G248" s="1">
        <f t="shared" si="15"/>
        <v>2</v>
      </c>
      <c r="H248" s="1" t="s">
        <v>58</v>
      </c>
      <c r="I248" s="1" t="s">
        <v>49</v>
      </c>
      <c r="J248" s="23" t="s">
        <v>50</v>
      </c>
      <c r="K248" s="2" t="s">
        <v>51</v>
      </c>
      <c r="L248" s="1">
        <v>60</v>
      </c>
      <c r="M248" s="1">
        <v>15</v>
      </c>
      <c r="N248" s="1" t="str">
        <f t="shared" si="18"/>
        <v>Published</v>
      </c>
      <c r="O248" s="1">
        <f t="shared" si="16"/>
        <v>9</v>
      </c>
      <c r="P248" s="1"/>
      <c r="Q248" s="1">
        <v>925</v>
      </c>
      <c r="R248" s="1" t="str">
        <f t="shared" si="19"/>
        <v>2</v>
      </c>
      <c r="S248" s="1">
        <v>132</v>
      </c>
      <c r="T248" s="1" t="str">
        <f t="shared" si="17"/>
        <v>1</v>
      </c>
      <c r="U248" s="1">
        <v>-31.827511999999999</v>
      </c>
      <c r="V248" s="3">
        <v>152.60787400000001</v>
      </c>
    </row>
    <row r="249" spans="1:22" x14ac:dyDescent="0.35">
      <c r="A249" s="22" t="s">
        <v>901</v>
      </c>
      <c r="B249" s="1" t="s">
        <v>902</v>
      </c>
      <c r="C249" s="1" t="s">
        <v>903</v>
      </c>
      <c r="D249" s="1" t="s">
        <v>220</v>
      </c>
      <c r="E249" s="1" t="s">
        <v>107</v>
      </c>
      <c r="F249" s="1" t="s">
        <v>57</v>
      </c>
      <c r="G249" s="1">
        <f t="shared" si="15"/>
        <v>2</v>
      </c>
      <c r="H249" s="1" t="s">
        <v>92</v>
      </c>
      <c r="I249" s="1" t="s">
        <v>49</v>
      </c>
      <c r="J249" s="23" t="s">
        <v>50</v>
      </c>
      <c r="K249" s="2" t="s">
        <v>51</v>
      </c>
      <c r="L249" s="1">
        <v>92</v>
      </c>
      <c r="M249" s="1"/>
      <c r="N249" s="1" t="str">
        <f t="shared" si="18"/>
        <v>Suppressed</v>
      </c>
      <c r="O249" s="1" t="str">
        <f t="shared" si="16"/>
        <v/>
      </c>
      <c r="P249" s="1">
        <v>35</v>
      </c>
      <c r="Q249" s="1">
        <v>1066</v>
      </c>
      <c r="R249" s="1" t="str">
        <f t="shared" si="19"/>
        <v>3</v>
      </c>
      <c r="S249" s="1">
        <v>47</v>
      </c>
      <c r="T249" s="1" t="str">
        <f t="shared" si="17"/>
        <v>1</v>
      </c>
      <c r="U249" s="1">
        <v>-28.625696000000001</v>
      </c>
      <c r="V249" s="3">
        <v>153.487492</v>
      </c>
    </row>
    <row r="250" spans="1:22" x14ac:dyDescent="0.35">
      <c r="A250" s="22" t="s">
        <v>904</v>
      </c>
      <c r="B250" s="1" t="s">
        <v>905</v>
      </c>
      <c r="C250" s="1" t="s">
        <v>906</v>
      </c>
      <c r="D250" s="1" t="s">
        <v>191</v>
      </c>
      <c r="E250" s="1" t="s">
        <v>75</v>
      </c>
      <c r="F250" s="1" t="s">
        <v>47</v>
      </c>
      <c r="G250" s="1">
        <f t="shared" si="15"/>
        <v>1</v>
      </c>
      <c r="H250" s="1" t="s">
        <v>63</v>
      </c>
      <c r="I250" s="1" t="s">
        <v>49</v>
      </c>
      <c r="J250" s="23" t="s">
        <v>50</v>
      </c>
      <c r="K250" s="2" t="s">
        <v>51</v>
      </c>
      <c r="L250" s="1">
        <v>330</v>
      </c>
      <c r="M250" s="1">
        <v>22</v>
      </c>
      <c r="N250" s="1" t="str">
        <f t="shared" si="18"/>
        <v>Published</v>
      </c>
      <c r="O250" s="1">
        <f t="shared" si="16"/>
        <v>72.599999999999994</v>
      </c>
      <c r="P250" s="1">
        <v>9</v>
      </c>
      <c r="Q250" s="1">
        <v>948</v>
      </c>
      <c r="R250" s="1" t="str">
        <f t="shared" si="19"/>
        <v>2</v>
      </c>
      <c r="S250" s="1">
        <v>116</v>
      </c>
      <c r="T250" s="1" t="str">
        <f t="shared" si="17"/>
        <v>3</v>
      </c>
      <c r="U250" s="1">
        <v>-33.080500000000001</v>
      </c>
      <c r="V250" s="3">
        <v>151.44179299999999</v>
      </c>
    </row>
    <row r="251" spans="1:22" x14ac:dyDescent="0.35">
      <c r="A251" s="22" t="s">
        <v>907</v>
      </c>
      <c r="B251" s="1" t="s">
        <v>908</v>
      </c>
      <c r="C251" s="1" t="s">
        <v>909</v>
      </c>
      <c r="D251" s="1" t="s">
        <v>506</v>
      </c>
      <c r="E251" s="1" t="s">
        <v>80</v>
      </c>
      <c r="F251" s="1" t="s">
        <v>57</v>
      </c>
      <c r="G251" s="1">
        <f t="shared" si="15"/>
        <v>2</v>
      </c>
      <c r="H251" s="1" t="s">
        <v>70</v>
      </c>
      <c r="I251" s="1" t="s">
        <v>49</v>
      </c>
      <c r="J251" s="23" t="s">
        <v>50</v>
      </c>
      <c r="K251" s="2" t="s">
        <v>51</v>
      </c>
      <c r="L251" s="1">
        <v>214</v>
      </c>
      <c r="M251" s="1">
        <v>13</v>
      </c>
      <c r="N251" s="1" t="str">
        <f t="shared" si="18"/>
        <v>Published</v>
      </c>
      <c r="O251" s="1">
        <f t="shared" si="16"/>
        <v>27.82</v>
      </c>
      <c r="P251" s="1">
        <v>9</v>
      </c>
      <c r="Q251" s="1">
        <v>943</v>
      </c>
      <c r="R251" s="1" t="str">
        <f t="shared" si="19"/>
        <v>2</v>
      </c>
      <c r="S251" s="1">
        <v>126</v>
      </c>
      <c r="T251" s="1" t="str">
        <f t="shared" si="17"/>
        <v>2</v>
      </c>
      <c r="U251" s="1">
        <v>-34.638914</v>
      </c>
      <c r="V251" s="3">
        <v>148.02680899999999</v>
      </c>
    </row>
    <row r="252" spans="1:22" x14ac:dyDescent="0.35">
      <c r="A252" s="22" t="s">
        <v>910</v>
      </c>
      <c r="B252" s="1" t="s">
        <v>911</v>
      </c>
      <c r="C252" s="1" t="s">
        <v>912</v>
      </c>
      <c r="D252" s="1" t="s">
        <v>280</v>
      </c>
      <c r="E252" s="1" t="s">
        <v>281</v>
      </c>
      <c r="F252" s="1" t="s">
        <v>69</v>
      </c>
      <c r="G252" s="1">
        <f t="shared" si="15"/>
        <v>3</v>
      </c>
      <c r="H252" s="1" t="s">
        <v>92</v>
      </c>
      <c r="I252" s="1" t="s">
        <v>49</v>
      </c>
      <c r="J252" s="23" t="s">
        <v>50</v>
      </c>
      <c r="K252" s="2" t="s">
        <v>51</v>
      </c>
      <c r="L252" s="1">
        <v>66</v>
      </c>
      <c r="M252" s="1">
        <v>20</v>
      </c>
      <c r="N252" s="1" t="str">
        <f t="shared" si="18"/>
        <v>Published</v>
      </c>
      <c r="O252" s="1">
        <f t="shared" si="16"/>
        <v>13.200000000000001</v>
      </c>
      <c r="P252" s="1"/>
      <c r="Q252" s="1">
        <v>904</v>
      </c>
      <c r="R252" s="1" t="str">
        <f t="shared" si="19"/>
        <v>2</v>
      </c>
      <c r="S252" s="1">
        <v>134</v>
      </c>
      <c r="T252" s="1" t="str">
        <f t="shared" si="17"/>
        <v>1</v>
      </c>
      <c r="U252" s="1">
        <v>-29.584662999999999</v>
      </c>
      <c r="V252" s="3">
        <v>152.77553700000001</v>
      </c>
    </row>
    <row r="253" spans="1:22" x14ac:dyDescent="0.35">
      <c r="A253" s="22" t="s">
        <v>913</v>
      </c>
      <c r="B253" s="1" t="s">
        <v>914</v>
      </c>
      <c r="C253" s="1" t="s">
        <v>915</v>
      </c>
      <c r="D253" s="1" t="s">
        <v>587</v>
      </c>
      <c r="E253" s="1" t="s">
        <v>107</v>
      </c>
      <c r="F253" s="1" t="s">
        <v>57</v>
      </c>
      <c r="G253" s="1">
        <f t="shared" si="15"/>
        <v>2</v>
      </c>
      <c r="H253" s="1" t="s">
        <v>92</v>
      </c>
      <c r="I253" s="1" t="s">
        <v>49</v>
      </c>
      <c r="J253" s="23" t="s">
        <v>50</v>
      </c>
      <c r="K253" s="2" t="s">
        <v>51</v>
      </c>
      <c r="L253" s="1">
        <v>26</v>
      </c>
      <c r="M253" s="1">
        <v>46</v>
      </c>
      <c r="N253" s="1" t="str">
        <f t="shared" si="18"/>
        <v>Published</v>
      </c>
      <c r="O253" s="1">
        <f t="shared" si="16"/>
        <v>11.96</v>
      </c>
      <c r="P253" s="1"/>
      <c r="Q253" s="1">
        <v>823</v>
      </c>
      <c r="R253" s="1" t="str">
        <f t="shared" si="19"/>
        <v>1</v>
      </c>
      <c r="S253" s="1">
        <v>184</v>
      </c>
      <c r="T253" s="1" t="str">
        <f t="shared" si="17"/>
        <v>1</v>
      </c>
      <c r="U253" s="1">
        <v>-28.992588999999999</v>
      </c>
      <c r="V253" s="3">
        <v>153.28264100000001</v>
      </c>
    </row>
    <row r="254" spans="1:22" x14ac:dyDescent="0.35">
      <c r="A254" s="22" t="s">
        <v>916</v>
      </c>
      <c r="B254" s="1" t="s">
        <v>917</v>
      </c>
      <c r="C254" s="1" t="s">
        <v>918</v>
      </c>
      <c r="D254" s="1" t="s">
        <v>465</v>
      </c>
      <c r="E254" s="1" t="s">
        <v>281</v>
      </c>
      <c r="F254" s="1" t="s">
        <v>57</v>
      </c>
      <c r="G254" s="1">
        <f t="shared" si="15"/>
        <v>2</v>
      </c>
      <c r="H254" s="1" t="s">
        <v>58</v>
      </c>
      <c r="I254" s="1" t="s">
        <v>49</v>
      </c>
      <c r="J254" s="23" t="s">
        <v>50</v>
      </c>
      <c r="K254" s="2" t="s">
        <v>51</v>
      </c>
      <c r="L254" s="1">
        <v>30</v>
      </c>
      <c r="M254" s="1">
        <v>20</v>
      </c>
      <c r="N254" s="1" t="str">
        <f t="shared" si="18"/>
        <v>Published</v>
      </c>
      <c r="O254" s="1">
        <f t="shared" si="16"/>
        <v>6</v>
      </c>
      <c r="P254" s="1"/>
      <c r="Q254" s="1">
        <v>912</v>
      </c>
      <c r="R254" s="1" t="str">
        <f t="shared" si="19"/>
        <v>2</v>
      </c>
      <c r="S254" s="1">
        <v>144</v>
      </c>
      <c r="T254" s="1" t="str">
        <f t="shared" si="17"/>
        <v>1</v>
      </c>
      <c r="U254" s="1">
        <v>-30.221578000000001</v>
      </c>
      <c r="V254" s="3">
        <v>153.01151300000001</v>
      </c>
    </row>
    <row r="255" spans="1:22" x14ac:dyDescent="0.35">
      <c r="A255" s="22" t="s">
        <v>919</v>
      </c>
      <c r="B255" s="1" t="s">
        <v>920</v>
      </c>
      <c r="C255" s="1" t="s">
        <v>921</v>
      </c>
      <c r="D255" s="1" t="s">
        <v>465</v>
      </c>
      <c r="E255" s="1" t="s">
        <v>281</v>
      </c>
      <c r="F255" s="1" t="s">
        <v>57</v>
      </c>
      <c r="G255" s="1">
        <f t="shared" si="15"/>
        <v>2</v>
      </c>
      <c r="H255" s="1" t="s">
        <v>92</v>
      </c>
      <c r="I255" s="1" t="s">
        <v>49</v>
      </c>
      <c r="J255" s="23" t="s">
        <v>50</v>
      </c>
      <c r="K255" s="2" t="s">
        <v>51</v>
      </c>
      <c r="L255" s="1">
        <v>183</v>
      </c>
      <c r="M255" s="1">
        <v>26</v>
      </c>
      <c r="N255" s="1" t="str">
        <f t="shared" si="18"/>
        <v>Published</v>
      </c>
      <c r="O255" s="1">
        <f t="shared" si="16"/>
        <v>47.58</v>
      </c>
      <c r="P255" s="1">
        <v>9</v>
      </c>
      <c r="Q255" s="1">
        <v>938</v>
      </c>
      <c r="R255" s="1" t="str">
        <f t="shared" si="19"/>
        <v>2</v>
      </c>
      <c r="S255" s="1">
        <v>114</v>
      </c>
      <c r="T255" s="1" t="str">
        <f t="shared" si="17"/>
        <v>2</v>
      </c>
      <c r="U255" s="1">
        <v>-30.021469</v>
      </c>
      <c r="V255" s="3">
        <v>153.19423399999999</v>
      </c>
    </row>
    <row r="256" spans="1:22" x14ac:dyDescent="0.35">
      <c r="A256" s="22" t="s">
        <v>922</v>
      </c>
      <c r="B256" s="1" t="s">
        <v>923</v>
      </c>
      <c r="C256" s="1" t="s">
        <v>924</v>
      </c>
      <c r="D256" s="1" t="s">
        <v>390</v>
      </c>
      <c r="E256" s="1" t="s">
        <v>107</v>
      </c>
      <c r="F256" s="1" t="s">
        <v>57</v>
      </c>
      <c r="G256" s="1">
        <f t="shared" si="15"/>
        <v>2</v>
      </c>
      <c r="H256" s="1" t="s">
        <v>92</v>
      </c>
      <c r="I256" s="1" t="s">
        <v>49</v>
      </c>
      <c r="J256" s="23" t="s">
        <v>50</v>
      </c>
      <c r="K256" s="2" t="s">
        <v>51</v>
      </c>
      <c r="L256" s="1">
        <v>23</v>
      </c>
      <c r="M256" s="1"/>
      <c r="N256" s="1" t="str">
        <f t="shared" si="18"/>
        <v>Suppressed</v>
      </c>
      <c r="O256" s="1" t="str">
        <f t="shared" si="16"/>
        <v/>
      </c>
      <c r="P256" s="1"/>
      <c r="Q256" s="1">
        <v>998</v>
      </c>
      <c r="R256" s="1" t="str">
        <f t="shared" si="19"/>
        <v>2</v>
      </c>
      <c r="S256" s="1">
        <v>83</v>
      </c>
      <c r="T256" s="1" t="str">
        <f t="shared" si="17"/>
        <v>1</v>
      </c>
      <c r="U256" s="1">
        <v>-28.713149999999999</v>
      </c>
      <c r="V256" s="3">
        <v>153.36248900000001</v>
      </c>
    </row>
    <row r="257" spans="1:22" x14ac:dyDescent="0.35">
      <c r="A257" s="22" t="s">
        <v>925</v>
      </c>
      <c r="B257" s="1" t="s">
        <v>926</v>
      </c>
      <c r="C257" s="1" t="s">
        <v>927</v>
      </c>
      <c r="D257" s="1" t="s">
        <v>529</v>
      </c>
      <c r="E257" s="1" t="s">
        <v>96</v>
      </c>
      <c r="F257" s="1" t="s">
        <v>57</v>
      </c>
      <c r="G257" s="1">
        <f t="shared" si="15"/>
        <v>2</v>
      </c>
      <c r="H257" s="1" t="s">
        <v>70</v>
      </c>
      <c r="I257" s="1" t="s">
        <v>49</v>
      </c>
      <c r="J257" s="23" t="s">
        <v>50</v>
      </c>
      <c r="K257" s="2" t="s">
        <v>51</v>
      </c>
      <c r="L257" s="1">
        <v>162</v>
      </c>
      <c r="M257" s="1">
        <v>6</v>
      </c>
      <c r="N257" s="1" t="str">
        <f t="shared" si="18"/>
        <v>Published</v>
      </c>
      <c r="O257" s="1">
        <f t="shared" si="16"/>
        <v>9.7199999999999989</v>
      </c>
      <c r="P257" s="1">
        <v>7</v>
      </c>
      <c r="Q257" s="1">
        <v>957</v>
      </c>
      <c r="R257" s="1" t="str">
        <f t="shared" si="19"/>
        <v>2</v>
      </c>
      <c r="S257" s="1">
        <v>122</v>
      </c>
      <c r="T257" s="1" t="str">
        <f t="shared" si="17"/>
        <v>2</v>
      </c>
      <c r="U257" s="1">
        <v>-35.992545</v>
      </c>
      <c r="V257" s="3">
        <v>146.39490000000001</v>
      </c>
    </row>
    <row r="258" spans="1:22" x14ac:dyDescent="0.35">
      <c r="A258" s="22" t="s">
        <v>928</v>
      </c>
      <c r="B258" s="1" t="s">
        <v>929</v>
      </c>
      <c r="C258" s="1" t="s">
        <v>927</v>
      </c>
      <c r="D258" s="1" t="s">
        <v>529</v>
      </c>
      <c r="E258" s="1" t="s">
        <v>96</v>
      </c>
      <c r="F258" s="1" t="s">
        <v>57</v>
      </c>
      <c r="G258" s="1">
        <f t="shared" ref="G258:G321" si="20">IF(F258="Major Cities of Australia",1,IF(F258="Inner Regional Australia",2,IF(F258="Outer Regional Australia",3,IF(F258="Remote Australia",4,IF(F258="Very Remote Australia",5,6)))))</f>
        <v>2</v>
      </c>
      <c r="H258" s="1" t="s">
        <v>70</v>
      </c>
      <c r="I258" s="1" t="s">
        <v>49</v>
      </c>
      <c r="J258" s="23" t="s">
        <v>50</v>
      </c>
      <c r="K258" s="2" t="s">
        <v>51</v>
      </c>
      <c r="L258" s="1">
        <v>40</v>
      </c>
      <c r="M258" s="1"/>
      <c r="N258" s="1" t="str">
        <f t="shared" si="18"/>
        <v>Suppressed</v>
      </c>
      <c r="O258" s="1" t="str">
        <f t="shared" ref="O258:O321" si="21">IF(OR(M258="",L258=""),"",M258/100*L258)</f>
        <v/>
      </c>
      <c r="P258" s="1"/>
      <c r="Q258" s="1">
        <v>946</v>
      </c>
      <c r="R258" s="1" t="str">
        <f t="shared" si="19"/>
        <v>2</v>
      </c>
      <c r="S258" s="1">
        <v>116</v>
      </c>
      <c r="T258" s="1" t="str">
        <f t="shared" ref="T258:T321" si="22">IF(L258="","No enrolment",IF(L258&lt;100,"1",IF(L258&lt;300,"2",IF(L258&lt;600,"3",IF(L258&lt;1000,"4","5")))))</f>
        <v>1</v>
      </c>
      <c r="U258" s="1">
        <v>-36.020988000000003</v>
      </c>
      <c r="V258" s="3">
        <v>146.37617599999999</v>
      </c>
    </row>
    <row r="259" spans="1:22" x14ac:dyDescent="0.35">
      <c r="A259" s="22" t="s">
        <v>930</v>
      </c>
      <c r="B259" s="1" t="s">
        <v>931</v>
      </c>
      <c r="C259" s="1" t="s">
        <v>932</v>
      </c>
      <c r="D259" s="1" t="s">
        <v>176</v>
      </c>
      <c r="E259" s="1" t="s">
        <v>85</v>
      </c>
      <c r="F259" s="1" t="s">
        <v>47</v>
      </c>
      <c r="G259" s="1">
        <f t="shared" si="20"/>
        <v>1</v>
      </c>
      <c r="H259" s="1" t="s">
        <v>86</v>
      </c>
      <c r="I259" s="1" t="s">
        <v>49</v>
      </c>
      <c r="J259" s="23" t="s">
        <v>50</v>
      </c>
      <c r="K259" s="2" t="s">
        <v>51</v>
      </c>
      <c r="L259" s="1">
        <v>227</v>
      </c>
      <c r="M259" s="1">
        <v>7</v>
      </c>
      <c r="N259" s="1" t="str">
        <f t="shared" ref="N259:N322" si="23">IF(M259="","Suppressed","Published")</f>
        <v>Published</v>
      </c>
      <c r="O259" s="1">
        <f t="shared" si="21"/>
        <v>15.890000000000002</v>
      </c>
      <c r="P259" s="1">
        <v>17</v>
      </c>
      <c r="Q259" s="1">
        <v>1013</v>
      </c>
      <c r="R259" s="1" t="str">
        <f t="shared" ref="R259:R322" si="24">IF(Q259="","No ICSEA",IF(Q259&lt;900,"1",IF(Q259&lt;1000,"2",IF(Q259&lt;1100,"3","4"))))</f>
        <v>3</v>
      </c>
      <c r="S259" s="1">
        <v>84</v>
      </c>
      <c r="T259" s="1" t="str">
        <f t="shared" si="22"/>
        <v>2</v>
      </c>
      <c r="U259" s="1">
        <v>-34.367370999999999</v>
      </c>
      <c r="V259" s="3">
        <v>150.899022</v>
      </c>
    </row>
    <row r="260" spans="1:22" x14ac:dyDescent="0.35">
      <c r="A260" s="22" t="s">
        <v>933</v>
      </c>
      <c r="B260" s="1" t="s">
        <v>934</v>
      </c>
      <c r="C260" s="1" t="s">
        <v>935</v>
      </c>
      <c r="D260" s="1" t="s">
        <v>280</v>
      </c>
      <c r="E260" s="1" t="s">
        <v>281</v>
      </c>
      <c r="F260" s="1" t="s">
        <v>57</v>
      </c>
      <c r="G260" s="1">
        <f t="shared" si="20"/>
        <v>2</v>
      </c>
      <c r="H260" s="1" t="s">
        <v>92</v>
      </c>
      <c r="I260" s="1" t="s">
        <v>49</v>
      </c>
      <c r="J260" s="23" t="s">
        <v>50</v>
      </c>
      <c r="K260" s="2" t="s">
        <v>51</v>
      </c>
      <c r="L260" s="1">
        <v>66</v>
      </c>
      <c r="M260" s="1">
        <v>14</v>
      </c>
      <c r="N260" s="1" t="str">
        <f t="shared" si="23"/>
        <v>Published</v>
      </c>
      <c r="O260" s="1">
        <f t="shared" si="21"/>
        <v>9.24</v>
      </c>
      <c r="P260" s="1"/>
      <c r="Q260" s="1">
        <v>903</v>
      </c>
      <c r="R260" s="1" t="str">
        <f t="shared" si="24"/>
        <v>2</v>
      </c>
      <c r="S260" s="1">
        <v>143</v>
      </c>
      <c r="T260" s="1" t="str">
        <f t="shared" si="22"/>
        <v>1</v>
      </c>
      <c r="U260" s="1">
        <v>-29.832063000000002</v>
      </c>
      <c r="V260" s="3">
        <v>152.88948400000001</v>
      </c>
    </row>
    <row r="261" spans="1:22" x14ac:dyDescent="0.35">
      <c r="A261" s="22" t="s">
        <v>936</v>
      </c>
      <c r="B261" s="1" t="s">
        <v>937</v>
      </c>
      <c r="C261" s="1" t="s">
        <v>938</v>
      </c>
      <c r="D261" s="1" t="s">
        <v>126</v>
      </c>
      <c r="E261" s="1" t="s">
        <v>147</v>
      </c>
      <c r="F261" s="1" t="s">
        <v>57</v>
      </c>
      <c r="G261" s="1">
        <f t="shared" si="20"/>
        <v>2</v>
      </c>
      <c r="H261" s="1" t="s">
        <v>63</v>
      </c>
      <c r="I261" s="1" t="s">
        <v>49</v>
      </c>
      <c r="J261" s="23" t="s">
        <v>50</v>
      </c>
      <c r="K261" s="2" t="s">
        <v>51</v>
      </c>
      <c r="L261" s="1">
        <v>24</v>
      </c>
      <c r="M261" s="1">
        <v>0</v>
      </c>
      <c r="N261" s="1" t="str">
        <f t="shared" si="23"/>
        <v>Published</v>
      </c>
      <c r="O261" s="1">
        <f t="shared" si="21"/>
        <v>0</v>
      </c>
      <c r="P261" s="1">
        <v>26</v>
      </c>
      <c r="Q261" s="1">
        <v>1063</v>
      </c>
      <c r="R261" s="1" t="str">
        <f t="shared" si="24"/>
        <v>3</v>
      </c>
      <c r="S261" s="1">
        <v>39</v>
      </c>
      <c r="T261" s="1" t="str">
        <f t="shared" si="22"/>
        <v>1</v>
      </c>
      <c r="U261" s="1">
        <v>-33.588808</v>
      </c>
      <c r="V261" s="3">
        <v>151.16884300000001</v>
      </c>
    </row>
    <row r="262" spans="1:22" x14ac:dyDescent="0.35">
      <c r="A262" s="22" t="s">
        <v>939</v>
      </c>
      <c r="B262" s="1" t="s">
        <v>940</v>
      </c>
      <c r="C262" s="1" t="s">
        <v>941</v>
      </c>
      <c r="D262" s="1" t="s">
        <v>280</v>
      </c>
      <c r="E262" s="1" t="s">
        <v>281</v>
      </c>
      <c r="F262" s="1" t="s">
        <v>57</v>
      </c>
      <c r="G262" s="1">
        <f t="shared" si="20"/>
        <v>2</v>
      </c>
      <c r="H262" s="1" t="s">
        <v>92</v>
      </c>
      <c r="I262" s="1" t="s">
        <v>49</v>
      </c>
      <c r="J262" s="23" t="s">
        <v>50</v>
      </c>
      <c r="K262" s="2" t="s">
        <v>51</v>
      </c>
      <c r="L262" s="1">
        <v>17</v>
      </c>
      <c r="M262" s="1">
        <v>65</v>
      </c>
      <c r="N262" s="1" t="str">
        <f t="shared" si="23"/>
        <v>Published</v>
      </c>
      <c r="O262" s="1">
        <f t="shared" si="21"/>
        <v>11.05</v>
      </c>
      <c r="P262" s="1"/>
      <c r="Q262" s="1">
        <v>774</v>
      </c>
      <c r="R262" s="1" t="str">
        <f t="shared" si="24"/>
        <v>1</v>
      </c>
      <c r="S262" s="1">
        <v>144</v>
      </c>
      <c r="T262" s="1" t="str">
        <f t="shared" si="22"/>
        <v>1</v>
      </c>
      <c r="U262" s="1">
        <v>-29.569559999999999</v>
      </c>
      <c r="V262" s="3">
        <v>153.077731</v>
      </c>
    </row>
    <row r="263" spans="1:22" x14ac:dyDescent="0.35">
      <c r="A263" s="22" t="s">
        <v>942</v>
      </c>
      <c r="B263" s="1" t="s">
        <v>943</v>
      </c>
      <c r="C263" s="1" t="s">
        <v>944</v>
      </c>
      <c r="D263" s="1" t="s">
        <v>944</v>
      </c>
      <c r="E263" s="1" t="s">
        <v>261</v>
      </c>
      <c r="F263" s="1" t="s">
        <v>57</v>
      </c>
      <c r="G263" s="1">
        <f t="shared" si="20"/>
        <v>2</v>
      </c>
      <c r="H263" s="1" t="s">
        <v>70</v>
      </c>
      <c r="I263" s="1" t="s">
        <v>49</v>
      </c>
      <c r="J263" s="23" t="s">
        <v>50</v>
      </c>
      <c r="K263" s="2" t="s">
        <v>51</v>
      </c>
      <c r="L263" s="1">
        <v>338</v>
      </c>
      <c r="M263" s="1">
        <v>32</v>
      </c>
      <c r="N263" s="1" t="str">
        <f t="shared" si="23"/>
        <v>Published</v>
      </c>
      <c r="O263" s="1">
        <f t="shared" si="21"/>
        <v>108.16</v>
      </c>
      <c r="P263" s="1">
        <v>4</v>
      </c>
      <c r="Q263" s="1">
        <v>895</v>
      </c>
      <c r="R263" s="1" t="str">
        <f t="shared" si="24"/>
        <v>1</v>
      </c>
      <c r="S263" s="1">
        <v>135</v>
      </c>
      <c r="T263" s="1" t="str">
        <f t="shared" si="22"/>
        <v>3</v>
      </c>
      <c r="U263" s="1">
        <v>-33.836027999999999</v>
      </c>
      <c r="V263" s="3">
        <v>148.68992</v>
      </c>
    </row>
    <row r="264" spans="1:22" x14ac:dyDescent="0.35">
      <c r="A264" s="22" t="s">
        <v>945</v>
      </c>
      <c r="B264" s="1" t="s">
        <v>946</v>
      </c>
      <c r="C264" s="1" t="s">
        <v>947</v>
      </c>
      <c r="D264" s="1" t="s">
        <v>236</v>
      </c>
      <c r="E264" s="1" t="s">
        <v>107</v>
      </c>
      <c r="F264" s="1" t="s">
        <v>57</v>
      </c>
      <c r="G264" s="1">
        <f t="shared" si="20"/>
        <v>2</v>
      </c>
      <c r="H264" s="1" t="s">
        <v>92</v>
      </c>
      <c r="I264" s="1" t="s">
        <v>49</v>
      </c>
      <c r="J264" s="23" t="s">
        <v>50</v>
      </c>
      <c r="K264" s="2" t="s">
        <v>51</v>
      </c>
      <c r="L264" s="1">
        <v>37</v>
      </c>
      <c r="M264" s="1"/>
      <c r="N264" s="1" t="str">
        <f t="shared" si="23"/>
        <v>Suppressed</v>
      </c>
      <c r="O264" s="1" t="str">
        <f t="shared" si="21"/>
        <v/>
      </c>
      <c r="P264" s="1">
        <v>25</v>
      </c>
      <c r="Q264" s="1">
        <v>985</v>
      </c>
      <c r="R264" s="1" t="str">
        <f t="shared" si="24"/>
        <v>2</v>
      </c>
      <c r="S264" s="1">
        <v>101</v>
      </c>
      <c r="T264" s="1" t="str">
        <f t="shared" si="22"/>
        <v>1</v>
      </c>
      <c r="U264" s="1">
        <v>-28.456004</v>
      </c>
      <c r="V264" s="3">
        <v>153.49657500000001</v>
      </c>
    </row>
    <row r="265" spans="1:22" x14ac:dyDescent="0.35">
      <c r="A265" s="22" t="s">
        <v>948</v>
      </c>
      <c r="B265" s="1" t="s">
        <v>949</v>
      </c>
      <c r="C265" s="1" t="s">
        <v>950</v>
      </c>
      <c r="D265" s="1" t="s">
        <v>325</v>
      </c>
      <c r="E265" s="1" t="s">
        <v>276</v>
      </c>
      <c r="F265" s="1" t="s">
        <v>57</v>
      </c>
      <c r="G265" s="1">
        <f t="shared" si="20"/>
        <v>2</v>
      </c>
      <c r="H265" s="1" t="s">
        <v>58</v>
      </c>
      <c r="I265" s="1" t="s">
        <v>49</v>
      </c>
      <c r="J265" s="23" t="s">
        <v>50</v>
      </c>
      <c r="K265" s="2" t="s">
        <v>51</v>
      </c>
      <c r="L265" s="1">
        <v>167</v>
      </c>
      <c r="M265" s="1">
        <v>13</v>
      </c>
      <c r="N265" s="1" t="str">
        <f t="shared" si="23"/>
        <v>Published</v>
      </c>
      <c r="O265" s="1">
        <f t="shared" si="21"/>
        <v>21.71</v>
      </c>
      <c r="P265" s="1">
        <v>6</v>
      </c>
      <c r="Q265" s="1">
        <v>987</v>
      </c>
      <c r="R265" s="1" t="str">
        <f t="shared" si="24"/>
        <v>2</v>
      </c>
      <c r="S265" s="1">
        <v>78</v>
      </c>
      <c r="T265" s="1" t="str">
        <f t="shared" si="22"/>
        <v>2</v>
      </c>
      <c r="U265" s="1">
        <v>-31.188089000000002</v>
      </c>
      <c r="V265" s="3">
        <v>152.97034500000001</v>
      </c>
    </row>
    <row r="266" spans="1:22" x14ac:dyDescent="0.35">
      <c r="A266" s="22" t="s">
        <v>951</v>
      </c>
      <c r="B266" s="1" t="s">
        <v>952</v>
      </c>
      <c r="C266" s="1" t="s">
        <v>953</v>
      </c>
      <c r="D266" s="1" t="s">
        <v>737</v>
      </c>
      <c r="E266" s="1" t="s">
        <v>738</v>
      </c>
      <c r="F266" s="1" t="s">
        <v>47</v>
      </c>
      <c r="G266" s="1">
        <f t="shared" si="20"/>
        <v>1</v>
      </c>
      <c r="H266" s="1" t="s">
        <v>182</v>
      </c>
      <c r="I266" s="1" t="s">
        <v>49</v>
      </c>
      <c r="J266" s="23" t="s">
        <v>50</v>
      </c>
      <c r="K266" s="2" t="s">
        <v>51</v>
      </c>
      <c r="L266" s="1">
        <v>516</v>
      </c>
      <c r="M266" s="1">
        <v>3</v>
      </c>
      <c r="N266" s="1" t="str">
        <f t="shared" si="23"/>
        <v>Published</v>
      </c>
      <c r="O266" s="1">
        <f t="shared" si="21"/>
        <v>15.479999999999999</v>
      </c>
      <c r="P266" s="1">
        <v>21</v>
      </c>
      <c r="Q266" s="1">
        <v>1064</v>
      </c>
      <c r="R266" s="1" t="str">
        <f t="shared" si="24"/>
        <v>3</v>
      </c>
      <c r="S266" s="1">
        <v>60</v>
      </c>
      <c r="T266" s="1" t="str">
        <f t="shared" si="22"/>
        <v>3</v>
      </c>
      <c r="U266" s="1">
        <v>-34.054076999999999</v>
      </c>
      <c r="V266" s="3">
        <v>151.14773</v>
      </c>
    </row>
    <row r="267" spans="1:22" x14ac:dyDescent="0.35">
      <c r="A267" s="22" t="s">
        <v>954</v>
      </c>
      <c r="B267" s="1" t="s">
        <v>955</v>
      </c>
      <c r="C267" s="1" t="s">
        <v>956</v>
      </c>
      <c r="D267" s="1" t="s">
        <v>394</v>
      </c>
      <c r="E267" s="1" t="s">
        <v>68</v>
      </c>
      <c r="F267" s="1" t="s">
        <v>57</v>
      </c>
      <c r="G267" s="1">
        <f t="shared" si="20"/>
        <v>2</v>
      </c>
      <c r="H267" s="1" t="s">
        <v>86</v>
      </c>
      <c r="I267" s="1" t="s">
        <v>49</v>
      </c>
      <c r="J267" s="23" t="s">
        <v>50</v>
      </c>
      <c r="K267" s="2" t="s">
        <v>51</v>
      </c>
      <c r="L267" s="1">
        <v>220</v>
      </c>
      <c r="M267" s="1">
        <v>7</v>
      </c>
      <c r="N267" s="1" t="str">
        <f t="shared" si="23"/>
        <v>Published</v>
      </c>
      <c r="O267" s="1">
        <f t="shared" si="21"/>
        <v>15.400000000000002</v>
      </c>
      <c r="P267" s="1">
        <v>7</v>
      </c>
      <c r="Q267" s="1">
        <v>963</v>
      </c>
      <c r="R267" s="1" t="str">
        <f t="shared" si="24"/>
        <v>2</v>
      </c>
      <c r="S267" s="1">
        <v>108</v>
      </c>
      <c r="T267" s="1" t="str">
        <f t="shared" si="22"/>
        <v>2</v>
      </c>
      <c r="U267" s="1">
        <v>-34.459938000000001</v>
      </c>
      <c r="V267" s="3">
        <v>149.46980600000001</v>
      </c>
    </row>
    <row r="268" spans="1:22" x14ac:dyDescent="0.35">
      <c r="A268" s="22" t="s">
        <v>957</v>
      </c>
      <c r="B268" s="1" t="s">
        <v>958</v>
      </c>
      <c r="C268" s="1" t="s">
        <v>959</v>
      </c>
      <c r="D268" s="1" t="s">
        <v>465</v>
      </c>
      <c r="E268" s="1" t="s">
        <v>281</v>
      </c>
      <c r="F268" s="1" t="s">
        <v>57</v>
      </c>
      <c r="G268" s="1">
        <f t="shared" si="20"/>
        <v>2</v>
      </c>
      <c r="H268" s="1" t="s">
        <v>58</v>
      </c>
      <c r="I268" s="1" t="s">
        <v>49</v>
      </c>
      <c r="J268" s="23" t="s">
        <v>50</v>
      </c>
      <c r="K268" s="2" t="s">
        <v>51</v>
      </c>
      <c r="L268" s="1">
        <v>45</v>
      </c>
      <c r="M268" s="1"/>
      <c r="N268" s="1" t="str">
        <f t="shared" si="23"/>
        <v>Suppressed</v>
      </c>
      <c r="O268" s="1" t="str">
        <f t="shared" si="21"/>
        <v/>
      </c>
      <c r="P268" s="1"/>
      <c r="Q268" s="1">
        <v>988</v>
      </c>
      <c r="R268" s="1" t="str">
        <f t="shared" si="24"/>
        <v>2</v>
      </c>
      <c r="S268" s="1">
        <v>81</v>
      </c>
      <c r="T268" s="1" t="str">
        <f t="shared" si="22"/>
        <v>1</v>
      </c>
      <c r="U268" s="1">
        <v>-30.365945</v>
      </c>
      <c r="V268" s="3">
        <v>152.98158599999999</v>
      </c>
    </row>
    <row r="269" spans="1:22" x14ac:dyDescent="0.35">
      <c r="A269" s="22" t="s">
        <v>960</v>
      </c>
      <c r="B269" s="1" t="s">
        <v>961</v>
      </c>
      <c r="C269" s="1" t="s">
        <v>962</v>
      </c>
      <c r="D269" s="1" t="s">
        <v>963</v>
      </c>
      <c r="E269" s="1" t="s">
        <v>96</v>
      </c>
      <c r="F269" s="1" t="s">
        <v>69</v>
      </c>
      <c r="G269" s="1">
        <f t="shared" si="20"/>
        <v>3</v>
      </c>
      <c r="H269" s="1" t="s">
        <v>70</v>
      </c>
      <c r="I269" s="1" t="s">
        <v>49</v>
      </c>
      <c r="J269" s="23" t="s">
        <v>50</v>
      </c>
      <c r="K269" s="2" t="s">
        <v>51</v>
      </c>
      <c r="L269" s="1">
        <v>80</v>
      </c>
      <c r="M269" s="1">
        <v>38</v>
      </c>
      <c r="N269" s="1" t="str">
        <f t="shared" si="23"/>
        <v>Published</v>
      </c>
      <c r="O269" s="1">
        <f t="shared" si="21"/>
        <v>30.4</v>
      </c>
      <c r="P269" s="1">
        <v>13</v>
      </c>
      <c r="Q269" s="1">
        <v>870</v>
      </c>
      <c r="R269" s="1" t="str">
        <f t="shared" si="24"/>
        <v>1</v>
      </c>
      <c r="S269" s="1">
        <v>139</v>
      </c>
      <c r="T269" s="1" t="str">
        <f t="shared" si="22"/>
        <v>1</v>
      </c>
      <c r="U269" s="1">
        <v>-34.169471000000001</v>
      </c>
      <c r="V269" s="3">
        <v>142.18131500000001</v>
      </c>
    </row>
    <row r="270" spans="1:22" x14ac:dyDescent="0.35">
      <c r="A270" s="22" t="s">
        <v>964</v>
      </c>
      <c r="B270" s="1" t="s">
        <v>965</v>
      </c>
      <c r="C270" s="1" t="s">
        <v>966</v>
      </c>
      <c r="D270" s="1" t="s">
        <v>236</v>
      </c>
      <c r="E270" s="1" t="s">
        <v>107</v>
      </c>
      <c r="F270" s="1" t="s">
        <v>57</v>
      </c>
      <c r="G270" s="1">
        <f t="shared" si="20"/>
        <v>2</v>
      </c>
      <c r="H270" s="1" t="s">
        <v>92</v>
      </c>
      <c r="I270" s="1" t="s">
        <v>49</v>
      </c>
      <c r="J270" s="23" t="s">
        <v>50</v>
      </c>
      <c r="K270" s="2" t="s">
        <v>51</v>
      </c>
      <c r="L270" s="1">
        <v>80</v>
      </c>
      <c r="M270" s="1">
        <v>13</v>
      </c>
      <c r="N270" s="1" t="str">
        <f t="shared" si="23"/>
        <v>Published</v>
      </c>
      <c r="O270" s="1">
        <f t="shared" si="21"/>
        <v>10.4</v>
      </c>
      <c r="P270" s="1"/>
      <c r="Q270" s="1">
        <v>939</v>
      </c>
      <c r="R270" s="1" t="str">
        <f t="shared" si="24"/>
        <v>2</v>
      </c>
      <c r="S270" s="1">
        <v>120</v>
      </c>
      <c r="T270" s="1" t="str">
        <f t="shared" si="22"/>
        <v>1</v>
      </c>
      <c r="U270" s="1">
        <v>-28.312139999999999</v>
      </c>
      <c r="V270" s="3">
        <v>153.32596000000001</v>
      </c>
    </row>
    <row r="271" spans="1:22" x14ac:dyDescent="0.35">
      <c r="A271" s="22" t="s">
        <v>967</v>
      </c>
      <c r="B271" s="1" t="s">
        <v>968</v>
      </c>
      <c r="C271" s="1" t="s">
        <v>969</v>
      </c>
      <c r="D271" s="1" t="s">
        <v>730</v>
      </c>
      <c r="E271" s="1" t="s">
        <v>261</v>
      </c>
      <c r="F271" s="1" t="s">
        <v>69</v>
      </c>
      <c r="G271" s="1">
        <f t="shared" si="20"/>
        <v>3</v>
      </c>
      <c r="H271" s="1" t="s">
        <v>70</v>
      </c>
      <c r="I271" s="1" t="s">
        <v>49</v>
      </c>
      <c r="J271" s="23" t="s">
        <v>50</v>
      </c>
      <c r="K271" s="2" t="s">
        <v>51</v>
      </c>
      <c r="L271" s="1">
        <v>48</v>
      </c>
      <c r="M271" s="1"/>
      <c r="N271" s="1" t="str">
        <f t="shared" si="23"/>
        <v>Suppressed</v>
      </c>
      <c r="O271" s="1" t="str">
        <f t="shared" si="21"/>
        <v/>
      </c>
      <c r="P271" s="1">
        <v>0</v>
      </c>
      <c r="Q271" s="1">
        <v>979</v>
      </c>
      <c r="R271" s="1" t="str">
        <f t="shared" si="24"/>
        <v>2</v>
      </c>
      <c r="S271" s="1">
        <v>107</v>
      </c>
      <c r="T271" s="1" t="str">
        <f t="shared" si="22"/>
        <v>1</v>
      </c>
      <c r="U271" s="1">
        <v>-33.287098999999998</v>
      </c>
      <c r="V271" s="3">
        <v>148.740307</v>
      </c>
    </row>
    <row r="272" spans="1:22" x14ac:dyDescent="0.35">
      <c r="A272" s="22" t="s">
        <v>970</v>
      </c>
      <c r="B272" s="1" t="s">
        <v>971</v>
      </c>
      <c r="C272" s="1" t="s">
        <v>972</v>
      </c>
      <c r="D272" s="1" t="s">
        <v>236</v>
      </c>
      <c r="E272" s="1" t="s">
        <v>107</v>
      </c>
      <c r="F272" s="1" t="s">
        <v>47</v>
      </c>
      <c r="G272" s="1">
        <f t="shared" si="20"/>
        <v>1</v>
      </c>
      <c r="H272" s="1" t="s">
        <v>92</v>
      </c>
      <c r="I272" s="1" t="s">
        <v>49</v>
      </c>
      <c r="J272" s="23" t="s">
        <v>50</v>
      </c>
      <c r="K272" s="2" t="s">
        <v>51</v>
      </c>
      <c r="L272" s="1">
        <v>161</v>
      </c>
      <c r="M272" s="1">
        <v>24</v>
      </c>
      <c r="N272" s="1" t="str">
        <f t="shared" si="23"/>
        <v>Published</v>
      </c>
      <c r="O272" s="1">
        <f t="shared" si="21"/>
        <v>38.64</v>
      </c>
      <c r="P272" s="1">
        <v>8</v>
      </c>
      <c r="Q272" s="1">
        <v>984</v>
      </c>
      <c r="R272" s="1" t="str">
        <f t="shared" si="24"/>
        <v>2</v>
      </c>
      <c r="S272" s="1">
        <v>87</v>
      </c>
      <c r="T272" s="1" t="str">
        <f t="shared" si="22"/>
        <v>2</v>
      </c>
      <c r="U272" s="1">
        <v>-28.262592000000001</v>
      </c>
      <c r="V272" s="3">
        <v>153.55541600000001</v>
      </c>
    </row>
    <row r="273" spans="1:22" x14ac:dyDescent="0.35">
      <c r="A273" s="22" t="s">
        <v>973</v>
      </c>
      <c r="B273" s="1" t="s">
        <v>974</v>
      </c>
      <c r="C273" s="1" t="s">
        <v>975</v>
      </c>
      <c r="D273" s="1" t="s">
        <v>591</v>
      </c>
      <c r="E273" s="1" t="s">
        <v>96</v>
      </c>
      <c r="F273" s="1" t="s">
        <v>57</v>
      </c>
      <c r="G273" s="1">
        <f t="shared" si="20"/>
        <v>2</v>
      </c>
      <c r="H273" s="1" t="s">
        <v>70</v>
      </c>
      <c r="I273" s="1" t="s">
        <v>49</v>
      </c>
      <c r="J273" s="23" t="s">
        <v>50</v>
      </c>
      <c r="K273" s="2" t="s">
        <v>51</v>
      </c>
      <c r="L273" s="1">
        <v>94</v>
      </c>
      <c r="M273" s="1">
        <v>12</v>
      </c>
      <c r="N273" s="1" t="str">
        <f t="shared" si="23"/>
        <v>Published</v>
      </c>
      <c r="O273" s="1">
        <f t="shared" si="21"/>
        <v>11.28</v>
      </c>
      <c r="P273" s="1">
        <v>10</v>
      </c>
      <c r="Q273" s="1">
        <v>969</v>
      </c>
      <c r="R273" s="1" t="str">
        <f t="shared" si="24"/>
        <v>2</v>
      </c>
      <c r="S273" s="1">
        <v>115</v>
      </c>
      <c r="T273" s="1" t="str">
        <f t="shared" si="22"/>
        <v>1</v>
      </c>
      <c r="U273" s="1">
        <v>-35.668284</v>
      </c>
      <c r="V273" s="3">
        <v>147.03999200000001</v>
      </c>
    </row>
    <row r="274" spans="1:22" x14ac:dyDescent="0.35">
      <c r="A274" s="22" t="s">
        <v>976</v>
      </c>
      <c r="B274" s="1" t="s">
        <v>977</v>
      </c>
      <c r="C274" s="1" t="s">
        <v>978</v>
      </c>
      <c r="D274" s="1" t="s">
        <v>872</v>
      </c>
      <c r="E274" s="1" t="s">
        <v>261</v>
      </c>
      <c r="F274" s="1" t="s">
        <v>57</v>
      </c>
      <c r="G274" s="1">
        <f t="shared" si="20"/>
        <v>2</v>
      </c>
      <c r="H274" s="1" t="s">
        <v>58</v>
      </c>
      <c r="I274" s="1" t="s">
        <v>49</v>
      </c>
      <c r="J274" s="23" t="s">
        <v>50</v>
      </c>
      <c r="K274" s="2" t="s">
        <v>51</v>
      </c>
      <c r="L274" s="1">
        <v>8</v>
      </c>
      <c r="M274" s="1">
        <v>75</v>
      </c>
      <c r="N274" s="1" t="str">
        <f t="shared" si="23"/>
        <v>Published</v>
      </c>
      <c r="O274" s="1">
        <f t="shared" si="21"/>
        <v>6</v>
      </c>
      <c r="P274" s="1"/>
      <c r="Q274" s="1">
        <v>790</v>
      </c>
      <c r="R274" s="1" t="str">
        <f t="shared" si="24"/>
        <v>1</v>
      </c>
      <c r="S274" s="1">
        <v>210</v>
      </c>
      <c r="T274" s="1" t="str">
        <f t="shared" si="22"/>
        <v>1</v>
      </c>
      <c r="U274" s="1">
        <v>-33.299877000000002</v>
      </c>
      <c r="V274" s="3">
        <v>150.03231700000001</v>
      </c>
    </row>
    <row r="275" spans="1:22" x14ac:dyDescent="0.35">
      <c r="A275" s="22" t="s">
        <v>979</v>
      </c>
      <c r="B275" s="1" t="s">
        <v>980</v>
      </c>
      <c r="C275" s="1" t="s">
        <v>981</v>
      </c>
      <c r="D275" s="1" t="s">
        <v>730</v>
      </c>
      <c r="E275" s="1" t="s">
        <v>261</v>
      </c>
      <c r="F275" s="1" t="s">
        <v>69</v>
      </c>
      <c r="G275" s="1">
        <f t="shared" si="20"/>
        <v>3</v>
      </c>
      <c r="H275" s="1" t="s">
        <v>70</v>
      </c>
      <c r="I275" s="1" t="s">
        <v>49</v>
      </c>
      <c r="J275" s="23" t="s">
        <v>50</v>
      </c>
      <c r="K275" s="2" t="s">
        <v>51</v>
      </c>
      <c r="L275" s="1">
        <v>47</v>
      </c>
      <c r="M275" s="1">
        <v>19</v>
      </c>
      <c r="N275" s="1" t="str">
        <f t="shared" si="23"/>
        <v>Published</v>
      </c>
      <c r="O275" s="1">
        <f t="shared" si="21"/>
        <v>8.93</v>
      </c>
      <c r="P275" s="1"/>
      <c r="Q275" s="1">
        <v>954</v>
      </c>
      <c r="R275" s="1" t="str">
        <f t="shared" si="24"/>
        <v>2</v>
      </c>
      <c r="S275" s="1">
        <v>96</v>
      </c>
      <c r="T275" s="1" t="str">
        <f t="shared" si="22"/>
        <v>1</v>
      </c>
      <c r="U275" s="1">
        <v>-32.931277000000001</v>
      </c>
      <c r="V275" s="3">
        <v>148.749492</v>
      </c>
    </row>
    <row r="276" spans="1:22" x14ac:dyDescent="0.35">
      <c r="A276" s="22" t="s">
        <v>982</v>
      </c>
      <c r="B276" s="1" t="s">
        <v>983</v>
      </c>
      <c r="C276" s="1" t="s">
        <v>984</v>
      </c>
      <c r="D276" s="1" t="s">
        <v>275</v>
      </c>
      <c r="E276" s="1" t="s">
        <v>276</v>
      </c>
      <c r="F276" s="1" t="s">
        <v>57</v>
      </c>
      <c r="G276" s="1">
        <f t="shared" si="20"/>
        <v>2</v>
      </c>
      <c r="H276" s="1" t="s">
        <v>58</v>
      </c>
      <c r="I276" s="1" t="s">
        <v>49</v>
      </c>
      <c r="J276" s="23" t="s">
        <v>50</v>
      </c>
      <c r="K276" s="2" t="s">
        <v>51</v>
      </c>
      <c r="L276" s="1">
        <v>265</v>
      </c>
      <c r="M276" s="1">
        <v>25</v>
      </c>
      <c r="N276" s="1" t="str">
        <f t="shared" si="23"/>
        <v>Published</v>
      </c>
      <c r="O276" s="1">
        <f t="shared" si="21"/>
        <v>66.25</v>
      </c>
      <c r="P276" s="1"/>
      <c r="Q276" s="1">
        <v>923</v>
      </c>
      <c r="R276" s="1" t="str">
        <f t="shared" si="24"/>
        <v>2</v>
      </c>
      <c r="S276" s="1">
        <v>121</v>
      </c>
      <c r="T276" s="1" t="str">
        <f t="shared" si="22"/>
        <v>2</v>
      </c>
      <c r="U276" s="1">
        <v>-31.899733000000001</v>
      </c>
      <c r="V276" s="3">
        <v>152.522008</v>
      </c>
    </row>
    <row r="277" spans="1:22" x14ac:dyDescent="0.35">
      <c r="A277" s="22" t="s">
        <v>985</v>
      </c>
      <c r="B277" s="1" t="s">
        <v>986</v>
      </c>
      <c r="C277" s="1" t="s">
        <v>987</v>
      </c>
      <c r="D277" s="1" t="s">
        <v>751</v>
      </c>
      <c r="E277" s="1" t="s">
        <v>91</v>
      </c>
      <c r="F277" s="1" t="s">
        <v>69</v>
      </c>
      <c r="G277" s="1">
        <f t="shared" si="20"/>
        <v>3</v>
      </c>
      <c r="H277" s="1" t="s">
        <v>92</v>
      </c>
      <c r="I277" s="1" t="s">
        <v>49</v>
      </c>
      <c r="J277" s="23" t="s">
        <v>50</v>
      </c>
      <c r="K277" s="2" t="s">
        <v>51</v>
      </c>
      <c r="L277" s="1">
        <v>77</v>
      </c>
      <c r="M277" s="1">
        <v>62</v>
      </c>
      <c r="N277" s="1" t="str">
        <f t="shared" si="23"/>
        <v>Published</v>
      </c>
      <c r="O277" s="1">
        <f t="shared" si="21"/>
        <v>47.74</v>
      </c>
      <c r="P277" s="1"/>
      <c r="Q277" s="1">
        <v>833</v>
      </c>
      <c r="R277" s="1" t="str">
        <f t="shared" si="24"/>
        <v>1</v>
      </c>
      <c r="S277" s="1">
        <v>134</v>
      </c>
      <c r="T277" s="1" t="str">
        <f t="shared" si="22"/>
        <v>1</v>
      </c>
      <c r="U277" s="1">
        <v>-31.117149000000001</v>
      </c>
      <c r="V277" s="3">
        <v>150.26330400000001</v>
      </c>
    </row>
    <row r="278" spans="1:22" x14ac:dyDescent="0.35">
      <c r="A278" s="22" t="s">
        <v>988</v>
      </c>
      <c r="B278" s="1" t="s">
        <v>989</v>
      </c>
      <c r="C278" s="1" t="s">
        <v>990</v>
      </c>
      <c r="D278" s="1" t="s">
        <v>439</v>
      </c>
      <c r="E278" s="1" t="s">
        <v>91</v>
      </c>
      <c r="F278" s="1" t="s">
        <v>69</v>
      </c>
      <c r="G278" s="1">
        <f t="shared" si="20"/>
        <v>3</v>
      </c>
      <c r="H278" s="1" t="s">
        <v>92</v>
      </c>
      <c r="I278" s="1" t="s">
        <v>49</v>
      </c>
      <c r="J278" s="23" t="s">
        <v>50</v>
      </c>
      <c r="K278" s="2" t="s">
        <v>51</v>
      </c>
      <c r="L278" s="1">
        <v>24</v>
      </c>
      <c r="M278" s="1"/>
      <c r="N278" s="1" t="str">
        <f t="shared" si="23"/>
        <v>Suppressed</v>
      </c>
      <c r="O278" s="1" t="str">
        <f t="shared" si="21"/>
        <v/>
      </c>
      <c r="P278" s="1">
        <v>0</v>
      </c>
      <c r="Q278" s="1">
        <v>953</v>
      </c>
      <c r="R278" s="1" t="str">
        <f t="shared" si="24"/>
        <v>2</v>
      </c>
      <c r="S278" s="1">
        <v>106</v>
      </c>
      <c r="T278" s="1" t="str">
        <f t="shared" si="22"/>
        <v>1</v>
      </c>
      <c r="U278" s="1">
        <v>-31.262786999999999</v>
      </c>
      <c r="V278" s="3">
        <v>150.73570900000001</v>
      </c>
    </row>
    <row r="279" spans="1:22" x14ac:dyDescent="0.35">
      <c r="A279" s="22" t="s">
        <v>991</v>
      </c>
      <c r="B279" s="1" t="s">
        <v>992</v>
      </c>
      <c r="C279" s="1" t="s">
        <v>993</v>
      </c>
      <c r="D279" s="1" t="s">
        <v>394</v>
      </c>
      <c r="E279" s="1" t="s">
        <v>68</v>
      </c>
      <c r="F279" s="1" t="s">
        <v>57</v>
      </c>
      <c r="G279" s="1">
        <f t="shared" si="20"/>
        <v>2</v>
      </c>
      <c r="H279" s="1" t="s">
        <v>86</v>
      </c>
      <c r="I279" s="1" t="s">
        <v>49</v>
      </c>
      <c r="J279" s="23" t="s">
        <v>50</v>
      </c>
      <c r="K279" s="2" t="s">
        <v>51</v>
      </c>
      <c r="L279" s="1">
        <v>6</v>
      </c>
      <c r="M279" s="1"/>
      <c r="N279" s="1" t="str">
        <f t="shared" si="23"/>
        <v>Suppressed</v>
      </c>
      <c r="O279" s="1" t="str">
        <f t="shared" si="21"/>
        <v/>
      </c>
      <c r="P279" s="1">
        <v>0</v>
      </c>
      <c r="Q279" s="1">
        <v>936</v>
      </c>
      <c r="R279" s="1" t="str">
        <f t="shared" si="24"/>
        <v>2</v>
      </c>
      <c r="S279" s="1">
        <v>161</v>
      </c>
      <c r="T279" s="1" t="str">
        <f t="shared" si="22"/>
        <v>1</v>
      </c>
      <c r="U279" s="1">
        <v>-34.720368999999998</v>
      </c>
      <c r="V279" s="3">
        <v>149.17882</v>
      </c>
    </row>
    <row r="280" spans="1:22" x14ac:dyDescent="0.35">
      <c r="A280" s="22" t="s">
        <v>994</v>
      </c>
      <c r="B280" s="1" t="s">
        <v>995</v>
      </c>
      <c r="C280" s="1" t="s">
        <v>996</v>
      </c>
      <c r="D280" s="1" t="s">
        <v>176</v>
      </c>
      <c r="E280" s="1" t="s">
        <v>85</v>
      </c>
      <c r="F280" s="1" t="s">
        <v>47</v>
      </c>
      <c r="G280" s="1">
        <f t="shared" si="20"/>
        <v>1</v>
      </c>
      <c r="H280" s="1" t="s">
        <v>86</v>
      </c>
      <c r="I280" s="1" t="s">
        <v>49</v>
      </c>
      <c r="J280" s="23" t="s">
        <v>50</v>
      </c>
      <c r="K280" s="2" t="s">
        <v>51</v>
      </c>
      <c r="L280" s="1">
        <v>790</v>
      </c>
      <c r="M280" s="1">
        <v>8</v>
      </c>
      <c r="N280" s="1" t="str">
        <f t="shared" si="23"/>
        <v>Published</v>
      </c>
      <c r="O280" s="1">
        <f t="shared" si="21"/>
        <v>63.2</v>
      </c>
      <c r="P280" s="1">
        <v>11</v>
      </c>
      <c r="Q280" s="1">
        <v>1006</v>
      </c>
      <c r="R280" s="1" t="str">
        <f t="shared" si="24"/>
        <v>3</v>
      </c>
      <c r="S280" s="1">
        <v>94</v>
      </c>
      <c r="T280" s="1" t="str">
        <f t="shared" si="22"/>
        <v>4</v>
      </c>
      <c r="U280" s="1">
        <v>-34.494678999999998</v>
      </c>
      <c r="V280" s="3">
        <v>150.776781</v>
      </c>
    </row>
    <row r="281" spans="1:22" x14ac:dyDescent="0.35">
      <c r="A281" s="22" t="s">
        <v>997</v>
      </c>
      <c r="B281" s="1" t="s">
        <v>998</v>
      </c>
      <c r="C281" s="1" t="s">
        <v>999</v>
      </c>
      <c r="D281" s="1" t="s">
        <v>963</v>
      </c>
      <c r="E281" s="1" t="s">
        <v>96</v>
      </c>
      <c r="F281" s="1" t="s">
        <v>69</v>
      </c>
      <c r="G281" s="1">
        <f t="shared" si="20"/>
        <v>3</v>
      </c>
      <c r="H281" s="1" t="s">
        <v>86</v>
      </c>
      <c r="I281" s="1" t="s">
        <v>49</v>
      </c>
      <c r="J281" s="23" t="s">
        <v>50</v>
      </c>
      <c r="K281" s="2" t="s">
        <v>51</v>
      </c>
      <c r="L281" s="1">
        <v>54</v>
      </c>
      <c r="M281" s="1">
        <v>89</v>
      </c>
      <c r="N281" s="1" t="str">
        <f t="shared" si="23"/>
        <v>Published</v>
      </c>
      <c r="O281" s="1">
        <f t="shared" si="21"/>
        <v>48.06</v>
      </c>
      <c r="P281" s="1">
        <v>20</v>
      </c>
      <c r="Q281" s="1">
        <v>668</v>
      </c>
      <c r="R281" s="1" t="str">
        <f t="shared" si="24"/>
        <v>1</v>
      </c>
      <c r="S281" s="1">
        <v>223</v>
      </c>
      <c r="T281" s="1" t="str">
        <f t="shared" si="22"/>
        <v>1</v>
      </c>
      <c r="U281" s="1">
        <v>-34.091147999999997</v>
      </c>
      <c r="V281" s="3">
        <v>142.040358</v>
      </c>
    </row>
    <row r="282" spans="1:22" x14ac:dyDescent="0.35">
      <c r="A282" s="22" t="s">
        <v>1000</v>
      </c>
      <c r="B282" s="1" t="s">
        <v>1001</v>
      </c>
      <c r="C282" s="1" t="s">
        <v>1002</v>
      </c>
      <c r="D282" s="1" t="s">
        <v>1003</v>
      </c>
      <c r="E282" s="1" t="s">
        <v>225</v>
      </c>
      <c r="F282" s="1" t="s">
        <v>47</v>
      </c>
      <c r="G282" s="1">
        <f t="shared" si="20"/>
        <v>1</v>
      </c>
      <c r="H282" s="1" t="s">
        <v>48</v>
      </c>
      <c r="I282" s="1" t="s">
        <v>49</v>
      </c>
      <c r="J282" s="23" t="s">
        <v>50</v>
      </c>
      <c r="K282" s="2" t="s">
        <v>51</v>
      </c>
      <c r="L282" s="1">
        <v>147</v>
      </c>
      <c r="M282" s="1">
        <v>18</v>
      </c>
      <c r="N282" s="1" t="str">
        <f t="shared" si="23"/>
        <v>Published</v>
      </c>
      <c r="O282" s="1">
        <f t="shared" si="21"/>
        <v>26.459999999999997</v>
      </c>
      <c r="P282" s="1">
        <v>39</v>
      </c>
      <c r="Q282" s="1">
        <v>1030</v>
      </c>
      <c r="R282" s="1" t="str">
        <f t="shared" si="24"/>
        <v>3</v>
      </c>
      <c r="S282" s="1">
        <v>47</v>
      </c>
      <c r="T282" s="1" t="str">
        <f t="shared" si="22"/>
        <v>2</v>
      </c>
      <c r="U282" s="1">
        <v>-33.892637999999998</v>
      </c>
      <c r="V282" s="3">
        <v>151.18939</v>
      </c>
    </row>
    <row r="283" spans="1:22" x14ac:dyDescent="0.35">
      <c r="A283" s="22" t="s">
        <v>1004</v>
      </c>
      <c r="B283" s="1" t="s">
        <v>1005</v>
      </c>
      <c r="C283" s="1" t="s">
        <v>1006</v>
      </c>
      <c r="D283" s="1" t="s">
        <v>1007</v>
      </c>
      <c r="E283" s="1" t="s">
        <v>80</v>
      </c>
      <c r="F283" s="1" t="s">
        <v>69</v>
      </c>
      <c r="G283" s="1">
        <f t="shared" si="20"/>
        <v>3</v>
      </c>
      <c r="H283" s="1" t="s">
        <v>70</v>
      </c>
      <c r="I283" s="1" t="s">
        <v>49</v>
      </c>
      <c r="J283" s="23" t="s">
        <v>50</v>
      </c>
      <c r="K283" s="2" t="s">
        <v>51</v>
      </c>
      <c r="L283" s="1">
        <v>88</v>
      </c>
      <c r="M283" s="1">
        <v>36</v>
      </c>
      <c r="N283" s="1" t="str">
        <f t="shared" si="23"/>
        <v>Published</v>
      </c>
      <c r="O283" s="1">
        <f t="shared" si="21"/>
        <v>31.68</v>
      </c>
      <c r="P283" s="1"/>
      <c r="Q283" s="1">
        <v>870</v>
      </c>
      <c r="R283" s="1" t="str">
        <f t="shared" si="24"/>
        <v>1</v>
      </c>
      <c r="S283" s="1">
        <v>148</v>
      </c>
      <c r="T283" s="1" t="str">
        <f t="shared" si="22"/>
        <v>1</v>
      </c>
      <c r="U283" s="1">
        <v>-34.572806999999997</v>
      </c>
      <c r="V283" s="3">
        <v>145.993878</v>
      </c>
    </row>
    <row r="284" spans="1:22" x14ac:dyDescent="0.35">
      <c r="A284" s="22" t="s">
        <v>1008</v>
      </c>
      <c r="B284" s="1" t="s">
        <v>1009</v>
      </c>
      <c r="C284" s="1" t="s">
        <v>1010</v>
      </c>
      <c r="D284" s="1" t="s">
        <v>587</v>
      </c>
      <c r="E284" s="1" t="s">
        <v>107</v>
      </c>
      <c r="F284" s="1" t="s">
        <v>57</v>
      </c>
      <c r="G284" s="1">
        <f t="shared" si="20"/>
        <v>2</v>
      </c>
      <c r="H284" s="1" t="s">
        <v>92</v>
      </c>
      <c r="I284" s="1" t="s">
        <v>49</v>
      </c>
      <c r="J284" s="23" t="s">
        <v>50</v>
      </c>
      <c r="K284" s="2" t="s">
        <v>51</v>
      </c>
      <c r="L284" s="1">
        <v>48</v>
      </c>
      <c r="M284" s="1">
        <v>13</v>
      </c>
      <c r="N284" s="1" t="str">
        <f t="shared" si="23"/>
        <v>Published</v>
      </c>
      <c r="O284" s="1">
        <f t="shared" si="21"/>
        <v>6.24</v>
      </c>
      <c r="P284" s="1">
        <v>0</v>
      </c>
      <c r="Q284" s="1">
        <v>953</v>
      </c>
      <c r="R284" s="1" t="str">
        <f t="shared" si="24"/>
        <v>2</v>
      </c>
      <c r="S284" s="1">
        <v>135</v>
      </c>
      <c r="T284" s="1" t="str">
        <f t="shared" si="22"/>
        <v>1</v>
      </c>
      <c r="U284" s="1">
        <v>-28.930842999999999</v>
      </c>
      <c r="V284" s="3">
        <v>153.00353699999999</v>
      </c>
    </row>
    <row r="285" spans="1:22" x14ac:dyDescent="0.35">
      <c r="A285" s="22" t="s">
        <v>1011</v>
      </c>
      <c r="B285" s="1" t="s">
        <v>1012</v>
      </c>
      <c r="C285" s="1" t="s">
        <v>1013</v>
      </c>
      <c r="D285" s="1" t="s">
        <v>1014</v>
      </c>
      <c r="E285" s="1" t="s">
        <v>91</v>
      </c>
      <c r="F285" s="1" t="s">
        <v>69</v>
      </c>
      <c r="G285" s="1">
        <f t="shared" si="20"/>
        <v>3</v>
      </c>
      <c r="H285" s="1" t="s">
        <v>92</v>
      </c>
      <c r="I285" s="1" t="s">
        <v>49</v>
      </c>
      <c r="J285" s="23" t="s">
        <v>50</v>
      </c>
      <c r="K285" s="2" t="s">
        <v>51</v>
      </c>
      <c r="L285" s="1">
        <v>17</v>
      </c>
      <c r="M285" s="1"/>
      <c r="N285" s="1" t="str">
        <f t="shared" si="23"/>
        <v>Suppressed</v>
      </c>
      <c r="O285" s="1" t="str">
        <f t="shared" si="21"/>
        <v/>
      </c>
      <c r="P285" s="1"/>
      <c r="Q285" s="1">
        <v>960</v>
      </c>
      <c r="R285" s="1" t="str">
        <f t="shared" si="24"/>
        <v>2</v>
      </c>
      <c r="S285" s="1">
        <v>117</v>
      </c>
      <c r="T285" s="1" t="str">
        <f t="shared" si="22"/>
        <v>1</v>
      </c>
      <c r="U285" s="1">
        <v>-29.442907999999999</v>
      </c>
      <c r="V285" s="3">
        <v>151.848086</v>
      </c>
    </row>
    <row r="286" spans="1:22" x14ac:dyDescent="0.35">
      <c r="A286" s="22" t="s">
        <v>1015</v>
      </c>
      <c r="B286" s="1" t="s">
        <v>1016</v>
      </c>
      <c r="C286" s="1" t="s">
        <v>1017</v>
      </c>
      <c r="D286" s="1" t="s">
        <v>203</v>
      </c>
      <c r="E286" s="1" t="s">
        <v>204</v>
      </c>
      <c r="F286" s="1" t="s">
        <v>47</v>
      </c>
      <c r="G286" s="1">
        <f t="shared" si="20"/>
        <v>1</v>
      </c>
      <c r="H286" s="1" t="s">
        <v>148</v>
      </c>
      <c r="I286" s="1" t="s">
        <v>49</v>
      </c>
      <c r="J286" s="23" t="s">
        <v>50</v>
      </c>
      <c r="K286" s="2" t="s">
        <v>51</v>
      </c>
      <c r="L286" s="1">
        <v>478</v>
      </c>
      <c r="M286" s="1"/>
      <c r="N286" s="1" t="str">
        <f t="shared" si="23"/>
        <v>Suppressed</v>
      </c>
      <c r="O286" s="1" t="str">
        <f t="shared" si="21"/>
        <v/>
      </c>
      <c r="P286" s="1">
        <v>67</v>
      </c>
      <c r="Q286" s="1">
        <v>1028</v>
      </c>
      <c r="R286" s="1" t="str">
        <f t="shared" si="24"/>
        <v>3</v>
      </c>
      <c r="S286" s="1">
        <v>79</v>
      </c>
      <c r="T286" s="1" t="str">
        <f t="shared" si="22"/>
        <v>3</v>
      </c>
      <c r="U286" s="1">
        <v>-33.749025000000003</v>
      </c>
      <c r="V286" s="3">
        <v>151.28520900000001</v>
      </c>
    </row>
    <row r="287" spans="1:22" x14ac:dyDescent="0.35">
      <c r="A287" s="22" t="s">
        <v>1018</v>
      </c>
      <c r="B287" s="1" t="s">
        <v>1019</v>
      </c>
      <c r="C287" s="1" t="s">
        <v>1020</v>
      </c>
      <c r="D287" s="1" t="s">
        <v>67</v>
      </c>
      <c r="E287" s="1" t="s">
        <v>68</v>
      </c>
      <c r="F287" s="1" t="s">
        <v>69</v>
      </c>
      <c r="G287" s="1">
        <f t="shared" si="20"/>
        <v>3</v>
      </c>
      <c r="H287" s="1" t="s">
        <v>70</v>
      </c>
      <c r="I287" s="1" t="s">
        <v>49</v>
      </c>
      <c r="J287" s="23" t="s">
        <v>50</v>
      </c>
      <c r="K287" s="2" t="s">
        <v>51</v>
      </c>
      <c r="L287" s="1">
        <v>22</v>
      </c>
      <c r="M287" s="1"/>
      <c r="N287" s="1" t="str">
        <f t="shared" si="23"/>
        <v>Suppressed</v>
      </c>
      <c r="O287" s="1" t="str">
        <f t="shared" si="21"/>
        <v/>
      </c>
      <c r="P287" s="1"/>
      <c r="Q287" s="1">
        <v>982</v>
      </c>
      <c r="R287" s="1" t="str">
        <f t="shared" si="24"/>
        <v>2</v>
      </c>
      <c r="S287" s="1">
        <v>87</v>
      </c>
      <c r="T287" s="1" t="str">
        <f t="shared" si="22"/>
        <v>1</v>
      </c>
      <c r="U287" s="1">
        <v>-37.041739</v>
      </c>
      <c r="V287" s="3">
        <v>148.93721500000001</v>
      </c>
    </row>
    <row r="288" spans="1:22" x14ac:dyDescent="0.35">
      <c r="A288" s="22" t="s">
        <v>1021</v>
      </c>
      <c r="B288" s="1" t="s">
        <v>1022</v>
      </c>
      <c r="C288" s="1" t="s">
        <v>1023</v>
      </c>
      <c r="D288" s="1" t="s">
        <v>159</v>
      </c>
      <c r="E288" s="1" t="s">
        <v>91</v>
      </c>
      <c r="F288" s="1" t="s">
        <v>69</v>
      </c>
      <c r="G288" s="1">
        <f t="shared" si="20"/>
        <v>3</v>
      </c>
      <c r="H288" s="1" t="s">
        <v>92</v>
      </c>
      <c r="I288" s="1" t="s">
        <v>49</v>
      </c>
      <c r="J288" s="23" t="s">
        <v>50</v>
      </c>
      <c r="K288" s="2" t="s">
        <v>51</v>
      </c>
      <c r="L288" s="1">
        <v>18</v>
      </c>
      <c r="M288" s="1">
        <v>44</v>
      </c>
      <c r="N288" s="1" t="str">
        <f t="shared" si="23"/>
        <v>Published</v>
      </c>
      <c r="O288" s="1">
        <f t="shared" si="21"/>
        <v>7.92</v>
      </c>
      <c r="P288" s="1">
        <v>0</v>
      </c>
      <c r="Q288" s="1">
        <v>827</v>
      </c>
      <c r="R288" s="1" t="str">
        <f t="shared" si="24"/>
        <v>1</v>
      </c>
      <c r="S288" s="1">
        <v>153</v>
      </c>
      <c r="T288" s="1" t="str">
        <f t="shared" si="22"/>
        <v>1</v>
      </c>
      <c r="U288" s="1">
        <v>-29.650936000000002</v>
      </c>
      <c r="V288" s="3">
        <v>150.83097699999999</v>
      </c>
    </row>
    <row r="289" spans="1:22" x14ac:dyDescent="0.35">
      <c r="A289" s="22" t="s">
        <v>1024</v>
      </c>
      <c r="B289" s="1" t="s">
        <v>1025</v>
      </c>
      <c r="C289" s="1" t="s">
        <v>1026</v>
      </c>
      <c r="D289" s="1" t="s">
        <v>1027</v>
      </c>
      <c r="E289" s="1" t="s">
        <v>56</v>
      </c>
      <c r="F289" s="1" t="s">
        <v>57</v>
      </c>
      <c r="G289" s="1">
        <f t="shared" si="20"/>
        <v>2</v>
      </c>
      <c r="H289" s="1" t="s">
        <v>58</v>
      </c>
      <c r="I289" s="1" t="s">
        <v>49</v>
      </c>
      <c r="J289" s="23" t="s">
        <v>50</v>
      </c>
      <c r="K289" s="2" t="s">
        <v>51</v>
      </c>
      <c r="L289" s="1">
        <v>147</v>
      </c>
      <c r="M289" s="1">
        <v>16</v>
      </c>
      <c r="N289" s="1" t="str">
        <f t="shared" si="23"/>
        <v>Published</v>
      </c>
      <c r="O289" s="1">
        <f t="shared" si="21"/>
        <v>23.52</v>
      </c>
      <c r="P289" s="1"/>
      <c r="Q289" s="1">
        <v>949</v>
      </c>
      <c r="R289" s="1" t="str">
        <f t="shared" si="24"/>
        <v>2</v>
      </c>
      <c r="S289" s="1">
        <v>104</v>
      </c>
      <c r="T289" s="1" t="str">
        <f t="shared" si="22"/>
        <v>2</v>
      </c>
      <c r="U289" s="1">
        <v>-32.385733999999999</v>
      </c>
      <c r="V289" s="3">
        <v>150.68600900000001</v>
      </c>
    </row>
    <row r="290" spans="1:22" x14ac:dyDescent="0.35">
      <c r="A290" s="22" t="s">
        <v>1028</v>
      </c>
      <c r="B290" s="1" t="s">
        <v>1029</v>
      </c>
      <c r="C290" s="1" t="s">
        <v>1030</v>
      </c>
      <c r="D290" s="1" t="s">
        <v>837</v>
      </c>
      <c r="E290" s="1" t="s">
        <v>838</v>
      </c>
      <c r="F290" s="1" t="s">
        <v>47</v>
      </c>
      <c r="G290" s="1">
        <f t="shared" si="20"/>
        <v>1</v>
      </c>
      <c r="H290" s="1" t="s">
        <v>148</v>
      </c>
      <c r="I290" s="1" t="s">
        <v>49</v>
      </c>
      <c r="J290" s="23" t="s">
        <v>50</v>
      </c>
      <c r="K290" s="2" t="s">
        <v>51</v>
      </c>
      <c r="L290" s="1">
        <v>258</v>
      </c>
      <c r="M290" s="1">
        <v>22</v>
      </c>
      <c r="N290" s="1" t="str">
        <f t="shared" si="23"/>
        <v>Published</v>
      </c>
      <c r="O290" s="1">
        <f t="shared" si="21"/>
        <v>56.76</v>
      </c>
      <c r="P290" s="1">
        <v>65</v>
      </c>
      <c r="Q290" s="1">
        <v>900</v>
      </c>
      <c r="R290" s="1" t="str">
        <f t="shared" si="24"/>
        <v>2</v>
      </c>
      <c r="S290" s="1">
        <v>149</v>
      </c>
      <c r="T290" s="1" t="str">
        <f t="shared" si="22"/>
        <v>2</v>
      </c>
      <c r="U290" s="1">
        <v>-33.764557000000003</v>
      </c>
      <c r="V290" s="3">
        <v>150.870497</v>
      </c>
    </row>
    <row r="291" spans="1:22" x14ac:dyDescent="0.35">
      <c r="A291" s="22" t="s">
        <v>1031</v>
      </c>
      <c r="B291" s="1" t="s">
        <v>1032</v>
      </c>
      <c r="C291" s="1" t="s">
        <v>1033</v>
      </c>
      <c r="D291" s="1" t="s">
        <v>191</v>
      </c>
      <c r="E291" s="1" t="s">
        <v>75</v>
      </c>
      <c r="F291" s="1" t="s">
        <v>47</v>
      </c>
      <c r="G291" s="1">
        <f t="shared" si="20"/>
        <v>1</v>
      </c>
      <c r="H291" s="1" t="s">
        <v>63</v>
      </c>
      <c r="I291" s="1" t="s">
        <v>49</v>
      </c>
      <c r="J291" s="23" t="s">
        <v>50</v>
      </c>
      <c r="K291" s="2" t="s">
        <v>51</v>
      </c>
      <c r="L291" s="1">
        <v>139</v>
      </c>
      <c r="M291" s="1">
        <v>12</v>
      </c>
      <c r="N291" s="1" t="str">
        <f t="shared" si="23"/>
        <v>Published</v>
      </c>
      <c r="O291" s="1">
        <f t="shared" si="21"/>
        <v>16.68</v>
      </c>
      <c r="P291" s="1">
        <v>4</v>
      </c>
      <c r="Q291" s="1">
        <v>939</v>
      </c>
      <c r="R291" s="1" t="str">
        <f t="shared" si="24"/>
        <v>2</v>
      </c>
      <c r="S291" s="1">
        <v>128</v>
      </c>
      <c r="T291" s="1" t="str">
        <f t="shared" si="22"/>
        <v>2</v>
      </c>
      <c r="U291" s="1">
        <v>-33.07902</v>
      </c>
      <c r="V291" s="3">
        <v>151.49921699999999</v>
      </c>
    </row>
    <row r="292" spans="1:22" x14ac:dyDescent="0.35">
      <c r="A292" s="22" t="s">
        <v>1034</v>
      </c>
      <c r="B292" s="1" t="s">
        <v>1035</v>
      </c>
      <c r="C292" s="1" t="s">
        <v>1036</v>
      </c>
      <c r="D292" s="1" t="s">
        <v>329</v>
      </c>
      <c r="E292" s="1" t="s">
        <v>330</v>
      </c>
      <c r="F292" s="1" t="s">
        <v>47</v>
      </c>
      <c r="G292" s="1">
        <f t="shared" si="20"/>
        <v>1</v>
      </c>
      <c r="H292" s="1" t="s">
        <v>48</v>
      </c>
      <c r="I292" s="1" t="s">
        <v>49</v>
      </c>
      <c r="J292" s="23" t="s">
        <v>50</v>
      </c>
      <c r="K292" s="2" t="s">
        <v>51</v>
      </c>
      <c r="L292" s="1">
        <v>237</v>
      </c>
      <c r="M292" s="1"/>
      <c r="N292" s="1" t="str">
        <f t="shared" si="23"/>
        <v>Suppressed</v>
      </c>
      <c r="O292" s="1" t="str">
        <f t="shared" si="21"/>
        <v/>
      </c>
      <c r="P292" s="1">
        <v>32</v>
      </c>
      <c r="Q292" s="1">
        <v>1135</v>
      </c>
      <c r="R292" s="1" t="str">
        <f t="shared" si="24"/>
        <v>4</v>
      </c>
      <c r="S292" s="1">
        <v>16</v>
      </c>
      <c r="T292" s="1" t="str">
        <f t="shared" si="22"/>
        <v>2</v>
      </c>
      <c r="U292" s="1">
        <v>-33.874856000000001</v>
      </c>
      <c r="V292" s="3">
        <v>151.240894</v>
      </c>
    </row>
    <row r="293" spans="1:22" x14ac:dyDescent="0.35">
      <c r="A293" s="22" t="s">
        <v>1037</v>
      </c>
      <c r="B293" s="1" t="s">
        <v>1038</v>
      </c>
      <c r="C293" s="1" t="s">
        <v>1039</v>
      </c>
      <c r="D293" s="1" t="s">
        <v>121</v>
      </c>
      <c r="E293" s="1" t="s">
        <v>122</v>
      </c>
      <c r="F293" s="1" t="s">
        <v>57</v>
      </c>
      <c r="G293" s="1">
        <f t="shared" si="20"/>
        <v>2</v>
      </c>
      <c r="H293" s="1" t="s">
        <v>86</v>
      </c>
      <c r="I293" s="1" t="s">
        <v>49</v>
      </c>
      <c r="J293" s="23" t="s">
        <v>50</v>
      </c>
      <c r="K293" s="2" t="s">
        <v>51</v>
      </c>
      <c r="L293" s="1">
        <v>145</v>
      </c>
      <c r="M293" s="1">
        <v>7</v>
      </c>
      <c r="N293" s="1" t="str">
        <f t="shared" si="23"/>
        <v>Published</v>
      </c>
      <c r="O293" s="1">
        <f t="shared" si="21"/>
        <v>10.15</v>
      </c>
      <c r="P293" s="1">
        <v>23</v>
      </c>
      <c r="Q293" s="1">
        <v>1031</v>
      </c>
      <c r="R293" s="1" t="str">
        <f t="shared" si="24"/>
        <v>3</v>
      </c>
      <c r="S293" s="1">
        <v>69</v>
      </c>
      <c r="T293" s="1" t="str">
        <f t="shared" si="22"/>
        <v>2</v>
      </c>
      <c r="U293" s="1">
        <v>-34.179484000000002</v>
      </c>
      <c r="V293" s="3">
        <v>150.71303800000001</v>
      </c>
    </row>
    <row r="294" spans="1:22" x14ac:dyDescent="0.35">
      <c r="A294" s="22" t="s">
        <v>1040</v>
      </c>
      <c r="B294" s="1" t="s">
        <v>1041</v>
      </c>
      <c r="C294" s="1" t="s">
        <v>1042</v>
      </c>
      <c r="D294" s="1" t="s">
        <v>1043</v>
      </c>
      <c r="E294" s="1" t="s">
        <v>91</v>
      </c>
      <c r="F294" s="1" t="s">
        <v>69</v>
      </c>
      <c r="G294" s="1">
        <f t="shared" si="20"/>
        <v>3</v>
      </c>
      <c r="H294" s="1" t="s">
        <v>92</v>
      </c>
      <c r="I294" s="1" t="s">
        <v>49</v>
      </c>
      <c r="J294" s="23" t="s">
        <v>50</v>
      </c>
      <c r="K294" s="2" t="s">
        <v>51</v>
      </c>
      <c r="L294" s="1">
        <v>14</v>
      </c>
      <c r="M294" s="1"/>
      <c r="N294" s="1" t="str">
        <f t="shared" si="23"/>
        <v>Suppressed</v>
      </c>
      <c r="O294" s="1" t="str">
        <f t="shared" si="21"/>
        <v/>
      </c>
      <c r="P294" s="1">
        <v>0</v>
      </c>
      <c r="Q294" s="1">
        <v>928</v>
      </c>
      <c r="R294" s="1" t="str">
        <f t="shared" si="24"/>
        <v>2</v>
      </c>
      <c r="S294" s="1">
        <v>68</v>
      </c>
      <c r="T294" s="1" t="str">
        <f t="shared" si="22"/>
        <v>1</v>
      </c>
      <c r="U294" s="1">
        <v>-28.928798</v>
      </c>
      <c r="V294" s="3">
        <v>152.374099</v>
      </c>
    </row>
    <row r="295" spans="1:22" x14ac:dyDescent="0.35">
      <c r="A295" s="22" t="s">
        <v>1044</v>
      </c>
      <c r="B295" s="1" t="s">
        <v>1045</v>
      </c>
      <c r="C295" s="1" t="s">
        <v>1046</v>
      </c>
      <c r="D295" s="1" t="s">
        <v>45</v>
      </c>
      <c r="E295" s="1" t="s">
        <v>46</v>
      </c>
      <c r="F295" s="1" t="s">
        <v>47</v>
      </c>
      <c r="G295" s="1">
        <f t="shared" si="20"/>
        <v>1</v>
      </c>
      <c r="H295" s="1" t="s">
        <v>48</v>
      </c>
      <c r="I295" s="1" t="s">
        <v>49</v>
      </c>
      <c r="J295" s="23" t="s">
        <v>50</v>
      </c>
      <c r="K295" s="2" t="s">
        <v>51</v>
      </c>
      <c r="L295" s="1">
        <v>427</v>
      </c>
      <c r="M295" s="1"/>
      <c r="N295" s="1" t="str">
        <f t="shared" si="23"/>
        <v>Suppressed</v>
      </c>
      <c r="O295" s="1" t="str">
        <f t="shared" si="21"/>
        <v/>
      </c>
      <c r="P295" s="1">
        <v>43</v>
      </c>
      <c r="Q295" s="1">
        <v>1137</v>
      </c>
      <c r="R295" s="1" t="str">
        <f t="shared" si="24"/>
        <v>4</v>
      </c>
      <c r="S295" s="1">
        <v>11</v>
      </c>
      <c r="T295" s="1" t="str">
        <f t="shared" si="22"/>
        <v>3</v>
      </c>
      <c r="U295" s="1">
        <v>-33.856073000000002</v>
      </c>
      <c r="V295" s="3">
        <v>151.15303499999999</v>
      </c>
    </row>
    <row r="296" spans="1:22" x14ac:dyDescent="0.35">
      <c r="A296" s="22" t="s">
        <v>1047</v>
      </c>
      <c r="B296" s="1" t="s">
        <v>1048</v>
      </c>
      <c r="C296" s="1" t="s">
        <v>211</v>
      </c>
      <c r="D296" s="1" t="s">
        <v>211</v>
      </c>
      <c r="E296" s="1" t="s">
        <v>102</v>
      </c>
      <c r="F296" s="1" t="s">
        <v>57</v>
      </c>
      <c r="G296" s="1">
        <f t="shared" si="20"/>
        <v>2</v>
      </c>
      <c r="H296" s="1" t="s">
        <v>58</v>
      </c>
      <c r="I296" s="1" t="s">
        <v>49</v>
      </c>
      <c r="J296" s="23" t="s">
        <v>50</v>
      </c>
      <c r="K296" s="2" t="s">
        <v>51</v>
      </c>
      <c r="L296" s="1">
        <v>520</v>
      </c>
      <c r="M296" s="1">
        <v>29</v>
      </c>
      <c r="N296" s="1" t="str">
        <f t="shared" si="23"/>
        <v>Published</v>
      </c>
      <c r="O296" s="1">
        <f t="shared" si="21"/>
        <v>150.79999999999998</v>
      </c>
      <c r="P296" s="1">
        <v>13</v>
      </c>
      <c r="Q296" s="1">
        <v>972</v>
      </c>
      <c r="R296" s="1" t="str">
        <f t="shared" si="24"/>
        <v>2</v>
      </c>
      <c r="S296" s="1">
        <v>78</v>
      </c>
      <c r="T296" s="1" t="str">
        <f t="shared" si="22"/>
        <v>3</v>
      </c>
      <c r="U296" s="1">
        <v>-32.248748999999997</v>
      </c>
      <c r="V296" s="3">
        <v>148.60541000000001</v>
      </c>
    </row>
    <row r="297" spans="1:22" x14ac:dyDescent="0.35">
      <c r="A297" s="22" t="s">
        <v>1049</v>
      </c>
      <c r="B297" s="1" t="s">
        <v>1050</v>
      </c>
      <c r="C297" s="1" t="s">
        <v>211</v>
      </c>
      <c r="D297" s="1" t="s">
        <v>211</v>
      </c>
      <c r="E297" s="1" t="s">
        <v>102</v>
      </c>
      <c r="F297" s="1" t="s">
        <v>57</v>
      </c>
      <c r="G297" s="1">
        <f t="shared" si="20"/>
        <v>2</v>
      </c>
      <c r="H297" s="1" t="s">
        <v>58</v>
      </c>
      <c r="I297" s="1" t="s">
        <v>49</v>
      </c>
      <c r="J297" s="23" t="s">
        <v>50</v>
      </c>
      <c r="K297" s="2" t="s">
        <v>51</v>
      </c>
      <c r="L297" s="1">
        <v>276</v>
      </c>
      <c r="M297" s="1">
        <v>50</v>
      </c>
      <c r="N297" s="1" t="str">
        <f t="shared" si="23"/>
        <v>Published</v>
      </c>
      <c r="O297" s="1">
        <f t="shared" si="21"/>
        <v>138</v>
      </c>
      <c r="P297" s="1">
        <v>7</v>
      </c>
      <c r="Q297" s="1">
        <v>850</v>
      </c>
      <c r="R297" s="1" t="str">
        <f t="shared" si="24"/>
        <v>1</v>
      </c>
      <c r="S297" s="1">
        <v>147</v>
      </c>
      <c r="T297" s="1" t="str">
        <f t="shared" si="22"/>
        <v>2</v>
      </c>
      <c r="U297" s="1">
        <v>-32.241680000000002</v>
      </c>
      <c r="V297" s="3">
        <v>148.61577600000001</v>
      </c>
    </row>
    <row r="298" spans="1:22" x14ac:dyDescent="0.35">
      <c r="A298" s="22" t="s">
        <v>1051</v>
      </c>
      <c r="B298" s="1" t="s">
        <v>1052</v>
      </c>
      <c r="C298" s="1" t="s">
        <v>1053</v>
      </c>
      <c r="D298" s="1" t="s">
        <v>191</v>
      </c>
      <c r="E298" s="1" t="s">
        <v>75</v>
      </c>
      <c r="F298" s="1" t="s">
        <v>47</v>
      </c>
      <c r="G298" s="1">
        <f t="shared" si="20"/>
        <v>1</v>
      </c>
      <c r="H298" s="1" t="s">
        <v>63</v>
      </c>
      <c r="I298" s="1" t="s">
        <v>49</v>
      </c>
      <c r="J298" s="23" t="s">
        <v>50</v>
      </c>
      <c r="K298" s="2" t="s">
        <v>51</v>
      </c>
      <c r="L298" s="1">
        <v>245</v>
      </c>
      <c r="M298" s="1">
        <v>5</v>
      </c>
      <c r="N298" s="1" t="str">
        <f t="shared" si="23"/>
        <v>Published</v>
      </c>
      <c r="O298" s="1">
        <f t="shared" si="21"/>
        <v>12.25</v>
      </c>
      <c r="P298" s="1">
        <v>8</v>
      </c>
      <c r="Q298" s="1">
        <v>1095</v>
      </c>
      <c r="R298" s="1" t="str">
        <f t="shared" si="24"/>
        <v>3</v>
      </c>
      <c r="S298" s="1">
        <v>36</v>
      </c>
      <c r="T298" s="1" t="str">
        <f t="shared" si="22"/>
        <v>2</v>
      </c>
      <c r="U298" s="1">
        <v>-32.989387000000001</v>
      </c>
      <c r="V298" s="3">
        <v>151.71681599999999</v>
      </c>
    </row>
    <row r="299" spans="1:22" x14ac:dyDescent="0.35">
      <c r="A299" s="22" t="s">
        <v>1054</v>
      </c>
      <c r="B299" s="1" t="s">
        <v>1055</v>
      </c>
      <c r="C299" s="1" t="s">
        <v>390</v>
      </c>
      <c r="D299" s="1" t="s">
        <v>390</v>
      </c>
      <c r="E299" s="1" t="s">
        <v>107</v>
      </c>
      <c r="F299" s="1" t="s">
        <v>57</v>
      </c>
      <c r="G299" s="1">
        <f t="shared" si="20"/>
        <v>2</v>
      </c>
      <c r="H299" s="1" t="s">
        <v>92</v>
      </c>
      <c r="I299" s="1" t="s">
        <v>49</v>
      </c>
      <c r="J299" s="23" t="s">
        <v>50</v>
      </c>
      <c r="K299" s="2" t="s">
        <v>51</v>
      </c>
      <c r="L299" s="1">
        <v>179</v>
      </c>
      <c r="M299" s="1">
        <v>34</v>
      </c>
      <c r="N299" s="1" t="str">
        <f t="shared" si="23"/>
        <v>Published</v>
      </c>
      <c r="O299" s="1">
        <f t="shared" si="21"/>
        <v>60.860000000000007</v>
      </c>
      <c r="P299" s="1">
        <v>5</v>
      </c>
      <c r="Q299" s="1">
        <v>871</v>
      </c>
      <c r="R299" s="1" t="str">
        <f t="shared" si="24"/>
        <v>1</v>
      </c>
      <c r="S299" s="1">
        <v>146</v>
      </c>
      <c r="T299" s="1" t="str">
        <f t="shared" si="22"/>
        <v>2</v>
      </c>
      <c r="U299" s="1">
        <v>-28.814288999999999</v>
      </c>
      <c r="V299" s="3">
        <v>153.29089999999999</v>
      </c>
    </row>
    <row r="300" spans="1:22" x14ac:dyDescent="0.35">
      <c r="A300" s="22" t="s">
        <v>1056</v>
      </c>
      <c r="B300" s="1" t="s">
        <v>1057</v>
      </c>
      <c r="C300" s="1" t="s">
        <v>1058</v>
      </c>
      <c r="D300" s="1" t="s">
        <v>280</v>
      </c>
      <c r="E300" s="1" t="s">
        <v>281</v>
      </c>
      <c r="F300" s="1" t="s">
        <v>69</v>
      </c>
      <c r="G300" s="1">
        <f t="shared" si="20"/>
        <v>3</v>
      </c>
      <c r="H300" s="1" t="s">
        <v>58</v>
      </c>
      <c r="I300" s="1" t="s">
        <v>49</v>
      </c>
      <c r="J300" s="23" t="s">
        <v>50</v>
      </c>
      <c r="K300" s="2" t="s">
        <v>51</v>
      </c>
      <c r="L300" s="1">
        <v>12</v>
      </c>
      <c r="M300" s="1">
        <v>0</v>
      </c>
      <c r="N300" s="1" t="str">
        <f t="shared" si="23"/>
        <v>Published</v>
      </c>
      <c r="O300" s="1">
        <f t="shared" si="21"/>
        <v>0</v>
      </c>
      <c r="P300" s="1"/>
      <c r="Q300" s="1">
        <v>879</v>
      </c>
      <c r="R300" s="1" t="str">
        <f t="shared" si="24"/>
        <v>1</v>
      </c>
      <c r="S300" s="1">
        <v>182</v>
      </c>
      <c r="T300" s="1" t="str">
        <f t="shared" si="22"/>
        <v>1</v>
      </c>
      <c r="U300" s="1">
        <v>-30.189492999999999</v>
      </c>
      <c r="V300" s="3">
        <v>152.54264900000001</v>
      </c>
    </row>
    <row r="301" spans="1:22" x14ac:dyDescent="0.35">
      <c r="A301" s="22" t="s">
        <v>1059</v>
      </c>
      <c r="B301" s="1" t="s">
        <v>1060</v>
      </c>
      <c r="C301" s="1" t="s">
        <v>1061</v>
      </c>
      <c r="D301" s="1" t="s">
        <v>240</v>
      </c>
      <c r="E301" s="1" t="s">
        <v>261</v>
      </c>
      <c r="F301" s="1" t="s">
        <v>69</v>
      </c>
      <c r="G301" s="1">
        <f t="shared" si="20"/>
        <v>3</v>
      </c>
      <c r="H301" s="1" t="s">
        <v>58</v>
      </c>
      <c r="I301" s="1" t="s">
        <v>132</v>
      </c>
      <c r="J301" s="23" t="s">
        <v>50</v>
      </c>
      <c r="K301" s="2" t="s">
        <v>51</v>
      </c>
      <c r="L301" s="1">
        <v>151.6</v>
      </c>
      <c r="M301" s="1">
        <v>28</v>
      </c>
      <c r="N301" s="1" t="str">
        <f t="shared" si="23"/>
        <v>Published</v>
      </c>
      <c r="O301" s="1">
        <f t="shared" si="21"/>
        <v>42.448</v>
      </c>
      <c r="P301" s="1">
        <v>0</v>
      </c>
      <c r="Q301" s="1">
        <v>893</v>
      </c>
      <c r="R301" s="1" t="str">
        <f t="shared" si="24"/>
        <v>1</v>
      </c>
      <c r="S301" s="1">
        <v>137</v>
      </c>
      <c r="T301" s="1" t="str">
        <f t="shared" si="22"/>
        <v>2</v>
      </c>
      <c r="U301" s="1">
        <v>-32.018307999999998</v>
      </c>
      <c r="V301" s="3">
        <v>149.392212</v>
      </c>
    </row>
    <row r="302" spans="1:22" x14ac:dyDescent="0.35">
      <c r="A302" s="22" t="s">
        <v>1062</v>
      </c>
      <c r="B302" s="1" t="s">
        <v>1063</v>
      </c>
      <c r="C302" s="1" t="s">
        <v>1064</v>
      </c>
      <c r="D302" s="1" t="s">
        <v>236</v>
      </c>
      <c r="E302" s="1" t="s">
        <v>107</v>
      </c>
      <c r="F302" s="1" t="s">
        <v>57</v>
      </c>
      <c r="G302" s="1">
        <f t="shared" si="20"/>
        <v>2</v>
      </c>
      <c r="H302" s="1" t="s">
        <v>92</v>
      </c>
      <c r="I302" s="1" t="s">
        <v>49</v>
      </c>
      <c r="J302" s="23" t="s">
        <v>50</v>
      </c>
      <c r="K302" s="2" t="s">
        <v>51</v>
      </c>
      <c r="L302" s="1">
        <v>74</v>
      </c>
      <c r="M302" s="1">
        <v>14</v>
      </c>
      <c r="N302" s="1" t="str">
        <f t="shared" si="23"/>
        <v>Published</v>
      </c>
      <c r="O302" s="1">
        <f t="shared" si="21"/>
        <v>10.360000000000001</v>
      </c>
      <c r="P302" s="1"/>
      <c r="Q302" s="1">
        <v>980</v>
      </c>
      <c r="R302" s="1" t="str">
        <f t="shared" si="24"/>
        <v>2</v>
      </c>
      <c r="S302" s="1">
        <v>90</v>
      </c>
      <c r="T302" s="1" t="str">
        <f t="shared" si="22"/>
        <v>1</v>
      </c>
      <c r="U302" s="1">
        <v>-28.289681000000002</v>
      </c>
      <c r="V302" s="3">
        <v>153.382374</v>
      </c>
    </row>
    <row r="303" spans="1:22" x14ac:dyDescent="0.35">
      <c r="A303" s="22" t="s">
        <v>1065</v>
      </c>
      <c r="B303" s="1" t="s">
        <v>1066</v>
      </c>
      <c r="C303" s="1" t="s">
        <v>798</v>
      </c>
      <c r="D303" s="1" t="s">
        <v>798</v>
      </c>
      <c r="E303" s="1" t="s">
        <v>56</v>
      </c>
      <c r="F303" s="1" t="s">
        <v>57</v>
      </c>
      <c r="G303" s="1">
        <f t="shared" si="20"/>
        <v>2</v>
      </c>
      <c r="H303" s="1" t="s">
        <v>58</v>
      </c>
      <c r="I303" s="1" t="s">
        <v>49</v>
      </c>
      <c r="J303" s="23" t="s">
        <v>50</v>
      </c>
      <c r="K303" s="2" t="s">
        <v>51</v>
      </c>
      <c r="L303" s="1">
        <v>191</v>
      </c>
      <c r="M303" s="1">
        <v>29</v>
      </c>
      <c r="N303" s="1" t="str">
        <f t="shared" si="23"/>
        <v>Published</v>
      </c>
      <c r="O303" s="1">
        <f t="shared" si="21"/>
        <v>55.389999999999993</v>
      </c>
      <c r="P303" s="1"/>
      <c r="Q303" s="1">
        <v>914</v>
      </c>
      <c r="R303" s="1" t="str">
        <f t="shared" si="24"/>
        <v>2</v>
      </c>
      <c r="S303" s="1">
        <v>132</v>
      </c>
      <c r="T303" s="1" t="str">
        <f t="shared" si="22"/>
        <v>2</v>
      </c>
      <c r="U303" s="1">
        <v>-32.405233000000003</v>
      </c>
      <c r="V303" s="3">
        <v>151.75770900000001</v>
      </c>
    </row>
    <row r="304" spans="1:22" x14ac:dyDescent="0.35">
      <c r="A304" s="22" t="s">
        <v>1067</v>
      </c>
      <c r="B304" s="1" t="s">
        <v>1068</v>
      </c>
      <c r="C304" s="1" t="s">
        <v>1069</v>
      </c>
      <c r="D304" s="1" t="s">
        <v>90</v>
      </c>
      <c r="E304" s="1" t="s">
        <v>91</v>
      </c>
      <c r="F304" s="1" t="s">
        <v>69</v>
      </c>
      <c r="G304" s="1">
        <f t="shared" si="20"/>
        <v>3</v>
      </c>
      <c r="H304" s="1" t="s">
        <v>92</v>
      </c>
      <c r="I304" s="1" t="s">
        <v>49</v>
      </c>
      <c r="J304" s="23" t="s">
        <v>50</v>
      </c>
      <c r="K304" s="2" t="s">
        <v>51</v>
      </c>
      <c r="L304" s="1">
        <v>26</v>
      </c>
      <c r="M304" s="1"/>
      <c r="N304" s="1" t="str">
        <f t="shared" si="23"/>
        <v>Suppressed</v>
      </c>
      <c r="O304" s="1" t="str">
        <f t="shared" si="21"/>
        <v/>
      </c>
      <c r="P304" s="1"/>
      <c r="Q304" s="1">
        <v>1004</v>
      </c>
      <c r="R304" s="1" t="str">
        <f t="shared" si="24"/>
        <v>3</v>
      </c>
      <c r="S304" s="1">
        <v>84</v>
      </c>
      <c r="T304" s="1" t="str">
        <f t="shared" si="22"/>
        <v>1</v>
      </c>
      <c r="U304" s="1">
        <v>-31.220126</v>
      </c>
      <c r="V304" s="3">
        <v>151.13269</v>
      </c>
    </row>
    <row r="305" spans="1:22" x14ac:dyDescent="0.35">
      <c r="A305" s="22" t="s">
        <v>1070</v>
      </c>
      <c r="B305" s="1" t="s">
        <v>1071</v>
      </c>
      <c r="C305" s="1" t="s">
        <v>1072</v>
      </c>
      <c r="D305" s="1" t="s">
        <v>390</v>
      </c>
      <c r="E305" s="1" t="s">
        <v>107</v>
      </c>
      <c r="F305" s="1" t="s">
        <v>57</v>
      </c>
      <c r="G305" s="1">
        <f t="shared" si="20"/>
        <v>2</v>
      </c>
      <c r="H305" s="1" t="s">
        <v>92</v>
      </c>
      <c r="I305" s="1" t="s">
        <v>49</v>
      </c>
      <c r="J305" s="23" t="s">
        <v>50</v>
      </c>
      <c r="K305" s="2" t="s">
        <v>51</v>
      </c>
      <c r="L305" s="1">
        <v>72</v>
      </c>
      <c r="M305" s="1"/>
      <c r="N305" s="1" t="str">
        <f t="shared" si="23"/>
        <v>Suppressed</v>
      </c>
      <c r="O305" s="1" t="str">
        <f t="shared" si="21"/>
        <v/>
      </c>
      <c r="P305" s="1"/>
      <c r="Q305" s="1">
        <v>1037</v>
      </c>
      <c r="R305" s="1" t="str">
        <f t="shared" si="24"/>
        <v>3</v>
      </c>
      <c r="S305" s="1">
        <v>62</v>
      </c>
      <c r="T305" s="1" t="str">
        <f t="shared" si="22"/>
        <v>1</v>
      </c>
      <c r="U305" s="1">
        <v>-28.686734999999999</v>
      </c>
      <c r="V305" s="3">
        <v>153.315495</v>
      </c>
    </row>
    <row r="306" spans="1:22" x14ac:dyDescent="0.35">
      <c r="A306" s="22" t="s">
        <v>1073</v>
      </c>
      <c r="B306" s="1" t="s">
        <v>1074</v>
      </c>
      <c r="C306" s="1" t="s">
        <v>1075</v>
      </c>
      <c r="D306" s="1" t="s">
        <v>761</v>
      </c>
      <c r="E306" s="1" t="s">
        <v>127</v>
      </c>
      <c r="F306" s="1" t="s">
        <v>47</v>
      </c>
      <c r="G306" s="1">
        <f t="shared" si="20"/>
        <v>1</v>
      </c>
      <c r="H306" s="1" t="s">
        <v>63</v>
      </c>
      <c r="I306" s="1" t="s">
        <v>49</v>
      </c>
      <c r="J306" s="23" t="s">
        <v>50</v>
      </c>
      <c r="K306" s="2" t="s">
        <v>51</v>
      </c>
      <c r="L306" s="1">
        <v>350</v>
      </c>
      <c r="M306" s="1"/>
      <c r="N306" s="1" t="str">
        <f t="shared" si="23"/>
        <v>Suppressed</v>
      </c>
      <c r="O306" s="1" t="str">
        <f t="shared" si="21"/>
        <v/>
      </c>
      <c r="P306" s="1">
        <v>44</v>
      </c>
      <c r="Q306" s="1">
        <v>1102</v>
      </c>
      <c r="R306" s="1" t="str">
        <f t="shared" si="24"/>
        <v>4</v>
      </c>
      <c r="S306" s="1">
        <v>41</v>
      </c>
      <c r="T306" s="1" t="str">
        <f t="shared" si="22"/>
        <v>3</v>
      </c>
      <c r="U306" s="1">
        <v>-33.686056999999998</v>
      </c>
      <c r="V306" s="3">
        <v>151.02639400000001</v>
      </c>
    </row>
    <row r="307" spans="1:22" x14ac:dyDescent="0.35">
      <c r="A307" s="22" t="s">
        <v>1076</v>
      </c>
      <c r="B307" s="1" t="s">
        <v>1077</v>
      </c>
      <c r="C307" s="1" t="s">
        <v>1078</v>
      </c>
      <c r="D307" s="1" t="s">
        <v>236</v>
      </c>
      <c r="E307" s="1" t="s">
        <v>107</v>
      </c>
      <c r="F307" s="1" t="s">
        <v>57</v>
      </c>
      <c r="G307" s="1">
        <f t="shared" si="20"/>
        <v>2</v>
      </c>
      <c r="H307" s="1" t="s">
        <v>92</v>
      </c>
      <c r="I307" s="1" t="s">
        <v>49</v>
      </c>
      <c r="J307" s="23" t="s">
        <v>50</v>
      </c>
      <c r="K307" s="2" t="s">
        <v>51</v>
      </c>
      <c r="L307" s="1">
        <v>56</v>
      </c>
      <c r="M307" s="1"/>
      <c r="N307" s="1" t="str">
        <f t="shared" si="23"/>
        <v>Suppressed</v>
      </c>
      <c r="O307" s="1" t="str">
        <f t="shared" si="21"/>
        <v/>
      </c>
      <c r="P307" s="1"/>
      <c r="Q307" s="1">
        <v>1058</v>
      </c>
      <c r="R307" s="1" t="str">
        <f t="shared" si="24"/>
        <v>3</v>
      </c>
      <c r="S307" s="1">
        <v>57</v>
      </c>
      <c r="T307" s="1" t="str">
        <f t="shared" si="22"/>
        <v>1</v>
      </c>
      <c r="U307" s="1">
        <v>-28.289121000000002</v>
      </c>
      <c r="V307" s="3">
        <v>153.51688799999999</v>
      </c>
    </row>
    <row r="308" spans="1:22" x14ac:dyDescent="0.35">
      <c r="A308" s="22" t="s">
        <v>1079</v>
      </c>
      <c r="B308" s="1" t="s">
        <v>1080</v>
      </c>
      <c r="C308" s="1" t="s">
        <v>1081</v>
      </c>
      <c r="D308" s="1" t="s">
        <v>90</v>
      </c>
      <c r="E308" s="1" t="s">
        <v>91</v>
      </c>
      <c r="F308" s="1" t="s">
        <v>57</v>
      </c>
      <c r="G308" s="1">
        <f t="shared" si="20"/>
        <v>2</v>
      </c>
      <c r="H308" s="1" t="s">
        <v>92</v>
      </c>
      <c r="I308" s="1" t="s">
        <v>49</v>
      </c>
      <c r="J308" s="23" t="s">
        <v>50</v>
      </c>
      <c r="K308" s="2" t="s">
        <v>51</v>
      </c>
      <c r="L308" s="1">
        <v>42</v>
      </c>
      <c r="M308" s="1">
        <v>36</v>
      </c>
      <c r="N308" s="1" t="str">
        <f t="shared" si="23"/>
        <v>Published</v>
      </c>
      <c r="O308" s="1">
        <f t="shared" si="21"/>
        <v>15.12</v>
      </c>
      <c r="P308" s="1"/>
      <c r="Q308" s="1">
        <v>842</v>
      </c>
      <c r="R308" s="1" t="str">
        <f t="shared" si="24"/>
        <v>1</v>
      </c>
      <c r="S308" s="1">
        <v>151</v>
      </c>
      <c r="T308" s="1" t="str">
        <f t="shared" si="22"/>
        <v>1</v>
      </c>
      <c r="U308" s="1">
        <v>-31.221359</v>
      </c>
      <c r="V308" s="3">
        <v>150.829939</v>
      </c>
    </row>
    <row r="309" spans="1:22" x14ac:dyDescent="0.35">
      <c r="A309" s="22" t="s">
        <v>1082</v>
      </c>
      <c r="B309" s="1" t="s">
        <v>1083</v>
      </c>
      <c r="C309" s="1" t="s">
        <v>801</v>
      </c>
      <c r="D309" s="1" t="s">
        <v>152</v>
      </c>
      <c r="E309" s="1" t="s">
        <v>229</v>
      </c>
      <c r="F309" s="1" t="s">
        <v>47</v>
      </c>
      <c r="G309" s="1">
        <f t="shared" si="20"/>
        <v>1</v>
      </c>
      <c r="H309" s="1" t="s">
        <v>48</v>
      </c>
      <c r="I309" s="1" t="s">
        <v>49</v>
      </c>
      <c r="J309" s="23" t="s">
        <v>50</v>
      </c>
      <c r="K309" s="2" t="s">
        <v>51</v>
      </c>
      <c r="L309" s="1">
        <v>600</v>
      </c>
      <c r="M309" s="1"/>
      <c r="N309" s="1" t="str">
        <f t="shared" si="23"/>
        <v>Suppressed</v>
      </c>
      <c r="O309" s="1" t="str">
        <f t="shared" si="21"/>
        <v/>
      </c>
      <c r="P309" s="1">
        <v>74</v>
      </c>
      <c r="Q309" s="1">
        <v>1107</v>
      </c>
      <c r="R309" s="1" t="str">
        <f t="shared" si="24"/>
        <v>4</v>
      </c>
      <c r="S309" s="1">
        <v>29</v>
      </c>
      <c r="T309" s="1" t="str">
        <f t="shared" si="22"/>
        <v>4</v>
      </c>
      <c r="U309" s="1">
        <v>-33.928981999999998</v>
      </c>
      <c r="V309" s="3">
        <v>151.12237999999999</v>
      </c>
    </row>
    <row r="310" spans="1:22" x14ac:dyDescent="0.35">
      <c r="A310" s="22" t="s">
        <v>1084</v>
      </c>
      <c r="B310" s="1" t="s">
        <v>1085</v>
      </c>
      <c r="C310" s="1" t="s">
        <v>1086</v>
      </c>
      <c r="D310" s="1" t="s">
        <v>837</v>
      </c>
      <c r="E310" s="1" t="s">
        <v>838</v>
      </c>
      <c r="F310" s="1" t="s">
        <v>47</v>
      </c>
      <c r="G310" s="1">
        <f t="shared" si="20"/>
        <v>1</v>
      </c>
      <c r="H310" s="1" t="s">
        <v>182</v>
      </c>
      <c r="I310" s="1" t="s">
        <v>49</v>
      </c>
      <c r="J310" s="23" t="s">
        <v>50</v>
      </c>
      <c r="K310" s="2" t="s">
        <v>51</v>
      </c>
      <c r="L310" s="1">
        <v>246</v>
      </c>
      <c r="M310" s="1">
        <v>9</v>
      </c>
      <c r="N310" s="1" t="str">
        <f t="shared" si="23"/>
        <v>Published</v>
      </c>
      <c r="O310" s="1">
        <f t="shared" si="21"/>
        <v>22.14</v>
      </c>
      <c r="P310" s="1">
        <v>63</v>
      </c>
      <c r="Q310" s="1">
        <v>976</v>
      </c>
      <c r="R310" s="1" t="str">
        <f t="shared" si="24"/>
        <v>2</v>
      </c>
      <c r="S310" s="1">
        <v>114</v>
      </c>
      <c r="T310" s="1" t="str">
        <f t="shared" si="22"/>
        <v>2</v>
      </c>
      <c r="U310" s="1">
        <v>-33.787013000000002</v>
      </c>
      <c r="V310" s="3">
        <v>150.85262399999999</v>
      </c>
    </row>
    <row r="311" spans="1:22" x14ac:dyDescent="0.35">
      <c r="A311" s="22" t="s">
        <v>1087</v>
      </c>
      <c r="B311" s="1" t="s">
        <v>1088</v>
      </c>
      <c r="C311" s="1" t="s">
        <v>1089</v>
      </c>
      <c r="D311" s="1" t="s">
        <v>152</v>
      </c>
      <c r="E311" s="1" t="s">
        <v>229</v>
      </c>
      <c r="F311" s="1" t="s">
        <v>47</v>
      </c>
      <c r="G311" s="1">
        <f t="shared" si="20"/>
        <v>1</v>
      </c>
      <c r="H311" s="1" t="s">
        <v>182</v>
      </c>
      <c r="I311" s="1" t="s">
        <v>49</v>
      </c>
      <c r="J311" s="23" t="s">
        <v>50</v>
      </c>
      <c r="K311" s="2" t="s">
        <v>51</v>
      </c>
      <c r="L311" s="1">
        <v>368</v>
      </c>
      <c r="M311" s="1">
        <v>2</v>
      </c>
      <c r="N311" s="1" t="str">
        <f t="shared" si="23"/>
        <v>Published</v>
      </c>
      <c r="O311" s="1">
        <f t="shared" si="21"/>
        <v>7.36</v>
      </c>
      <c r="P311" s="1">
        <v>44</v>
      </c>
      <c r="Q311" s="1">
        <v>1057</v>
      </c>
      <c r="R311" s="1" t="str">
        <f t="shared" si="24"/>
        <v>3</v>
      </c>
      <c r="S311" s="1">
        <v>65</v>
      </c>
      <c r="T311" s="1" t="str">
        <f t="shared" si="22"/>
        <v>3</v>
      </c>
      <c r="U311" s="1">
        <v>-33.965972000000001</v>
      </c>
      <c r="V311" s="3">
        <v>150.99946</v>
      </c>
    </row>
    <row r="312" spans="1:22" x14ac:dyDescent="0.35">
      <c r="A312" s="22" t="s">
        <v>1090</v>
      </c>
      <c r="B312" s="1" t="s">
        <v>1091</v>
      </c>
      <c r="C312" s="1" t="s">
        <v>211</v>
      </c>
      <c r="D312" s="1" t="s">
        <v>211</v>
      </c>
      <c r="E312" s="1" t="s">
        <v>102</v>
      </c>
      <c r="F312" s="1" t="s">
        <v>57</v>
      </c>
      <c r="G312" s="1">
        <f t="shared" si="20"/>
        <v>2</v>
      </c>
      <c r="H312" s="1" t="s">
        <v>58</v>
      </c>
      <c r="I312" s="1" t="s">
        <v>49</v>
      </c>
      <c r="J312" s="23" t="s">
        <v>50</v>
      </c>
      <c r="K312" s="2" t="s">
        <v>51</v>
      </c>
      <c r="L312" s="1">
        <v>570</v>
      </c>
      <c r="M312" s="1">
        <v>38</v>
      </c>
      <c r="N312" s="1" t="str">
        <f t="shared" si="23"/>
        <v>Published</v>
      </c>
      <c r="O312" s="1">
        <f t="shared" si="21"/>
        <v>216.6</v>
      </c>
      <c r="P312" s="1">
        <v>11</v>
      </c>
      <c r="Q312" s="1">
        <v>911</v>
      </c>
      <c r="R312" s="1" t="str">
        <f t="shared" si="24"/>
        <v>2</v>
      </c>
      <c r="S312" s="1">
        <v>119</v>
      </c>
      <c r="T312" s="1" t="str">
        <f t="shared" si="22"/>
        <v>3</v>
      </c>
      <c r="U312" s="1">
        <v>-32.263126</v>
      </c>
      <c r="V312" s="3">
        <v>148.60974899999999</v>
      </c>
    </row>
    <row r="313" spans="1:22" x14ac:dyDescent="0.35">
      <c r="A313" s="22" t="s">
        <v>1092</v>
      </c>
      <c r="B313" s="1" t="s">
        <v>1093</v>
      </c>
      <c r="C313" s="1" t="s">
        <v>1094</v>
      </c>
      <c r="D313" s="1" t="s">
        <v>404</v>
      </c>
      <c r="E313" s="1" t="s">
        <v>127</v>
      </c>
      <c r="F313" s="1" t="s">
        <v>57</v>
      </c>
      <c r="G313" s="1">
        <f t="shared" si="20"/>
        <v>2</v>
      </c>
      <c r="H313" s="1" t="s">
        <v>63</v>
      </c>
      <c r="I313" s="1" t="s">
        <v>49</v>
      </c>
      <c r="J313" s="23" t="s">
        <v>50</v>
      </c>
      <c r="K313" s="2" t="s">
        <v>51</v>
      </c>
      <c r="L313" s="1">
        <v>85</v>
      </c>
      <c r="M313" s="1">
        <v>8</v>
      </c>
      <c r="N313" s="1" t="str">
        <f t="shared" si="23"/>
        <v>Published</v>
      </c>
      <c r="O313" s="1">
        <f t="shared" si="21"/>
        <v>6.8</v>
      </c>
      <c r="P313" s="1">
        <v>7</v>
      </c>
      <c r="Q313" s="1">
        <v>995</v>
      </c>
      <c r="R313" s="1" t="str">
        <f t="shared" si="24"/>
        <v>2</v>
      </c>
      <c r="S313" s="1">
        <v>95</v>
      </c>
      <c r="T313" s="1" t="str">
        <f t="shared" si="22"/>
        <v>1</v>
      </c>
      <c r="U313" s="1">
        <v>-33.530917000000002</v>
      </c>
      <c r="V313" s="3">
        <v>150.87677400000001</v>
      </c>
    </row>
    <row r="314" spans="1:22" x14ac:dyDescent="0.35">
      <c r="A314" s="22" t="s">
        <v>1095</v>
      </c>
      <c r="B314" s="1" t="s">
        <v>1096</v>
      </c>
      <c r="C314" s="1" t="s">
        <v>1097</v>
      </c>
      <c r="D314" s="1" t="s">
        <v>139</v>
      </c>
      <c r="E314" s="1" t="s">
        <v>91</v>
      </c>
      <c r="F314" s="1" t="s">
        <v>69</v>
      </c>
      <c r="G314" s="1">
        <f t="shared" si="20"/>
        <v>3</v>
      </c>
      <c r="H314" s="1" t="s">
        <v>92</v>
      </c>
      <c r="I314" s="1" t="s">
        <v>49</v>
      </c>
      <c r="J314" s="23" t="s">
        <v>50</v>
      </c>
      <c r="K314" s="2" t="s">
        <v>51</v>
      </c>
      <c r="L314" s="1">
        <v>7</v>
      </c>
      <c r="M314" s="1"/>
      <c r="N314" s="1" t="str">
        <f t="shared" si="23"/>
        <v>Suppressed</v>
      </c>
      <c r="O314" s="1" t="str">
        <f t="shared" si="21"/>
        <v/>
      </c>
      <c r="P314" s="1">
        <v>0</v>
      </c>
      <c r="Q314" s="1">
        <v>826</v>
      </c>
      <c r="R314" s="1" t="str">
        <f t="shared" si="24"/>
        <v>1</v>
      </c>
      <c r="S314" s="1">
        <v>153</v>
      </c>
      <c r="T314" s="1" t="str">
        <f t="shared" si="22"/>
        <v>1</v>
      </c>
      <c r="U314" s="1">
        <v>-30.403293000000001</v>
      </c>
      <c r="V314" s="3">
        <v>152.34988200000001</v>
      </c>
    </row>
    <row r="315" spans="1:22" x14ac:dyDescent="0.35">
      <c r="A315" s="22" t="s">
        <v>1098</v>
      </c>
      <c r="B315" s="1" t="s">
        <v>1099</v>
      </c>
      <c r="C315" s="1" t="s">
        <v>1100</v>
      </c>
      <c r="D315" s="1" t="s">
        <v>314</v>
      </c>
      <c r="E315" s="1" t="s">
        <v>68</v>
      </c>
      <c r="F315" s="1" t="s">
        <v>69</v>
      </c>
      <c r="G315" s="1">
        <f t="shared" si="20"/>
        <v>3</v>
      </c>
      <c r="H315" s="1" t="s">
        <v>70</v>
      </c>
      <c r="I315" s="1" t="s">
        <v>49</v>
      </c>
      <c r="J315" s="23" t="s">
        <v>50</v>
      </c>
      <c r="K315" s="2" t="s">
        <v>51</v>
      </c>
      <c r="L315" s="1">
        <v>256</v>
      </c>
      <c r="M315" s="1">
        <v>28</v>
      </c>
      <c r="N315" s="1" t="str">
        <f t="shared" si="23"/>
        <v>Published</v>
      </c>
      <c r="O315" s="1">
        <f t="shared" si="21"/>
        <v>71.680000000000007</v>
      </c>
      <c r="P315" s="1">
        <v>5</v>
      </c>
      <c r="Q315" s="1">
        <v>906</v>
      </c>
      <c r="R315" s="1" t="str">
        <f t="shared" si="24"/>
        <v>2</v>
      </c>
      <c r="S315" s="1">
        <v>136</v>
      </c>
      <c r="T315" s="1" t="str">
        <f t="shared" si="22"/>
        <v>2</v>
      </c>
      <c r="U315" s="1">
        <v>-37.063271</v>
      </c>
      <c r="V315" s="3">
        <v>149.906688</v>
      </c>
    </row>
    <row r="316" spans="1:22" x14ac:dyDescent="0.35">
      <c r="A316" s="22" t="s">
        <v>1101</v>
      </c>
      <c r="B316" s="1" t="s">
        <v>1102</v>
      </c>
      <c r="C316" s="1" t="s">
        <v>1103</v>
      </c>
      <c r="D316" s="1" t="s">
        <v>62</v>
      </c>
      <c r="E316" s="1" t="s">
        <v>56</v>
      </c>
      <c r="F316" s="1" t="s">
        <v>57</v>
      </c>
      <c r="G316" s="1">
        <f t="shared" si="20"/>
        <v>2</v>
      </c>
      <c r="H316" s="1" t="s">
        <v>63</v>
      </c>
      <c r="I316" s="1" t="s">
        <v>49</v>
      </c>
      <c r="J316" s="23" t="s">
        <v>50</v>
      </c>
      <c r="K316" s="2" t="s">
        <v>51</v>
      </c>
      <c r="L316" s="1">
        <v>11</v>
      </c>
      <c r="M316" s="1"/>
      <c r="N316" s="1" t="str">
        <f t="shared" si="23"/>
        <v>Suppressed</v>
      </c>
      <c r="O316" s="1" t="str">
        <f t="shared" si="21"/>
        <v/>
      </c>
      <c r="P316" s="1"/>
      <c r="Q316" s="1">
        <v>888</v>
      </c>
      <c r="R316" s="1" t="str">
        <f t="shared" si="24"/>
        <v>1</v>
      </c>
      <c r="S316" s="1">
        <v>154</v>
      </c>
      <c r="T316" s="1" t="str">
        <f t="shared" si="22"/>
        <v>1</v>
      </c>
      <c r="U316" s="1">
        <v>-32.958736000000002</v>
      </c>
      <c r="V316" s="3">
        <v>151.273875</v>
      </c>
    </row>
    <row r="317" spans="1:22" x14ac:dyDescent="0.35">
      <c r="A317" s="22" t="s">
        <v>1104</v>
      </c>
      <c r="B317" s="1" t="s">
        <v>1105</v>
      </c>
      <c r="C317" s="1" t="s">
        <v>1106</v>
      </c>
      <c r="D317" s="1" t="s">
        <v>291</v>
      </c>
      <c r="E317" s="1" t="s">
        <v>261</v>
      </c>
      <c r="F317" s="1" t="s">
        <v>57</v>
      </c>
      <c r="G317" s="1">
        <f t="shared" si="20"/>
        <v>2</v>
      </c>
      <c r="H317" s="1" t="s">
        <v>58</v>
      </c>
      <c r="I317" s="1" t="s">
        <v>49</v>
      </c>
      <c r="J317" s="23" t="s">
        <v>50</v>
      </c>
      <c r="K317" s="2" t="s">
        <v>51</v>
      </c>
      <c r="L317" s="1">
        <v>406</v>
      </c>
      <c r="M317" s="1">
        <v>14</v>
      </c>
      <c r="N317" s="1" t="str">
        <f t="shared" si="23"/>
        <v>Published</v>
      </c>
      <c r="O317" s="1">
        <f t="shared" si="21"/>
        <v>56.84</v>
      </c>
      <c r="P317" s="1">
        <v>5</v>
      </c>
      <c r="Q317" s="1">
        <v>986</v>
      </c>
      <c r="R317" s="1" t="str">
        <f t="shared" si="24"/>
        <v>2</v>
      </c>
      <c r="S317" s="1">
        <v>93</v>
      </c>
      <c r="T317" s="1" t="str">
        <f t="shared" si="22"/>
        <v>3</v>
      </c>
      <c r="U317" s="1">
        <v>-33.377519999999997</v>
      </c>
      <c r="V317" s="3">
        <v>149.539343</v>
      </c>
    </row>
    <row r="318" spans="1:22" x14ac:dyDescent="0.35">
      <c r="A318" s="22" t="s">
        <v>1107</v>
      </c>
      <c r="B318" s="1" t="s">
        <v>1108</v>
      </c>
      <c r="C318" s="1" t="s">
        <v>1109</v>
      </c>
      <c r="D318" s="1" t="s">
        <v>275</v>
      </c>
      <c r="E318" s="1" t="s">
        <v>276</v>
      </c>
      <c r="F318" s="1" t="s">
        <v>69</v>
      </c>
      <c r="G318" s="1">
        <f t="shared" si="20"/>
        <v>3</v>
      </c>
      <c r="H318" s="1" t="s">
        <v>58</v>
      </c>
      <c r="I318" s="1" t="s">
        <v>49</v>
      </c>
      <c r="J318" s="23" t="s">
        <v>50</v>
      </c>
      <c r="K318" s="2" t="s">
        <v>51</v>
      </c>
      <c r="L318" s="1">
        <v>15</v>
      </c>
      <c r="M318" s="1"/>
      <c r="N318" s="1" t="str">
        <f t="shared" si="23"/>
        <v>Suppressed</v>
      </c>
      <c r="O318" s="1" t="str">
        <f t="shared" si="21"/>
        <v/>
      </c>
      <c r="P318" s="1"/>
      <c r="Q318" s="1">
        <v>976</v>
      </c>
      <c r="R318" s="1" t="str">
        <f t="shared" si="24"/>
        <v>2</v>
      </c>
      <c r="S318" s="1">
        <v>115</v>
      </c>
      <c r="T318" s="1" t="str">
        <f t="shared" si="22"/>
        <v>1</v>
      </c>
      <c r="U318" s="1">
        <v>-31.619382999999999</v>
      </c>
      <c r="V318" s="3">
        <v>152.29229100000001</v>
      </c>
    </row>
    <row r="319" spans="1:22" x14ac:dyDescent="0.35">
      <c r="A319" s="22" t="s">
        <v>1110</v>
      </c>
      <c r="B319" s="1" t="s">
        <v>1111</v>
      </c>
      <c r="C319" s="1" t="s">
        <v>1112</v>
      </c>
      <c r="D319" s="1" t="s">
        <v>62</v>
      </c>
      <c r="E319" s="1" t="s">
        <v>56</v>
      </c>
      <c r="F319" s="1" t="s">
        <v>57</v>
      </c>
      <c r="G319" s="1">
        <f t="shared" si="20"/>
        <v>2</v>
      </c>
      <c r="H319" s="1" t="s">
        <v>63</v>
      </c>
      <c r="I319" s="1" t="s">
        <v>49</v>
      </c>
      <c r="J319" s="23" t="s">
        <v>50</v>
      </c>
      <c r="K319" s="2" t="s">
        <v>51</v>
      </c>
      <c r="L319" s="1">
        <v>114</v>
      </c>
      <c r="M319" s="1">
        <v>28</v>
      </c>
      <c r="N319" s="1" t="str">
        <f t="shared" si="23"/>
        <v>Published</v>
      </c>
      <c r="O319" s="1">
        <f t="shared" si="21"/>
        <v>31.92</v>
      </c>
      <c r="P319" s="1"/>
      <c r="Q319" s="1">
        <v>903</v>
      </c>
      <c r="R319" s="1" t="str">
        <f t="shared" si="24"/>
        <v>2</v>
      </c>
      <c r="S319" s="1">
        <v>136</v>
      </c>
      <c r="T319" s="1" t="str">
        <f t="shared" si="22"/>
        <v>2</v>
      </c>
      <c r="U319" s="1">
        <v>-32.914749</v>
      </c>
      <c r="V319" s="3">
        <v>151.31197399999999</v>
      </c>
    </row>
    <row r="320" spans="1:22" x14ac:dyDescent="0.35">
      <c r="A320" s="22" t="s">
        <v>1113</v>
      </c>
      <c r="B320" s="1" t="s">
        <v>1114</v>
      </c>
      <c r="C320" s="1" t="s">
        <v>1115</v>
      </c>
      <c r="D320" s="1" t="s">
        <v>55</v>
      </c>
      <c r="E320" s="1" t="s">
        <v>56</v>
      </c>
      <c r="F320" s="1" t="s">
        <v>69</v>
      </c>
      <c r="G320" s="1">
        <f t="shared" si="20"/>
        <v>3</v>
      </c>
      <c r="H320" s="1" t="s">
        <v>58</v>
      </c>
      <c r="I320" s="1" t="s">
        <v>49</v>
      </c>
      <c r="J320" s="23" t="s">
        <v>50</v>
      </c>
      <c r="K320" s="2" t="s">
        <v>51</v>
      </c>
      <c r="L320" s="1">
        <v>11</v>
      </c>
      <c r="M320" s="1">
        <v>0</v>
      </c>
      <c r="N320" s="1" t="str">
        <f t="shared" si="23"/>
        <v>Published</v>
      </c>
      <c r="O320" s="1">
        <f t="shared" si="21"/>
        <v>0</v>
      </c>
      <c r="P320" s="1">
        <v>0</v>
      </c>
      <c r="Q320" s="1">
        <v>935</v>
      </c>
      <c r="R320" s="1" t="str">
        <f t="shared" si="24"/>
        <v>2</v>
      </c>
      <c r="S320" s="1">
        <v>124</v>
      </c>
      <c r="T320" s="1" t="str">
        <f t="shared" si="22"/>
        <v>1</v>
      </c>
      <c r="U320" s="1">
        <v>-31.817730000000001</v>
      </c>
      <c r="V320" s="3">
        <v>151.30436900000001</v>
      </c>
    </row>
    <row r="321" spans="1:22" x14ac:dyDescent="0.35">
      <c r="A321" s="22" t="s">
        <v>1116</v>
      </c>
      <c r="B321" s="1" t="s">
        <v>1117</v>
      </c>
      <c r="C321" s="1" t="s">
        <v>1118</v>
      </c>
      <c r="D321" s="1" t="s">
        <v>390</v>
      </c>
      <c r="E321" s="1" t="s">
        <v>107</v>
      </c>
      <c r="F321" s="1" t="s">
        <v>57</v>
      </c>
      <c r="G321" s="1">
        <f t="shared" si="20"/>
        <v>2</v>
      </c>
      <c r="H321" s="1" t="s">
        <v>92</v>
      </c>
      <c r="I321" s="1" t="s">
        <v>49</v>
      </c>
      <c r="J321" s="23" t="s">
        <v>50</v>
      </c>
      <c r="K321" s="2" t="s">
        <v>51</v>
      </c>
      <c r="L321" s="1">
        <v>59</v>
      </c>
      <c r="M321" s="1"/>
      <c r="N321" s="1" t="str">
        <f t="shared" si="23"/>
        <v>Suppressed</v>
      </c>
      <c r="O321" s="1" t="str">
        <f t="shared" si="21"/>
        <v/>
      </c>
      <c r="P321" s="1"/>
      <c r="Q321" s="1">
        <v>1075</v>
      </c>
      <c r="R321" s="1" t="str">
        <f t="shared" si="24"/>
        <v>3</v>
      </c>
      <c r="S321" s="1">
        <v>64</v>
      </c>
      <c r="T321" s="1" t="str">
        <f t="shared" si="22"/>
        <v>1</v>
      </c>
      <c r="U321" s="1">
        <v>-28.763663000000001</v>
      </c>
      <c r="V321" s="3">
        <v>153.40854100000001</v>
      </c>
    </row>
    <row r="322" spans="1:22" x14ac:dyDescent="0.35">
      <c r="A322" s="22" t="s">
        <v>1119</v>
      </c>
      <c r="B322" s="1" t="s">
        <v>1120</v>
      </c>
      <c r="C322" s="1" t="s">
        <v>1121</v>
      </c>
      <c r="D322" s="1" t="s">
        <v>1014</v>
      </c>
      <c r="E322" s="1" t="s">
        <v>91</v>
      </c>
      <c r="F322" s="1" t="s">
        <v>69</v>
      </c>
      <c r="G322" s="1">
        <f t="shared" ref="G322:G385" si="25">IF(F322="Major Cities of Australia",1,IF(F322="Inner Regional Australia",2,IF(F322="Outer Regional Australia",3,IF(F322="Remote Australia",4,IF(F322="Very Remote Australia",5,6)))))</f>
        <v>3</v>
      </c>
      <c r="H322" s="1" t="s">
        <v>92</v>
      </c>
      <c r="I322" s="1" t="s">
        <v>132</v>
      </c>
      <c r="J322" s="23" t="s">
        <v>50</v>
      </c>
      <c r="K322" s="2" t="s">
        <v>51</v>
      </c>
      <c r="L322" s="1">
        <v>94</v>
      </c>
      <c r="M322" s="1">
        <v>28</v>
      </c>
      <c r="N322" s="1" t="str">
        <f t="shared" si="23"/>
        <v>Published</v>
      </c>
      <c r="O322" s="1">
        <f t="shared" ref="O322:O385" si="26">IF(OR(M322="",L322=""),"",M322/100*L322)</f>
        <v>26.320000000000004</v>
      </c>
      <c r="P322" s="1"/>
      <c r="Q322" s="1">
        <v>886</v>
      </c>
      <c r="R322" s="1" t="str">
        <f t="shared" si="24"/>
        <v>1</v>
      </c>
      <c r="S322" s="1">
        <v>145</v>
      </c>
      <c r="T322" s="1" t="str">
        <f t="shared" ref="T322:T385" si="27">IF(L322="","No enrolment",IF(L322&lt;100,"1",IF(L322&lt;300,"2",IF(L322&lt;600,"3",IF(L322&lt;1000,"4","5")))))</f>
        <v>1</v>
      </c>
      <c r="U322" s="1">
        <v>-29.446152000000001</v>
      </c>
      <c r="V322" s="3">
        <v>151.60166899999999</v>
      </c>
    </row>
    <row r="323" spans="1:22" x14ac:dyDescent="0.35">
      <c r="A323" s="22" t="s">
        <v>1122</v>
      </c>
      <c r="B323" s="1" t="s">
        <v>1123</v>
      </c>
      <c r="C323" s="1" t="s">
        <v>1124</v>
      </c>
      <c r="D323" s="1" t="s">
        <v>186</v>
      </c>
      <c r="E323" s="1" t="s">
        <v>187</v>
      </c>
      <c r="F323" s="1" t="s">
        <v>47</v>
      </c>
      <c r="G323" s="1">
        <f t="shared" si="25"/>
        <v>1</v>
      </c>
      <c r="H323" s="1" t="s">
        <v>63</v>
      </c>
      <c r="I323" s="1" t="s">
        <v>49</v>
      </c>
      <c r="J323" s="23" t="s">
        <v>50</v>
      </c>
      <c r="K323" s="2" t="s">
        <v>51</v>
      </c>
      <c r="L323" s="1">
        <v>426</v>
      </c>
      <c r="M323" s="1">
        <v>7</v>
      </c>
      <c r="N323" s="1" t="str">
        <f t="shared" ref="N323:N386" si="28">IF(M323="","Suppressed","Published")</f>
        <v>Published</v>
      </c>
      <c r="O323" s="1">
        <f t="shared" si="26"/>
        <v>29.820000000000004</v>
      </c>
      <c r="P323" s="1">
        <v>7</v>
      </c>
      <c r="Q323" s="1">
        <v>1039</v>
      </c>
      <c r="R323" s="1" t="str">
        <f t="shared" ref="R323:R386" si="29">IF(Q323="","No ICSEA",IF(Q323&lt;900,"1",IF(Q323&lt;1000,"2",IF(Q323&lt;1100,"3","4"))))</f>
        <v>3</v>
      </c>
      <c r="S323" s="1">
        <v>73</v>
      </c>
      <c r="T323" s="1" t="str">
        <f t="shared" si="27"/>
        <v>3</v>
      </c>
      <c r="U323" s="1">
        <v>-33.504316000000003</v>
      </c>
      <c r="V323" s="3">
        <v>151.362889</v>
      </c>
    </row>
    <row r="324" spans="1:22" x14ac:dyDescent="0.35">
      <c r="A324" s="22" t="s">
        <v>1125</v>
      </c>
      <c r="B324" s="1" t="s">
        <v>1126</v>
      </c>
      <c r="C324" s="1" t="s">
        <v>1127</v>
      </c>
      <c r="D324" s="1" t="s">
        <v>106</v>
      </c>
      <c r="E324" s="1" t="s">
        <v>107</v>
      </c>
      <c r="F324" s="1" t="s">
        <v>57</v>
      </c>
      <c r="G324" s="1">
        <f t="shared" si="25"/>
        <v>2</v>
      </c>
      <c r="H324" s="1" t="s">
        <v>92</v>
      </c>
      <c r="I324" s="1" t="s">
        <v>49</v>
      </c>
      <c r="J324" s="23" t="s">
        <v>50</v>
      </c>
      <c r="K324" s="2" t="s">
        <v>51</v>
      </c>
      <c r="L324" s="1">
        <v>18</v>
      </c>
      <c r="M324" s="1"/>
      <c r="N324" s="1" t="str">
        <f t="shared" si="28"/>
        <v>Suppressed</v>
      </c>
      <c r="O324" s="1" t="str">
        <f t="shared" si="26"/>
        <v/>
      </c>
      <c r="P324" s="1"/>
      <c r="Q324" s="1">
        <v>941</v>
      </c>
      <c r="R324" s="1" t="str">
        <f t="shared" si="29"/>
        <v>2</v>
      </c>
      <c r="S324" s="1">
        <v>90</v>
      </c>
      <c r="T324" s="1" t="str">
        <f t="shared" si="27"/>
        <v>1</v>
      </c>
      <c r="U324" s="1">
        <v>-28.915113999999999</v>
      </c>
      <c r="V324" s="3">
        <v>153.50605899999999</v>
      </c>
    </row>
    <row r="325" spans="1:22" x14ac:dyDescent="0.35">
      <c r="A325" s="22" t="s">
        <v>1128</v>
      </c>
      <c r="B325" s="1" t="s">
        <v>1129</v>
      </c>
      <c r="C325" s="1" t="s">
        <v>1130</v>
      </c>
      <c r="D325" s="1" t="s">
        <v>1131</v>
      </c>
      <c r="E325" s="1" t="s">
        <v>429</v>
      </c>
      <c r="F325" s="1" t="s">
        <v>47</v>
      </c>
      <c r="G325" s="1">
        <f t="shared" si="25"/>
        <v>1</v>
      </c>
      <c r="H325" s="1" t="s">
        <v>182</v>
      </c>
      <c r="I325" s="1" t="s">
        <v>49</v>
      </c>
      <c r="J325" s="23" t="s">
        <v>50</v>
      </c>
      <c r="K325" s="2" t="s">
        <v>51</v>
      </c>
      <c r="L325" s="1">
        <v>406</v>
      </c>
      <c r="M325" s="1">
        <v>13</v>
      </c>
      <c r="N325" s="1" t="str">
        <f t="shared" si="28"/>
        <v>Published</v>
      </c>
      <c r="O325" s="1">
        <f t="shared" si="26"/>
        <v>52.78</v>
      </c>
      <c r="P325" s="1">
        <v>11</v>
      </c>
      <c r="Q325" s="1">
        <v>993</v>
      </c>
      <c r="R325" s="1" t="str">
        <f t="shared" si="29"/>
        <v>2</v>
      </c>
      <c r="S325" s="1">
        <v>98</v>
      </c>
      <c r="T325" s="1" t="str">
        <f t="shared" si="27"/>
        <v>3</v>
      </c>
      <c r="U325" s="1">
        <v>-33.755617000000001</v>
      </c>
      <c r="V325" s="3">
        <v>150.65773899999999</v>
      </c>
    </row>
    <row r="326" spans="1:22" x14ac:dyDescent="0.35">
      <c r="A326" s="22" t="s">
        <v>1132</v>
      </c>
      <c r="B326" s="1" t="s">
        <v>1133</v>
      </c>
      <c r="C326" s="1" t="s">
        <v>1134</v>
      </c>
      <c r="D326" s="1" t="s">
        <v>659</v>
      </c>
      <c r="E326" s="1" t="s">
        <v>46</v>
      </c>
      <c r="F326" s="1" t="s">
        <v>47</v>
      </c>
      <c r="G326" s="1">
        <f t="shared" si="25"/>
        <v>1</v>
      </c>
      <c r="H326" s="1" t="s">
        <v>48</v>
      </c>
      <c r="I326" s="1" t="s">
        <v>49</v>
      </c>
      <c r="J326" s="23" t="s">
        <v>50</v>
      </c>
      <c r="K326" s="2" t="s">
        <v>51</v>
      </c>
      <c r="L326" s="1">
        <v>199</v>
      </c>
      <c r="M326" s="1"/>
      <c r="N326" s="1" t="str">
        <f t="shared" si="28"/>
        <v>Suppressed</v>
      </c>
      <c r="O326" s="1" t="str">
        <f t="shared" si="26"/>
        <v/>
      </c>
      <c r="P326" s="1">
        <v>67</v>
      </c>
      <c r="Q326" s="1">
        <v>1062</v>
      </c>
      <c r="R326" s="1" t="str">
        <f t="shared" si="29"/>
        <v>3</v>
      </c>
      <c r="S326" s="1">
        <v>54</v>
      </c>
      <c r="T326" s="1" t="str">
        <f t="shared" si="27"/>
        <v>2</v>
      </c>
      <c r="U326" s="1">
        <v>-33.888598000000002</v>
      </c>
      <c r="V326" s="3">
        <v>151.094528</v>
      </c>
    </row>
    <row r="327" spans="1:22" x14ac:dyDescent="0.35">
      <c r="A327" s="22" t="s">
        <v>1135</v>
      </c>
      <c r="B327" s="1" t="s">
        <v>1136</v>
      </c>
      <c r="C327" s="1" t="s">
        <v>1137</v>
      </c>
      <c r="D327" s="1" t="s">
        <v>737</v>
      </c>
      <c r="E327" s="1" t="s">
        <v>738</v>
      </c>
      <c r="F327" s="1" t="s">
        <v>47</v>
      </c>
      <c r="G327" s="1">
        <f t="shared" si="25"/>
        <v>1</v>
      </c>
      <c r="H327" s="1" t="s">
        <v>182</v>
      </c>
      <c r="I327" s="1" t="s">
        <v>49</v>
      </c>
      <c r="J327" s="23" t="s">
        <v>50</v>
      </c>
      <c r="K327" s="2" t="s">
        <v>51</v>
      </c>
      <c r="L327" s="1">
        <v>411</v>
      </c>
      <c r="M327" s="1">
        <v>2</v>
      </c>
      <c r="N327" s="1" t="str">
        <f t="shared" si="28"/>
        <v>Published</v>
      </c>
      <c r="O327" s="1">
        <f t="shared" si="26"/>
        <v>8.2200000000000006</v>
      </c>
      <c r="P327" s="1">
        <v>18</v>
      </c>
      <c r="Q327" s="1">
        <v>1059</v>
      </c>
      <c r="R327" s="1" t="str">
        <f t="shared" si="29"/>
        <v>3</v>
      </c>
      <c r="S327" s="1">
        <v>62</v>
      </c>
      <c r="T327" s="1" t="str">
        <f t="shared" si="27"/>
        <v>3</v>
      </c>
      <c r="U327" s="1">
        <v>-34.06335</v>
      </c>
      <c r="V327" s="3">
        <v>151.01243099999999</v>
      </c>
    </row>
    <row r="328" spans="1:22" x14ac:dyDescent="0.35">
      <c r="A328" s="22" t="s">
        <v>1138</v>
      </c>
      <c r="B328" s="1" t="s">
        <v>1139</v>
      </c>
      <c r="C328" s="1" t="s">
        <v>1140</v>
      </c>
      <c r="D328" s="1" t="s">
        <v>186</v>
      </c>
      <c r="E328" s="1" t="s">
        <v>187</v>
      </c>
      <c r="F328" s="1" t="s">
        <v>47</v>
      </c>
      <c r="G328" s="1">
        <f t="shared" si="25"/>
        <v>1</v>
      </c>
      <c r="H328" s="1" t="s">
        <v>63</v>
      </c>
      <c r="I328" s="1" t="s">
        <v>49</v>
      </c>
      <c r="J328" s="23" t="s">
        <v>50</v>
      </c>
      <c r="K328" s="2" t="s">
        <v>51</v>
      </c>
      <c r="L328" s="1">
        <v>422</v>
      </c>
      <c r="M328" s="1">
        <v>26</v>
      </c>
      <c r="N328" s="1" t="str">
        <f t="shared" si="28"/>
        <v>Published</v>
      </c>
      <c r="O328" s="1">
        <f t="shared" si="26"/>
        <v>109.72</v>
      </c>
      <c r="P328" s="1">
        <v>13</v>
      </c>
      <c r="Q328" s="1">
        <v>923</v>
      </c>
      <c r="R328" s="1" t="str">
        <f t="shared" si="29"/>
        <v>2</v>
      </c>
      <c r="S328" s="1">
        <v>131</v>
      </c>
      <c r="T328" s="1" t="str">
        <f t="shared" si="27"/>
        <v>3</v>
      </c>
      <c r="U328" s="1">
        <v>-33.346741000000002</v>
      </c>
      <c r="V328" s="3">
        <v>151.493009</v>
      </c>
    </row>
    <row r="329" spans="1:22" x14ac:dyDescent="0.35">
      <c r="A329" s="22" t="s">
        <v>1141</v>
      </c>
      <c r="B329" s="1" t="s">
        <v>1142</v>
      </c>
      <c r="C329" s="1" t="s">
        <v>1143</v>
      </c>
      <c r="D329" s="1" t="s">
        <v>642</v>
      </c>
      <c r="E329" s="1" t="s">
        <v>306</v>
      </c>
      <c r="F329" s="1" t="s">
        <v>47</v>
      </c>
      <c r="G329" s="1">
        <f t="shared" si="25"/>
        <v>1</v>
      </c>
      <c r="H329" s="1" t="s">
        <v>148</v>
      </c>
      <c r="I329" s="1" t="s">
        <v>49</v>
      </c>
      <c r="J329" s="23" t="s">
        <v>50</v>
      </c>
      <c r="K329" s="2" t="s">
        <v>51</v>
      </c>
      <c r="L329" s="1">
        <v>790</v>
      </c>
      <c r="M329" s="1">
        <v>0</v>
      </c>
      <c r="N329" s="1" t="str">
        <f t="shared" si="28"/>
        <v>Published</v>
      </c>
      <c r="O329" s="1">
        <f t="shared" si="26"/>
        <v>0</v>
      </c>
      <c r="P329" s="1">
        <v>94</v>
      </c>
      <c r="Q329" s="1">
        <v>1147</v>
      </c>
      <c r="R329" s="1" t="str">
        <f t="shared" si="29"/>
        <v>4</v>
      </c>
      <c r="S329" s="1">
        <v>5</v>
      </c>
      <c r="T329" s="1" t="str">
        <f t="shared" si="27"/>
        <v>4</v>
      </c>
      <c r="U329" s="1">
        <v>-33.770727000000001</v>
      </c>
      <c r="V329" s="3">
        <v>151.08787799999999</v>
      </c>
    </row>
    <row r="330" spans="1:22" x14ac:dyDescent="0.35">
      <c r="A330" s="22" t="s">
        <v>1144</v>
      </c>
      <c r="B330" s="1" t="s">
        <v>1145</v>
      </c>
      <c r="C330" s="1" t="s">
        <v>1143</v>
      </c>
      <c r="D330" s="1" t="s">
        <v>642</v>
      </c>
      <c r="E330" s="1" t="s">
        <v>306</v>
      </c>
      <c r="F330" s="1" t="s">
        <v>47</v>
      </c>
      <c r="G330" s="1">
        <f t="shared" si="25"/>
        <v>1</v>
      </c>
      <c r="H330" s="1" t="s">
        <v>148</v>
      </c>
      <c r="I330" s="1" t="s">
        <v>49</v>
      </c>
      <c r="J330" s="23" t="s">
        <v>50</v>
      </c>
      <c r="K330" s="2" t="s">
        <v>51</v>
      </c>
      <c r="L330" s="1">
        <v>994</v>
      </c>
      <c r="M330" s="1"/>
      <c r="N330" s="1" t="str">
        <f t="shared" si="28"/>
        <v>Suppressed</v>
      </c>
      <c r="O330" s="1" t="str">
        <f t="shared" si="26"/>
        <v/>
      </c>
      <c r="P330" s="1">
        <v>94</v>
      </c>
      <c r="Q330" s="1">
        <v>1131</v>
      </c>
      <c r="R330" s="1" t="str">
        <f t="shared" si="29"/>
        <v>4</v>
      </c>
      <c r="S330" s="1">
        <v>11</v>
      </c>
      <c r="T330" s="1" t="str">
        <f t="shared" si="27"/>
        <v>4</v>
      </c>
      <c r="U330" s="1">
        <v>-33.772789000000003</v>
      </c>
      <c r="V330" s="3">
        <v>151.068048</v>
      </c>
    </row>
    <row r="331" spans="1:22" x14ac:dyDescent="0.35">
      <c r="A331" s="22" t="s">
        <v>1146</v>
      </c>
      <c r="B331" s="1" t="s">
        <v>1147</v>
      </c>
      <c r="C331" s="1" t="s">
        <v>1148</v>
      </c>
      <c r="D331" s="1" t="s">
        <v>186</v>
      </c>
      <c r="E331" s="1" t="s">
        <v>187</v>
      </c>
      <c r="F331" s="1" t="s">
        <v>47</v>
      </c>
      <c r="G331" s="1">
        <f t="shared" si="25"/>
        <v>1</v>
      </c>
      <c r="H331" s="1" t="s">
        <v>63</v>
      </c>
      <c r="I331" s="1" t="s">
        <v>49</v>
      </c>
      <c r="J331" s="23" t="s">
        <v>50</v>
      </c>
      <c r="K331" s="2" t="s">
        <v>51</v>
      </c>
      <c r="L331" s="1">
        <v>254</v>
      </c>
      <c r="M331" s="1">
        <v>4</v>
      </c>
      <c r="N331" s="1" t="str">
        <f t="shared" si="28"/>
        <v>Published</v>
      </c>
      <c r="O331" s="1">
        <f t="shared" si="26"/>
        <v>10.16</v>
      </c>
      <c r="P331" s="1">
        <v>8</v>
      </c>
      <c r="Q331" s="1">
        <v>1094</v>
      </c>
      <c r="R331" s="1" t="str">
        <f t="shared" si="29"/>
        <v>3</v>
      </c>
      <c r="S331" s="1">
        <v>39</v>
      </c>
      <c r="T331" s="1" t="str">
        <f t="shared" si="27"/>
        <v>2</v>
      </c>
      <c r="U331" s="1">
        <v>-33.428027999999998</v>
      </c>
      <c r="V331" s="3">
        <v>151.41358500000001</v>
      </c>
    </row>
    <row r="332" spans="1:22" x14ac:dyDescent="0.35">
      <c r="A332" s="22" t="s">
        <v>1149</v>
      </c>
      <c r="B332" s="1" t="s">
        <v>1150</v>
      </c>
      <c r="C332" s="1" t="s">
        <v>1151</v>
      </c>
      <c r="D332" s="1" t="s">
        <v>186</v>
      </c>
      <c r="E332" s="1" t="s">
        <v>187</v>
      </c>
      <c r="F332" s="1" t="s">
        <v>47</v>
      </c>
      <c r="G332" s="1">
        <f t="shared" si="25"/>
        <v>1</v>
      </c>
      <c r="H332" s="1" t="s">
        <v>63</v>
      </c>
      <c r="I332" s="1" t="s">
        <v>49</v>
      </c>
      <c r="J332" s="23" t="s">
        <v>50</v>
      </c>
      <c r="K332" s="2" t="s">
        <v>51</v>
      </c>
      <c r="L332" s="1">
        <v>429</v>
      </c>
      <c r="M332" s="1">
        <v>7</v>
      </c>
      <c r="N332" s="1" t="str">
        <f t="shared" si="28"/>
        <v>Published</v>
      </c>
      <c r="O332" s="1">
        <f t="shared" si="26"/>
        <v>30.03</v>
      </c>
      <c r="P332" s="1">
        <v>19</v>
      </c>
      <c r="Q332" s="1">
        <v>1041</v>
      </c>
      <c r="R332" s="1" t="str">
        <f t="shared" si="29"/>
        <v>3</v>
      </c>
      <c r="S332" s="1">
        <v>77</v>
      </c>
      <c r="T332" s="1" t="str">
        <f t="shared" si="27"/>
        <v>3</v>
      </c>
      <c r="U332" s="1">
        <v>-33.439346999999998</v>
      </c>
      <c r="V332" s="3">
        <v>151.37849</v>
      </c>
    </row>
    <row r="333" spans="1:22" x14ac:dyDescent="0.35">
      <c r="A333" s="22" t="s">
        <v>1152</v>
      </c>
      <c r="B333" s="1" t="s">
        <v>1153</v>
      </c>
      <c r="C333" s="1" t="s">
        <v>1154</v>
      </c>
      <c r="D333" s="1" t="s">
        <v>1155</v>
      </c>
      <c r="E333" s="1" t="s">
        <v>306</v>
      </c>
      <c r="F333" s="1" t="s">
        <v>47</v>
      </c>
      <c r="G333" s="1">
        <f t="shared" si="25"/>
        <v>1</v>
      </c>
      <c r="H333" s="1" t="s">
        <v>148</v>
      </c>
      <c r="I333" s="1" t="s">
        <v>49</v>
      </c>
      <c r="J333" s="23" t="s">
        <v>50</v>
      </c>
      <c r="K333" s="2" t="s">
        <v>51</v>
      </c>
      <c r="L333" s="1">
        <v>472</v>
      </c>
      <c r="M333" s="1">
        <v>2</v>
      </c>
      <c r="N333" s="1" t="str">
        <f t="shared" si="28"/>
        <v>Published</v>
      </c>
      <c r="O333" s="1">
        <f t="shared" si="26"/>
        <v>9.44</v>
      </c>
      <c r="P333" s="1">
        <v>76</v>
      </c>
      <c r="Q333" s="1">
        <v>1117</v>
      </c>
      <c r="R333" s="1" t="str">
        <f t="shared" si="29"/>
        <v>4</v>
      </c>
      <c r="S333" s="1">
        <v>26</v>
      </c>
      <c r="T333" s="1" t="str">
        <f t="shared" si="27"/>
        <v>3</v>
      </c>
      <c r="U333" s="1">
        <v>-33.804749000000001</v>
      </c>
      <c r="V333" s="3">
        <v>151.071574</v>
      </c>
    </row>
    <row r="334" spans="1:22" x14ac:dyDescent="0.35">
      <c r="A334" s="22" t="s">
        <v>1156</v>
      </c>
      <c r="B334" s="1" t="s">
        <v>1157</v>
      </c>
      <c r="C334" s="1" t="s">
        <v>1158</v>
      </c>
      <c r="D334" s="1" t="s">
        <v>186</v>
      </c>
      <c r="E334" s="1" t="s">
        <v>187</v>
      </c>
      <c r="F334" s="1" t="s">
        <v>47</v>
      </c>
      <c r="G334" s="1">
        <f t="shared" si="25"/>
        <v>1</v>
      </c>
      <c r="H334" s="1" t="s">
        <v>63</v>
      </c>
      <c r="I334" s="1" t="s">
        <v>49</v>
      </c>
      <c r="J334" s="23" t="s">
        <v>50</v>
      </c>
      <c r="K334" s="2" t="s">
        <v>51</v>
      </c>
      <c r="L334" s="1">
        <v>490</v>
      </c>
      <c r="M334" s="1">
        <v>13</v>
      </c>
      <c r="N334" s="1" t="str">
        <f t="shared" si="28"/>
        <v>Published</v>
      </c>
      <c r="O334" s="1">
        <f t="shared" si="26"/>
        <v>63.7</v>
      </c>
      <c r="P334" s="1">
        <v>13</v>
      </c>
      <c r="Q334" s="1">
        <v>975</v>
      </c>
      <c r="R334" s="1" t="str">
        <f t="shared" si="29"/>
        <v>2</v>
      </c>
      <c r="S334" s="1">
        <v>107</v>
      </c>
      <c r="T334" s="1" t="str">
        <f t="shared" si="27"/>
        <v>3</v>
      </c>
      <c r="U334" s="1">
        <v>-33.513539000000002</v>
      </c>
      <c r="V334" s="3">
        <v>151.33270200000001</v>
      </c>
    </row>
    <row r="335" spans="1:22" x14ac:dyDescent="0.35">
      <c r="A335" s="22" t="s">
        <v>1159</v>
      </c>
      <c r="B335" s="1" t="s">
        <v>1160</v>
      </c>
      <c r="C335" s="1" t="s">
        <v>1161</v>
      </c>
      <c r="D335" s="1" t="s">
        <v>809</v>
      </c>
      <c r="E335" s="1" t="s">
        <v>102</v>
      </c>
      <c r="F335" s="1" t="s">
        <v>241</v>
      </c>
      <c r="G335" s="1">
        <f t="shared" si="25"/>
        <v>4</v>
      </c>
      <c r="H335" s="1" t="s">
        <v>70</v>
      </c>
      <c r="I335" s="1" t="s">
        <v>49</v>
      </c>
      <c r="J335" s="23" t="s">
        <v>50</v>
      </c>
      <c r="K335" s="2" t="s">
        <v>51</v>
      </c>
      <c r="L335" s="1">
        <v>15</v>
      </c>
      <c r="M335" s="1">
        <v>73</v>
      </c>
      <c r="N335" s="1" t="str">
        <f t="shared" si="28"/>
        <v>Published</v>
      </c>
      <c r="O335" s="1">
        <f t="shared" si="26"/>
        <v>10.95</v>
      </c>
      <c r="P335" s="1">
        <v>0</v>
      </c>
      <c r="Q335" s="1">
        <v>759</v>
      </c>
      <c r="R335" s="1" t="str">
        <f t="shared" si="29"/>
        <v>1</v>
      </c>
      <c r="S335" s="1">
        <v>154</v>
      </c>
      <c r="T335" s="1" t="str">
        <f t="shared" si="27"/>
        <v>1</v>
      </c>
      <c r="U335" s="1">
        <v>-33.05583</v>
      </c>
      <c r="V335" s="3">
        <v>146.39712800000001</v>
      </c>
    </row>
    <row r="336" spans="1:22" x14ac:dyDescent="0.35">
      <c r="A336" s="22" t="s">
        <v>1162</v>
      </c>
      <c r="B336" s="1" t="s">
        <v>1163</v>
      </c>
      <c r="C336" s="1" t="s">
        <v>1164</v>
      </c>
      <c r="D336" s="1" t="s">
        <v>730</v>
      </c>
      <c r="E336" s="1" t="s">
        <v>261</v>
      </c>
      <c r="F336" s="1" t="s">
        <v>69</v>
      </c>
      <c r="G336" s="1">
        <f t="shared" si="25"/>
        <v>3</v>
      </c>
      <c r="H336" s="1" t="s">
        <v>70</v>
      </c>
      <c r="I336" s="1" t="s">
        <v>49</v>
      </c>
      <c r="J336" s="23" t="s">
        <v>50</v>
      </c>
      <c r="K336" s="2" t="s">
        <v>51</v>
      </c>
      <c r="L336" s="1">
        <v>32</v>
      </c>
      <c r="M336" s="1">
        <v>22</v>
      </c>
      <c r="N336" s="1" t="str">
        <f t="shared" si="28"/>
        <v>Published</v>
      </c>
      <c r="O336" s="1">
        <f t="shared" si="26"/>
        <v>7.04</v>
      </c>
      <c r="P336" s="1">
        <v>0</v>
      </c>
      <c r="Q336" s="1">
        <v>938</v>
      </c>
      <c r="R336" s="1" t="str">
        <f t="shared" si="29"/>
        <v>2</v>
      </c>
      <c r="S336" s="1">
        <v>114</v>
      </c>
      <c r="T336" s="1" t="str">
        <f t="shared" si="27"/>
        <v>1</v>
      </c>
      <c r="U336" s="1">
        <v>-33.423082000000001</v>
      </c>
      <c r="V336" s="3">
        <v>148.36928599999999</v>
      </c>
    </row>
    <row r="337" spans="1:22" x14ac:dyDescent="0.35">
      <c r="A337" s="22" t="s">
        <v>1165</v>
      </c>
      <c r="B337" s="1" t="s">
        <v>1166</v>
      </c>
      <c r="C337" s="1" t="s">
        <v>1167</v>
      </c>
      <c r="D337" s="1" t="s">
        <v>211</v>
      </c>
      <c r="E337" s="1" t="s">
        <v>102</v>
      </c>
      <c r="F337" s="1" t="s">
        <v>69</v>
      </c>
      <c r="G337" s="1">
        <f t="shared" si="25"/>
        <v>3</v>
      </c>
      <c r="H337" s="1" t="s">
        <v>58</v>
      </c>
      <c r="I337" s="1" t="s">
        <v>49</v>
      </c>
      <c r="J337" s="23" t="s">
        <v>50</v>
      </c>
      <c r="K337" s="2" t="s">
        <v>51</v>
      </c>
      <c r="L337" s="1">
        <v>11</v>
      </c>
      <c r="M337" s="1"/>
      <c r="N337" s="1" t="str">
        <f t="shared" si="28"/>
        <v>Suppressed</v>
      </c>
      <c r="O337" s="1" t="str">
        <f t="shared" si="26"/>
        <v/>
      </c>
      <c r="P337" s="1">
        <v>0</v>
      </c>
      <c r="Q337" s="1">
        <v>879</v>
      </c>
      <c r="R337" s="1" t="str">
        <f t="shared" si="29"/>
        <v>1</v>
      </c>
      <c r="S337" s="1">
        <v>126</v>
      </c>
      <c r="T337" s="1" t="str">
        <f t="shared" si="27"/>
        <v>1</v>
      </c>
      <c r="U337" s="1">
        <v>-31.951152</v>
      </c>
      <c r="V337" s="3">
        <v>148.62107499999999</v>
      </c>
    </row>
    <row r="338" spans="1:22" x14ac:dyDescent="0.35">
      <c r="A338" s="22" t="s">
        <v>1168</v>
      </c>
      <c r="B338" s="1" t="s">
        <v>1169</v>
      </c>
      <c r="C338" s="1" t="s">
        <v>1170</v>
      </c>
      <c r="D338" s="1" t="s">
        <v>554</v>
      </c>
      <c r="E338" s="1" t="s">
        <v>276</v>
      </c>
      <c r="F338" s="1" t="s">
        <v>57</v>
      </c>
      <c r="G338" s="1">
        <f t="shared" si="25"/>
        <v>2</v>
      </c>
      <c r="H338" s="1" t="s">
        <v>58</v>
      </c>
      <c r="I338" s="1" t="s">
        <v>49</v>
      </c>
      <c r="J338" s="23" t="s">
        <v>50</v>
      </c>
      <c r="K338" s="2" t="s">
        <v>51</v>
      </c>
      <c r="L338" s="1">
        <v>57</v>
      </c>
      <c r="M338" s="1">
        <v>21</v>
      </c>
      <c r="N338" s="1" t="str">
        <f t="shared" si="28"/>
        <v>Published</v>
      </c>
      <c r="O338" s="1">
        <f t="shared" si="26"/>
        <v>11.969999999999999</v>
      </c>
      <c r="P338" s="1"/>
      <c r="Q338" s="1">
        <v>926</v>
      </c>
      <c r="R338" s="1" t="str">
        <f t="shared" si="29"/>
        <v>2</v>
      </c>
      <c r="S338" s="1">
        <v>117</v>
      </c>
      <c r="T338" s="1" t="str">
        <f t="shared" si="27"/>
        <v>1</v>
      </c>
      <c r="U338" s="1">
        <v>-30.832070999999999</v>
      </c>
      <c r="V338" s="3">
        <v>152.87428399999999</v>
      </c>
    </row>
    <row r="339" spans="1:22" x14ac:dyDescent="0.35">
      <c r="A339" s="22" t="s">
        <v>1171</v>
      </c>
      <c r="B339" s="1" t="s">
        <v>1172</v>
      </c>
      <c r="C339" s="1" t="s">
        <v>1173</v>
      </c>
      <c r="D339" s="1" t="s">
        <v>220</v>
      </c>
      <c r="E339" s="1" t="s">
        <v>107</v>
      </c>
      <c r="F339" s="1" t="s">
        <v>57</v>
      </c>
      <c r="G339" s="1">
        <f t="shared" si="25"/>
        <v>2</v>
      </c>
      <c r="H339" s="1" t="s">
        <v>92</v>
      </c>
      <c r="I339" s="1" t="s">
        <v>49</v>
      </c>
      <c r="J339" s="23" t="s">
        <v>50</v>
      </c>
      <c r="K339" s="2" t="s">
        <v>51</v>
      </c>
      <c r="L339" s="1">
        <v>32</v>
      </c>
      <c r="M339" s="1">
        <v>0</v>
      </c>
      <c r="N339" s="1" t="str">
        <f t="shared" si="28"/>
        <v>Published</v>
      </c>
      <c r="O339" s="1">
        <f t="shared" si="26"/>
        <v>0</v>
      </c>
      <c r="P339" s="1"/>
      <c r="Q339" s="1">
        <v>1084</v>
      </c>
      <c r="R339" s="1" t="str">
        <f t="shared" si="29"/>
        <v>3</v>
      </c>
      <c r="S339" s="1">
        <v>26</v>
      </c>
      <c r="T339" s="1" t="str">
        <f t="shared" si="27"/>
        <v>1</v>
      </c>
      <c r="U339" s="1">
        <v>-28.687657000000002</v>
      </c>
      <c r="V339" s="3">
        <v>153.439223</v>
      </c>
    </row>
    <row r="340" spans="1:22" x14ac:dyDescent="0.35">
      <c r="A340" s="22" t="s">
        <v>1174</v>
      </c>
      <c r="B340" s="1" t="s">
        <v>1175</v>
      </c>
      <c r="C340" s="1" t="s">
        <v>1176</v>
      </c>
      <c r="D340" s="1" t="s">
        <v>1177</v>
      </c>
      <c r="E340" s="1" t="s">
        <v>80</v>
      </c>
      <c r="F340" s="1" t="s">
        <v>69</v>
      </c>
      <c r="G340" s="1">
        <f t="shared" si="25"/>
        <v>3</v>
      </c>
      <c r="H340" s="1" t="s">
        <v>70</v>
      </c>
      <c r="I340" s="1" t="s">
        <v>49</v>
      </c>
      <c r="J340" s="23" t="s">
        <v>50</v>
      </c>
      <c r="K340" s="2" t="s">
        <v>51</v>
      </c>
      <c r="L340" s="1">
        <v>17</v>
      </c>
      <c r="M340" s="1">
        <v>0</v>
      </c>
      <c r="N340" s="1" t="str">
        <f t="shared" si="28"/>
        <v>Published</v>
      </c>
      <c r="O340" s="1">
        <f t="shared" si="26"/>
        <v>0</v>
      </c>
      <c r="P340" s="1">
        <v>0</v>
      </c>
      <c r="Q340" s="1">
        <v>1017</v>
      </c>
      <c r="R340" s="1" t="str">
        <f t="shared" si="29"/>
        <v>3</v>
      </c>
      <c r="S340" s="1">
        <v>55</v>
      </c>
      <c r="T340" s="1" t="str">
        <f t="shared" si="27"/>
        <v>1</v>
      </c>
      <c r="U340" s="1">
        <v>-34.910170000000001</v>
      </c>
      <c r="V340" s="3">
        <v>147.780957</v>
      </c>
    </row>
    <row r="341" spans="1:22" x14ac:dyDescent="0.35">
      <c r="A341" s="22" t="s">
        <v>1178</v>
      </c>
      <c r="B341" s="1" t="s">
        <v>1179</v>
      </c>
      <c r="C341" s="1" t="s">
        <v>1180</v>
      </c>
      <c r="D341" s="1" t="s">
        <v>216</v>
      </c>
      <c r="E341" s="1" t="s">
        <v>96</v>
      </c>
      <c r="F341" s="1" t="s">
        <v>69</v>
      </c>
      <c r="G341" s="1">
        <f t="shared" si="25"/>
        <v>3</v>
      </c>
      <c r="H341" s="1" t="s">
        <v>70</v>
      </c>
      <c r="I341" s="1" t="s">
        <v>49</v>
      </c>
      <c r="J341" s="23" t="s">
        <v>50</v>
      </c>
      <c r="K341" s="2" t="s">
        <v>51</v>
      </c>
      <c r="L341" s="1">
        <v>105</v>
      </c>
      <c r="M341" s="1">
        <v>10</v>
      </c>
      <c r="N341" s="1" t="str">
        <f t="shared" si="28"/>
        <v>Published</v>
      </c>
      <c r="O341" s="1">
        <f t="shared" si="26"/>
        <v>10.5</v>
      </c>
      <c r="P341" s="1">
        <v>31</v>
      </c>
      <c r="Q341" s="1">
        <v>929</v>
      </c>
      <c r="R341" s="1" t="str">
        <f t="shared" si="29"/>
        <v>2</v>
      </c>
      <c r="S341" s="1">
        <v>147</v>
      </c>
      <c r="T341" s="1" t="str">
        <f t="shared" si="27"/>
        <v>2</v>
      </c>
      <c r="U341" s="1">
        <v>-34.575588000000003</v>
      </c>
      <c r="V341" s="3">
        <v>142.744248</v>
      </c>
    </row>
    <row r="342" spans="1:22" x14ac:dyDescent="0.35">
      <c r="A342" s="22" t="s">
        <v>1181</v>
      </c>
      <c r="B342" s="1" t="s">
        <v>1182</v>
      </c>
      <c r="C342" s="1" t="s">
        <v>1183</v>
      </c>
      <c r="D342" s="1" t="s">
        <v>587</v>
      </c>
      <c r="E342" s="1" t="s">
        <v>107</v>
      </c>
      <c r="F342" s="1" t="s">
        <v>57</v>
      </c>
      <c r="G342" s="1">
        <f t="shared" si="25"/>
        <v>2</v>
      </c>
      <c r="H342" s="1" t="s">
        <v>92</v>
      </c>
      <c r="I342" s="1" t="s">
        <v>132</v>
      </c>
      <c r="J342" s="23" t="s">
        <v>50</v>
      </c>
      <c r="K342" s="2" t="s">
        <v>51</v>
      </c>
      <c r="L342" s="1">
        <v>529.6</v>
      </c>
      <c r="M342" s="1">
        <v>18</v>
      </c>
      <c r="N342" s="1" t="str">
        <f t="shared" si="28"/>
        <v>Published</v>
      </c>
      <c r="O342" s="1">
        <f t="shared" si="26"/>
        <v>95.328000000000003</v>
      </c>
      <c r="P342" s="1">
        <v>7</v>
      </c>
      <c r="Q342" s="1">
        <v>955</v>
      </c>
      <c r="R342" s="1" t="str">
        <f t="shared" si="29"/>
        <v>2</v>
      </c>
      <c r="S342" s="1">
        <v>110</v>
      </c>
      <c r="T342" s="1" t="str">
        <f t="shared" si="27"/>
        <v>3</v>
      </c>
      <c r="U342" s="1">
        <v>-29.113492000000001</v>
      </c>
      <c r="V342" s="3">
        <v>153.42468299999999</v>
      </c>
    </row>
    <row r="343" spans="1:22" x14ac:dyDescent="0.35">
      <c r="A343" s="22" t="s">
        <v>1184</v>
      </c>
      <c r="B343" s="1" t="s">
        <v>1185</v>
      </c>
      <c r="C343" s="1" t="s">
        <v>760</v>
      </c>
      <c r="D343" s="1" t="s">
        <v>761</v>
      </c>
      <c r="E343" s="1" t="s">
        <v>127</v>
      </c>
      <c r="F343" s="1" t="s">
        <v>47</v>
      </c>
      <c r="G343" s="1">
        <f t="shared" si="25"/>
        <v>1</v>
      </c>
      <c r="H343" s="1" t="s">
        <v>148</v>
      </c>
      <c r="I343" s="1" t="s">
        <v>49</v>
      </c>
      <c r="J343" s="23" t="s">
        <v>50</v>
      </c>
      <c r="K343" s="2" t="s">
        <v>51</v>
      </c>
      <c r="L343" s="1">
        <v>561</v>
      </c>
      <c r="M343" s="1"/>
      <c r="N343" s="1" t="str">
        <f t="shared" si="28"/>
        <v>Suppressed</v>
      </c>
      <c r="O343" s="1" t="str">
        <f t="shared" si="26"/>
        <v/>
      </c>
      <c r="P343" s="1">
        <v>72</v>
      </c>
      <c r="Q343" s="1">
        <v>1150</v>
      </c>
      <c r="R343" s="1" t="str">
        <f t="shared" si="29"/>
        <v>4</v>
      </c>
      <c r="S343" s="1">
        <v>5</v>
      </c>
      <c r="T343" s="1" t="str">
        <f t="shared" si="27"/>
        <v>3</v>
      </c>
      <c r="U343" s="1">
        <v>-33.740443999999997</v>
      </c>
      <c r="V343" s="3">
        <v>150.990408</v>
      </c>
    </row>
    <row r="344" spans="1:22" x14ac:dyDescent="0.35">
      <c r="A344" s="22" t="s">
        <v>1186</v>
      </c>
      <c r="B344" s="1" t="s">
        <v>1187</v>
      </c>
      <c r="C344" s="1" t="s">
        <v>1188</v>
      </c>
      <c r="D344" s="1" t="s">
        <v>195</v>
      </c>
      <c r="E344" s="1" t="s">
        <v>196</v>
      </c>
      <c r="F344" s="1" t="s">
        <v>57</v>
      </c>
      <c r="G344" s="1">
        <f t="shared" si="25"/>
        <v>2</v>
      </c>
      <c r="H344" s="1" t="s">
        <v>86</v>
      </c>
      <c r="I344" s="1" t="s">
        <v>49</v>
      </c>
      <c r="J344" s="23" t="s">
        <v>50</v>
      </c>
      <c r="K344" s="2" t="s">
        <v>51</v>
      </c>
      <c r="L344" s="1">
        <v>123</v>
      </c>
      <c r="M344" s="1"/>
      <c r="N344" s="1" t="str">
        <f t="shared" si="28"/>
        <v>Suppressed</v>
      </c>
      <c r="O344" s="1" t="str">
        <f t="shared" si="26"/>
        <v/>
      </c>
      <c r="P344" s="1">
        <v>11</v>
      </c>
      <c r="Q344" s="1">
        <v>1030</v>
      </c>
      <c r="R344" s="1" t="str">
        <f t="shared" si="29"/>
        <v>3</v>
      </c>
      <c r="S344" s="1">
        <v>81</v>
      </c>
      <c r="T344" s="1" t="str">
        <f t="shared" si="27"/>
        <v>2</v>
      </c>
      <c r="U344" s="1">
        <v>-34.616120000000002</v>
      </c>
      <c r="V344" s="3">
        <v>150.32182800000001</v>
      </c>
    </row>
    <row r="345" spans="1:22" x14ac:dyDescent="0.35">
      <c r="A345" s="22" t="s">
        <v>1189</v>
      </c>
      <c r="B345" s="1" t="s">
        <v>1190</v>
      </c>
      <c r="C345" s="1" t="s">
        <v>1191</v>
      </c>
      <c r="D345" s="1" t="s">
        <v>318</v>
      </c>
      <c r="E345" s="1" t="s">
        <v>91</v>
      </c>
      <c r="F345" s="1" t="s">
        <v>69</v>
      </c>
      <c r="G345" s="1">
        <f t="shared" si="25"/>
        <v>3</v>
      </c>
      <c r="H345" s="1" t="s">
        <v>92</v>
      </c>
      <c r="I345" s="1" t="s">
        <v>49</v>
      </c>
      <c r="J345" s="23" t="s">
        <v>50</v>
      </c>
      <c r="K345" s="2" t="s">
        <v>51</v>
      </c>
      <c r="L345" s="1">
        <v>3</v>
      </c>
      <c r="M345" s="1">
        <v>0</v>
      </c>
      <c r="N345" s="1" t="str">
        <f t="shared" si="28"/>
        <v>Published</v>
      </c>
      <c r="O345" s="1">
        <f t="shared" si="26"/>
        <v>0</v>
      </c>
      <c r="P345" s="1">
        <v>0</v>
      </c>
      <c r="Q345" s="1"/>
      <c r="R345" s="1" t="str">
        <f t="shared" si="29"/>
        <v>No ICSEA</v>
      </c>
      <c r="S345" s="1">
        <v>6</v>
      </c>
      <c r="T345" s="1" t="str">
        <f t="shared" si="27"/>
        <v>1</v>
      </c>
      <c r="U345" s="1">
        <v>-30.493351000000001</v>
      </c>
      <c r="V345" s="3">
        <v>150.13126500000001</v>
      </c>
    </row>
    <row r="346" spans="1:22" x14ac:dyDescent="0.35">
      <c r="A346" s="22" t="s">
        <v>1192</v>
      </c>
      <c r="B346" s="1" t="s">
        <v>1193</v>
      </c>
      <c r="C346" s="1" t="s">
        <v>537</v>
      </c>
      <c r="D346" s="1" t="s">
        <v>537</v>
      </c>
      <c r="E346" s="1" t="s">
        <v>181</v>
      </c>
      <c r="F346" s="1" t="s">
        <v>47</v>
      </c>
      <c r="G346" s="1">
        <f t="shared" si="25"/>
        <v>1</v>
      </c>
      <c r="H346" s="1" t="s">
        <v>182</v>
      </c>
      <c r="I346" s="1" t="s">
        <v>49</v>
      </c>
      <c r="J346" s="23" t="s">
        <v>50</v>
      </c>
      <c r="K346" s="2" t="s">
        <v>51</v>
      </c>
      <c r="L346" s="1">
        <v>386</v>
      </c>
      <c r="M346" s="1"/>
      <c r="N346" s="1" t="str">
        <f t="shared" si="28"/>
        <v>Suppressed</v>
      </c>
      <c r="O346" s="1" t="str">
        <f t="shared" si="26"/>
        <v/>
      </c>
      <c r="P346" s="1">
        <v>94</v>
      </c>
      <c r="Q346" s="1">
        <v>901</v>
      </c>
      <c r="R346" s="1" t="str">
        <f t="shared" si="29"/>
        <v>2</v>
      </c>
      <c r="S346" s="1">
        <v>179</v>
      </c>
      <c r="T346" s="1" t="str">
        <f t="shared" si="27"/>
        <v>3</v>
      </c>
      <c r="U346" s="1">
        <v>-33.866847</v>
      </c>
      <c r="V346" s="3">
        <v>150.955409</v>
      </c>
    </row>
    <row r="347" spans="1:22" x14ac:dyDescent="0.35">
      <c r="A347" s="22" t="s">
        <v>1194</v>
      </c>
      <c r="B347" s="1" t="s">
        <v>1195</v>
      </c>
      <c r="C347" s="1" t="s">
        <v>1196</v>
      </c>
      <c r="D347" s="1" t="s">
        <v>537</v>
      </c>
      <c r="E347" s="1" t="s">
        <v>181</v>
      </c>
      <c r="F347" s="1" t="s">
        <v>47</v>
      </c>
      <c r="G347" s="1">
        <f t="shared" si="25"/>
        <v>1</v>
      </c>
      <c r="H347" s="1" t="s">
        <v>182</v>
      </c>
      <c r="I347" s="1" t="s">
        <v>49</v>
      </c>
      <c r="J347" s="23" t="s">
        <v>50</v>
      </c>
      <c r="K347" s="2" t="s">
        <v>51</v>
      </c>
      <c r="L347" s="1">
        <v>545</v>
      </c>
      <c r="M347" s="1">
        <v>2</v>
      </c>
      <c r="N347" s="1" t="str">
        <f t="shared" si="28"/>
        <v>Published</v>
      </c>
      <c r="O347" s="1">
        <f t="shared" si="26"/>
        <v>10.9</v>
      </c>
      <c r="P347" s="1">
        <v>93</v>
      </c>
      <c r="Q347" s="1">
        <v>914</v>
      </c>
      <c r="R347" s="1" t="str">
        <f t="shared" si="29"/>
        <v>2</v>
      </c>
      <c r="S347" s="1">
        <v>180</v>
      </c>
      <c r="T347" s="1" t="str">
        <f t="shared" si="27"/>
        <v>3</v>
      </c>
      <c r="U347" s="1">
        <v>-33.868037000000001</v>
      </c>
      <c r="V347" s="3">
        <v>150.92476199999999</v>
      </c>
    </row>
    <row r="348" spans="1:22" x14ac:dyDescent="0.35">
      <c r="A348" s="22" t="s">
        <v>1197</v>
      </c>
      <c r="B348" s="1" t="s">
        <v>1198</v>
      </c>
      <c r="C348" s="1" t="s">
        <v>1199</v>
      </c>
      <c r="D348" s="1" t="s">
        <v>176</v>
      </c>
      <c r="E348" s="1" t="s">
        <v>85</v>
      </c>
      <c r="F348" s="1" t="s">
        <v>47</v>
      </c>
      <c r="G348" s="1">
        <f t="shared" si="25"/>
        <v>1</v>
      </c>
      <c r="H348" s="1" t="s">
        <v>86</v>
      </c>
      <c r="I348" s="1" t="s">
        <v>49</v>
      </c>
      <c r="J348" s="23" t="s">
        <v>50</v>
      </c>
      <c r="K348" s="2" t="s">
        <v>51</v>
      </c>
      <c r="L348" s="1">
        <v>342</v>
      </c>
      <c r="M348" s="1">
        <v>10</v>
      </c>
      <c r="N348" s="1" t="str">
        <f t="shared" si="28"/>
        <v>Published</v>
      </c>
      <c r="O348" s="1">
        <f t="shared" si="26"/>
        <v>34.200000000000003</v>
      </c>
      <c r="P348" s="1">
        <v>26</v>
      </c>
      <c r="Q348" s="1">
        <v>1002</v>
      </c>
      <c r="R348" s="1" t="str">
        <f t="shared" si="29"/>
        <v>3</v>
      </c>
      <c r="S348" s="1">
        <v>87</v>
      </c>
      <c r="T348" s="1" t="str">
        <f t="shared" si="27"/>
        <v>3</v>
      </c>
      <c r="U348" s="1">
        <v>-34.390469000000003</v>
      </c>
      <c r="V348" s="3">
        <v>150.892302</v>
      </c>
    </row>
    <row r="349" spans="1:22" x14ac:dyDescent="0.35">
      <c r="A349" s="22" t="s">
        <v>1200</v>
      </c>
      <c r="B349" s="1" t="s">
        <v>1201</v>
      </c>
      <c r="C349" s="1" t="s">
        <v>1202</v>
      </c>
      <c r="D349" s="1" t="s">
        <v>382</v>
      </c>
      <c r="E349" s="1" t="s">
        <v>196</v>
      </c>
      <c r="F349" s="1" t="s">
        <v>57</v>
      </c>
      <c r="G349" s="1">
        <f t="shared" si="25"/>
        <v>2</v>
      </c>
      <c r="H349" s="1" t="s">
        <v>86</v>
      </c>
      <c r="I349" s="1" t="s">
        <v>49</v>
      </c>
      <c r="J349" s="23" t="s">
        <v>50</v>
      </c>
      <c r="K349" s="2" t="s">
        <v>51</v>
      </c>
      <c r="L349" s="1">
        <v>59</v>
      </c>
      <c r="M349" s="1">
        <v>20</v>
      </c>
      <c r="N349" s="1" t="str">
        <f t="shared" si="28"/>
        <v>Published</v>
      </c>
      <c r="O349" s="1">
        <f t="shared" si="26"/>
        <v>11.8</v>
      </c>
      <c r="P349" s="1">
        <v>12</v>
      </c>
      <c r="Q349" s="1">
        <v>921</v>
      </c>
      <c r="R349" s="1" t="str">
        <f t="shared" si="29"/>
        <v>2</v>
      </c>
      <c r="S349" s="1">
        <v>118</v>
      </c>
      <c r="T349" s="1" t="str">
        <f t="shared" si="27"/>
        <v>1</v>
      </c>
      <c r="U349" s="1">
        <v>-34.965439000000003</v>
      </c>
      <c r="V349" s="3">
        <v>150.593403</v>
      </c>
    </row>
    <row r="350" spans="1:22" x14ac:dyDescent="0.35">
      <c r="A350" s="22" t="s">
        <v>1203</v>
      </c>
      <c r="B350" s="1" t="s">
        <v>1204</v>
      </c>
      <c r="C350" s="1" t="s">
        <v>1205</v>
      </c>
      <c r="D350" s="1" t="s">
        <v>191</v>
      </c>
      <c r="E350" s="1" t="s">
        <v>75</v>
      </c>
      <c r="F350" s="1" t="s">
        <v>47</v>
      </c>
      <c r="G350" s="1">
        <f t="shared" si="25"/>
        <v>1</v>
      </c>
      <c r="H350" s="1" t="s">
        <v>63</v>
      </c>
      <c r="I350" s="1" t="s">
        <v>49</v>
      </c>
      <c r="J350" s="23" t="s">
        <v>50</v>
      </c>
      <c r="K350" s="2" t="s">
        <v>51</v>
      </c>
      <c r="L350" s="1">
        <v>59</v>
      </c>
      <c r="M350" s="1">
        <v>27</v>
      </c>
      <c r="N350" s="1" t="str">
        <f t="shared" si="28"/>
        <v>Published</v>
      </c>
      <c r="O350" s="1">
        <f t="shared" si="26"/>
        <v>15.930000000000001</v>
      </c>
      <c r="P350" s="1">
        <v>13</v>
      </c>
      <c r="Q350" s="1">
        <v>947</v>
      </c>
      <c r="R350" s="1" t="str">
        <f t="shared" si="29"/>
        <v>2</v>
      </c>
      <c r="S350" s="1">
        <v>119</v>
      </c>
      <c r="T350" s="1" t="str">
        <f t="shared" si="27"/>
        <v>1</v>
      </c>
      <c r="U350" s="1">
        <v>-32.983398000000001</v>
      </c>
      <c r="V350" s="3">
        <v>151.58276900000001</v>
      </c>
    </row>
    <row r="351" spans="1:22" x14ac:dyDescent="0.35">
      <c r="A351" s="22" t="s">
        <v>1206</v>
      </c>
      <c r="B351" s="1" t="s">
        <v>1207</v>
      </c>
      <c r="C351" s="1" t="s">
        <v>1208</v>
      </c>
      <c r="D351" s="1" t="s">
        <v>236</v>
      </c>
      <c r="E351" s="1" t="s">
        <v>107</v>
      </c>
      <c r="F351" s="1" t="s">
        <v>47</v>
      </c>
      <c r="G351" s="1">
        <f t="shared" si="25"/>
        <v>1</v>
      </c>
      <c r="H351" s="1" t="s">
        <v>92</v>
      </c>
      <c r="I351" s="1" t="s">
        <v>49</v>
      </c>
      <c r="J351" s="23" t="s">
        <v>50</v>
      </c>
      <c r="K351" s="2" t="s">
        <v>51</v>
      </c>
      <c r="L351" s="1">
        <v>33</v>
      </c>
      <c r="M351" s="1">
        <v>33</v>
      </c>
      <c r="N351" s="1" t="str">
        <f t="shared" si="28"/>
        <v>Published</v>
      </c>
      <c r="O351" s="1">
        <f t="shared" si="26"/>
        <v>10.89</v>
      </c>
      <c r="P351" s="1"/>
      <c r="Q351" s="1">
        <v>934</v>
      </c>
      <c r="R351" s="1" t="str">
        <f t="shared" si="29"/>
        <v>2</v>
      </c>
      <c r="S351" s="1">
        <v>118</v>
      </c>
      <c r="T351" s="1" t="str">
        <f t="shared" si="27"/>
        <v>1</v>
      </c>
      <c r="U351" s="1">
        <v>-28.196814</v>
      </c>
      <c r="V351" s="3">
        <v>153.565122</v>
      </c>
    </row>
    <row r="352" spans="1:22" x14ac:dyDescent="0.35">
      <c r="A352" s="22" t="s">
        <v>1209</v>
      </c>
      <c r="B352" s="1" t="s">
        <v>1210</v>
      </c>
      <c r="C352" s="1" t="s">
        <v>1211</v>
      </c>
      <c r="D352" s="1" t="s">
        <v>45</v>
      </c>
      <c r="E352" s="1" t="s">
        <v>46</v>
      </c>
      <c r="F352" s="1" t="s">
        <v>47</v>
      </c>
      <c r="G352" s="1">
        <f t="shared" si="25"/>
        <v>1</v>
      </c>
      <c r="H352" s="1" t="s">
        <v>48</v>
      </c>
      <c r="I352" s="1" t="s">
        <v>49</v>
      </c>
      <c r="J352" s="23" t="s">
        <v>50</v>
      </c>
      <c r="K352" s="2" t="s">
        <v>51</v>
      </c>
      <c r="L352" s="1">
        <v>314</v>
      </c>
      <c r="M352" s="1">
        <v>4</v>
      </c>
      <c r="N352" s="1" t="str">
        <f t="shared" si="28"/>
        <v>Published</v>
      </c>
      <c r="O352" s="1">
        <f t="shared" si="26"/>
        <v>12.56</v>
      </c>
      <c r="P352" s="1">
        <v>43</v>
      </c>
      <c r="Q352" s="1">
        <v>1082</v>
      </c>
      <c r="R352" s="1" t="str">
        <f t="shared" si="29"/>
        <v>3</v>
      </c>
      <c r="S352" s="1">
        <v>45</v>
      </c>
      <c r="T352" s="1" t="str">
        <f t="shared" si="27"/>
        <v>3</v>
      </c>
      <c r="U352" s="1">
        <v>-33.866858999999998</v>
      </c>
      <c r="V352" s="3">
        <v>151.127318</v>
      </c>
    </row>
    <row r="353" spans="1:22" x14ac:dyDescent="0.35">
      <c r="A353" s="22" t="s">
        <v>1212</v>
      </c>
      <c r="B353" s="1" t="s">
        <v>1213</v>
      </c>
      <c r="C353" s="1" t="s">
        <v>1214</v>
      </c>
      <c r="D353" s="1" t="s">
        <v>1215</v>
      </c>
      <c r="E353" s="1" t="s">
        <v>276</v>
      </c>
      <c r="F353" s="1" t="s">
        <v>544</v>
      </c>
      <c r="G353" s="1">
        <f t="shared" si="25"/>
        <v>5</v>
      </c>
      <c r="H353" s="1" t="s">
        <v>58</v>
      </c>
      <c r="I353" s="1" t="s">
        <v>132</v>
      </c>
      <c r="J353" s="23" t="s">
        <v>50</v>
      </c>
      <c r="K353" s="2" t="s">
        <v>51</v>
      </c>
      <c r="L353" s="1">
        <v>35</v>
      </c>
      <c r="M353" s="1">
        <v>0</v>
      </c>
      <c r="N353" s="1" t="str">
        <f t="shared" si="28"/>
        <v>Published</v>
      </c>
      <c r="O353" s="1">
        <f t="shared" si="26"/>
        <v>0</v>
      </c>
      <c r="P353" s="1">
        <v>29</v>
      </c>
      <c r="Q353" s="1">
        <v>1009</v>
      </c>
      <c r="R353" s="1" t="str">
        <f t="shared" si="29"/>
        <v>3</v>
      </c>
      <c r="S353" s="1">
        <v>55</v>
      </c>
      <c r="T353" s="1" t="str">
        <f t="shared" si="27"/>
        <v>1</v>
      </c>
      <c r="U353" s="1">
        <v>-31.530072000000001</v>
      </c>
      <c r="V353" s="3">
        <v>159.06903199999999</v>
      </c>
    </row>
    <row r="354" spans="1:22" x14ac:dyDescent="0.35">
      <c r="A354" s="22" t="s">
        <v>1216</v>
      </c>
      <c r="B354" s="1" t="s">
        <v>1217</v>
      </c>
      <c r="C354" s="1" t="s">
        <v>1218</v>
      </c>
      <c r="D354" s="1" t="s">
        <v>298</v>
      </c>
      <c r="E354" s="1" t="s">
        <v>261</v>
      </c>
      <c r="F354" s="1" t="s">
        <v>69</v>
      </c>
      <c r="G354" s="1">
        <f t="shared" si="25"/>
        <v>3</v>
      </c>
      <c r="H354" s="1" t="s">
        <v>70</v>
      </c>
      <c r="I354" s="1" t="s">
        <v>49</v>
      </c>
      <c r="J354" s="23" t="s">
        <v>50</v>
      </c>
      <c r="K354" s="2" t="s">
        <v>51</v>
      </c>
      <c r="L354" s="1">
        <v>356</v>
      </c>
      <c r="M354" s="1">
        <v>29</v>
      </c>
      <c r="N354" s="1" t="str">
        <f t="shared" si="28"/>
        <v>Published</v>
      </c>
      <c r="O354" s="1">
        <f t="shared" si="26"/>
        <v>103.24</v>
      </c>
      <c r="P354" s="1">
        <v>4</v>
      </c>
      <c r="Q354" s="1">
        <v>940</v>
      </c>
      <c r="R354" s="1" t="str">
        <f t="shared" si="29"/>
        <v>2</v>
      </c>
      <c r="S354" s="1">
        <v>104</v>
      </c>
      <c r="T354" s="1" t="str">
        <f t="shared" si="27"/>
        <v>3</v>
      </c>
      <c r="U354" s="1">
        <v>-33.387948000000002</v>
      </c>
      <c r="V354" s="3">
        <v>148.00638499999999</v>
      </c>
    </row>
    <row r="355" spans="1:22" x14ac:dyDescent="0.35">
      <c r="A355" s="22" t="s">
        <v>1219</v>
      </c>
      <c r="B355" s="1" t="s">
        <v>1220</v>
      </c>
      <c r="C355" s="1" t="s">
        <v>1221</v>
      </c>
      <c r="D355" s="1" t="s">
        <v>713</v>
      </c>
      <c r="E355" s="1" t="s">
        <v>80</v>
      </c>
      <c r="F355" s="1" t="s">
        <v>57</v>
      </c>
      <c r="G355" s="1">
        <f t="shared" si="25"/>
        <v>2</v>
      </c>
      <c r="H355" s="1" t="s">
        <v>70</v>
      </c>
      <c r="I355" s="1" t="s">
        <v>49</v>
      </c>
      <c r="J355" s="23" t="s">
        <v>50</v>
      </c>
      <c r="K355" s="2" t="s">
        <v>51</v>
      </c>
      <c r="L355" s="1">
        <v>159</v>
      </c>
      <c r="M355" s="1">
        <v>21</v>
      </c>
      <c r="N355" s="1" t="str">
        <f t="shared" si="28"/>
        <v>Published</v>
      </c>
      <c r="O355" s="1">
        <f t="shared" si="26"/>
        <v>33.39</v>
      </c>
      <c r="P355" s="1">
        <v>11</v>
      </c>
      <c r="Q355" s="1">
        <v>941</v>
      </c>
      <c r="R355" s="1" t="str">
        <f t="shared" si="29"/>
        <v>2</v>
      </c>
      <c r="S355" s="1">
        <v>113</v>
      </c>
      <c r="T355" s="1" t="str">
        <f t="shared" si="27"/>
        <v>2</v>
      </c>
      <c r="U355" s="1">
        <v>-35.147874999999999</v>
      </c>
      <c r="V355" s="3">
        <v>147.46700000000001</v>
      </c>
    </row>
    <row r="356" spans="1:22" x14ac:dyDescent="0.35">
      <c r="A356" s="22" t="s">
        <v>1222</v>
      </c>
      <c r="B356" s="1" t="s">
        <v>1223</v>
      </c>
      <c r="C356" s="1" t="s">
        <v>1224</v>
      </c>
      <c r="D356" s="1" t="s">
        <v>1003</v>
      </c>
      <c r="E356" s="1" t="s">
        <v>225</v>
      </c>
      <c r="F356" s="1" t="s">
        <v>47</v>
      </c>
      <c r="G356" s="1">
        <f t="shared" si="25"/>
        <v>1</v>
      </c>
      <c r="H356" s="1" t="s">
        <v>48</v>
      </c>
      <c r="I356" s="1" t="s">
        <v>49</v>
      </c>
      <c r="J356" s="23" t="s">
        <v>50</v>
      </c>
      <c r="K356" s="2" t="s">
        <v>51</v>
      </c>
      <c r="L356" s="1">
        <v>307</v>
      </c>
      <c r="M356" s="1">
        <v>2</v>
      </c>
      <c r="N356" s="1" t="str">
        <f t="shared" si="28"/>
        <v>Published</v>
      </c>
      <c r="O356" s="1">
        <f t="shared" si="26"/>
        <v>6.1400000000000006</v>
      </c>
      <c r="P356" s="1">
        <v>44</v>
      </c>
      <c r="Q356" s="1">
        <v>1161</v>
      </c>
      <c r="R356" s="1" t="str">
        <f t="shared" si="29"/>
        <v>4</v>
      </c>
      <c r="S356" s="1">
        <v>5</v>
      </c>
      <c r="T356" s="1" t="str">
        <f t="shared" si="27"/>
        <v>3</v>
      </c>
      <c r="U356" s="1">
        <v>-33.882168999999998</v>
      </c>
      <c r="V356" s="3">
        <v>151.18159700000001</v>
      </c>
    </row>
    <row r="357" spans="1:22" x14ac:dyDescent="0.35">
      <c r="A357" s="22" t="s">
        <v>1225</v>
      </c>
      <c r="B357" s="1" t="s">
        <v>1226</v>
      </c>
      <c r="C357" s="1" t="s">
        <v>1227</v>
      </c>
      <c r="D357" s="1" t="s">
        <v>275</v>
      </c>
      <c r="E357" s="1" t="s">
        <v>276</v>
      </c>
      <c r="F357" s="1" t="s">
        <v>57</v>
      </c>
      <c r="G357" s="1">
        <f t="shared" si="25"/>
        <v>2</v>
      </c>
      <c r="H357" s="1" t="s">
        <v>58</v>
      </c>
      <c r="I357" s="1" t="s">
        <v>49</v>
      </c>
      <c r="J357" s="23" t="s">
        <v>50</v>
      </c>
      <c r="K357" s="2" t="s">
        <v>51</v>
      </c>
      <c r="L357" s="1">
        <v>573</v>
      </c>
      <c r="M357" s="1">
        <v>26</v>
      </c>
      <c r="N357" s="1" t="str">
        <f t="shared" si="28"/>
        <v>Published</v>
      </c>
      <c r="O357" s="1">
        <f t="shared" si="26"/>
        <v>148.98000000000002</v>
      </c>
      <c r="P357" s="1">
        <v>8</v>
      </c>
      <c r="Q357" s="1">
        <v>934</v>
      </c>
      <c r="R357" s="1" t="str">
        <f t="shared" si="29"/>
        <v>2</v>
      </c>
      <c r="S357" s="1">
        <v>111</v>
      </c>
      <c r="T357" s="1" t="str">
        <f t="shared" si="27"/>
        <v>3</v>
      </c>
      <c r="U357" s="1">
        <v>-32.182470000000002</v>
      </c>
      <c r="V357" s="3">
        <v>152.52424600000001</v>
      </c>
    </row>
    <row r="358" spans="1:22" x14ac:dyDescent="0.35">
      <c r="A358" s="22" t="s">
        <v>1228</v>
      </c>
      <c r="B358" s="1" t="s">
        <v>1229</v>
      </c>
      <c r="C358" s="1" t="s">
        <v>1230</v>
      </c>
      <c r="D358" s="1" t="s">
        <v>1003</v>
      </c>
      <c r="E358" s="1" t="s">
        <v>225</v>
      </c>
      <c r="F358" s="1" t="s">
        <v>47</v>
      </c>
      <c r="G358" s="1">
        <f t="shared" si="25"/>
        <v>1</v>
      </c>
      <c r="H358" s="1" t="s">
        <v>48</v>
      </c>
      <c r="I358" s="1" t="s">
        <v>49</v>
      </c>
      <c r="J358" s="23" t="s">
        <v>50</v>
      </c>
      <c r="K358" s="2" t="s">
        <v>51</v>
      </c>
      <c r="L358" s="1">
        <v>284</v>
      </c>
      <c r="M358" s="1"/>
      <c r="N358" s="1" t="str">
        <f t="shared" si="28"/>
        <v>Suppressed</v>
      </c>
      <c r="O358" s="1" t="str">
        <f t="shared" si="26"/>
        <v/>
      </c>
      <c r="P358" s="1">
        <v>84</v>
      </c>
      <c r="Q358" s="1">
        <v>1094</v>
      </c>
      <c r="R358" s="1" t="str">
        <f t="shared" si="29"/>
        <v>3</v>
      </c>
      <c r="S358" s="1">
        <v>26</v>
      </c>
      <c r="T358" s="1" t="str">
        <f t="shared" si="27"/>
        <v>2</v>
      </c>
      <c r="U358" s="1">
        <v>-33.860427000000001</v>
      </c>
      <c r="V358" s="3">
        <v>151.204871</v>
      </c>
    </row>
    <row r="359" spans="1:22" x14ac:dyDescent="0.35">
      <c r="A359" s="22" t="s">
        <v>1231</v>
      </c>
      <c r="B359" s="1" t="s">
        <v>1232</v>
      </c>
      <c r="C359" s="1" t="s">
        <v>1233</v>
      </c>
      <c r="D359" s="1" t="s">
        <v>325</v>
      </c>
      <c r="E359" s="1" t="s">
        <v>276</v>
      </c>
      <c r="F359" s="1" t="s">
        <v>57</v>
      </c>
      <c r="G359" s="1">
        <f t="shared" si="25"/>
        <v>2</v>
      </c>
      <c r="H359" s="1" t="s">
        <v>58</v>
      </c>
      <c r="I359" s="1" t="s">
        <v>49</v>
      </c>
      <c r="J359" s="23" t="s">
        <v>50</v>
      </c>
      <c r="K359" s="2" t="s">
        <v>51</v>
      </c>
      <c r="L359" s="1">
        <v>130</v>
      </c>
      <c r="M359" s="1">
        <v>35</v>
      </c>
      <c r="N359" s="1" t="str">
        <f t="shared" si="28"/>
        <v>Published</v>
      </c>
      <c r="O359" s="1">
        <f t="shared" si="26"/>
        <v>45.5</v>
      </c>
      <c r="P359" s="1"/>
      <c r="Q359" s="1">
        <v>890</v>
      </c>
      <c r="R359" s="1" t="str">
        <f t="shared" si="29"/>
        <v>1</v>
      </c>
      <c r="S359" s="1">
        <v>138</v>
      </c>
      <c r="T359" s="1" t="str">
        <f t="shared" si="27"/>
        <v>2</v>
      </c>
      <c r="U359" s="1">
        <v>-31.033583</v>
      </c>
      <c r="V359" s="3">
        <v>152.87935300000001</v>
      </c>
    </row>
    <row r="360" spans="1:22" x14ac:dyDescent="0.35">
      <c r="A360" s="22" t="s">
        <v>1234</v>
      </c>
      <c r="B360" s="1" t="s">
        <v>1235</v>
      </c>
      <c r="C360" s="1" t="s">
        <v>1236</v>
      </c>
      <c r="D360" s="1" t="s">
        <v>404</v>
      </c>
      <c r="E360" s="1" t="s">
        <v>127</v>
      </c>
      <c r="F360" s="1" t="s">
        <v>47</v>
      </c>
      <c r="G360" s="1">
        <f t="shared" si="25"/>
        <v>1</v>
      </c>
      <c r="H360" s="1" t="s">
        <v>63</v>
      </c>
      <c r="I360" s="1" t="s">
        <v>49</v>
      </c>
      <c r="J360" s="23" t="s">
        <v>50</v>
      </c>
      <c r="K360" s="2" t="s">
        <v>51</v>
      </c>
      <c r="L360" s="1">
        <v>194</v>
      </c>
      <c r="M360" s="1">
        <v>12</v>
      </c>
      <c r="N360" s="1" t="str">
        <f t="shared" si="28"/>
        <v>Published</v>
      </c>
      <c r="O360" s="1">
        <f t="shared" si="26"/>
        <v>23.279999999999998</v>
      </c>
      <c r="P360" s="1">
        <v>8</v>
      </c>
      <c r="Q360" s="1">
        <v>957</v>
      </c>
      <c r="R360" s="1" t="str">
        <f t="shared" si="29"/>
        <v>2</v>
      </c>
      <c r="S360" s="1">
        <v>113</v>
      </c>
      <c r="T360" s="1" t="str">
        <f t="shared" si="27"/>
        <v>2</v>
      </c>
      <c r="U360" s="1">
        <v>-33.558697000000002</v>
      </c>
      <c r="V360" s="3">
        <v>150.79930899999999</v>
      </c>
    </row>
    <row r="361" spans="1:22" x14ac:dyDescent="0.35">
      <c r="A361" s="22" t="s">
        <v>1237</v>
      </c>
      <c r="B361" s="1" t="s">
        <v>1238</v>
      </c>
      <c r="C361" s="1" t="s">
        <v>1239</v>
      </c>
      <c r="D361" s="1" t="s">
        <v>203</v>
      </c>
      <c r="E361" s="1" t="s">
        <v>204</v>
      </c>
      <c r="F361" s="1" t="s">
        <v>47</v>
      </c>
      <c r="G361" s="1">
        <f t="shared" si="25"/>
        <v>1</v>
      </c>
      <c r="H361" s="1" t="s">
        <v>148</v>
      </c>
      <c r="I361" s="1" t="s">
        <v>49</v>
      </c>
      <c r="J361" s="23" t="s">
        <v>50</v>
      </c>
      <c r="K361" s="2" t="s">
        <v>51</v>
      </c>
      <c r="L361" s="1">
        <v>218</v>
      </c>
      <c r="M361" s="1">
        <v>0</v>
      </c>
      <c r="N361" s="1" t="str">
        <f t="shared" si="28"/>
        <v>Published</v>
      </c>
      <c r="O361" s="1">
        <f t="shared" si="26"/>
        <v>0</v>
      </c>
      <c r="P361" s="1">
        <v>27</v>
      </c>
      <c r="Q361" s="1">
        <v>1123</v>
      </c>
      <c r="R361" s="1" t="str">
        <f t="shared" si="29"/>
        <v>4</v>
      </c>
      <c r="S361" s="1">
        <v>22</v>
      </c>
      <c r="T361" s="1" t="str">
        <f t="shared" si="27"/>
        <v>2</v>
      </c>
      <c r="U361" s="1">
        <v>-33.751516000000002</v>
      </c>
      <c r="V361" s="3">
        <v>151.224695</v>
      </c>
    </row>
    <row r="362" spans="1:22" x14ac:dyDescent="0.35">
      <c r="A362" s="22" t="s">
        <v>1240</v>
      </c>
      <c r="B362" s="1" t="s">
        <v>1241</v>
      </c>
      <c r="C362" s="1" t="s">
        <v>1242</v>
      </c>
      <c r="D362" s="1" t="s">
        <v>126</v>
      </c>
      <c r="E362" s="1" t="s">
        <v>127</v>
      </c>
      <c r="F362" s="1" t="s">
        <v>47</v>
      </c>
      <c r="G362" s="1">
        <f t="shared" si="25"/>
        <v>1</v>
      </c>
      <c r="H362" s="1" t="s">
        <v>63</v>
      </c>
      <c r="I362" s="1" t="s">
        <v>49</v>
      </c>
      <c r="J362" s="23" t="s">
        <v>50</v>
      </c>
      <c r="K362" s="2" t="s">
        <v>51</v>
      </c>
      <c r="L362" s="1">
        <v>147</v>
      </c>
      <c r="M362" s="1"/>
      <c r="N362" s="1" t="str">
        <f t="shared" si="28"/>
        <v>Suppressed</v>
      </c>
      <c r="O362" s="1" t="str">
        <f t="shared" si="26"/>
        <v/>
      </c>
      <c r="P362" s="1">
        <v>11</v>
      </c>
      <c r="Q362" s="1">
        <v>1042</v>
      </c>
      <c r="R362" s="1" t="str">
        <f t="shared" si="29"/>
        <v>3</v>
      </c>
      <c r="S362" s="1">
        <v>78</v>
      </c>
      <c r="T362" s="1" t="str">
        <f t="shared" si="27"/>
        <v>2</v>
      </c>
      <c r="U362" s="1">
        <v>-33.648197000000003</v>
      </c>
      <c r="V362" s="3">
        <v>151.04517000000001</v>
      </c>
    </row>
    <row r="363" spans="1:22" x14ac:dyDescent="0.35">
      <c r="A363" s="22" t="s">
        <v>1243</v>
      </c>
      <c r="B363" s="1" t="s">
        <v>1244</v>
      </c>
      <c r="C363" s="1" t="s">
        <v>1245</v>
      </c>
      <c r="D363" s="1" t="s">
        <v>131</v>
      </c>
      <c r="E363" s="1" t="s">
        <v>80</v>
      </c>
      <c r="F363" s="1" t="s">
        <v>69</v>
      </c>
      <c r="G363" s="1">
        <f t="shared" si="25"/>
        <v>3</v>
      </c>
      <c r="H363" s="1" t="s">
        <v>70</v>
      </c>
      <c r="I363" s="1" t="s">
        <v>49</v>
      </c>
      <c r="J363" s="23" t="s">
        <v>50</v>
      </c>
      <c r="K363" s="2" t="s">
        <v>51</v>
      </c>
      <c r="L363" s="1">
        <v>25</v>
      </c>
      <c r="M363" s="1"/>
      <c r="N363" s="1" t="str">
        <f t="shared" si="28"/>
        <v>Suppressed</v>
      </c>
      <c r="O363" s="1" t="str">
        <f t="shared" si="26"/>
        <v/>
      </c>
      <c r="P363" s="1"/>
      <c r="Q363" s="1">
        <v>917</v>
      </c>
      <c r="R363" s="1" t="str">
        <f t="shared" si="29"/>
        <v>2</v>
      </c>
      <c r="S363" s="1">
        <v>127</v>
      </c>
      <c r="T363" s="1" t="str">
        <f t="shared" si="27"/>
        <v>1</v>
      </c>
      <c r="U363" s="1">
        <v>-34.796923</v>
      </c>
      <c r="V363" s="3">
        <v>147.04003399999999</v>
      </c>
    </row>
    <row r="364" spans="1:22" x14ac:dyDescent="0.35">
      <c r="A364" s="22" t="s">
        <v>1246</v>
      </c>
      <c r="B364" s="1" t="s">
        <v>1247</v>
      </c>
      <c r="C364" s="1" t="s">
        <v>1248</v>
      </c>
      <c r="D364" s="1" t="s">
        <v>482</v>
      </c>
      <c r="E364" s="1" t="s">
        <v>91</v>
      </c>
      <c r="F364" s="1" t="s">
        <v>241</v>
      </c>
      <c r="G364" s="1">
        <f t="shared" si="25"/>
        <v>4</v>
      </c>
      <c r="H364" s="1" t="s">
        <v>92</v>
      </c>
      <c r="I364" s="1" t="s">
        <v>49</v>
      </c>
      <c r="J364" s="23" t="s">
        <v>50</v>
      </c>
      <c r="K364" s="2" t="s">
        <v>51</v>
      </c>
      <c r="L364" s="1">
        <v>14</v>
      </c>
      <c r="M364" s="1"/>
      <c r="N364" s="1" t="str">
        <f t="shared" si="28"/>
        <v>Suppressed</v>
      </c>
      <c r="O364" s="1" t="str">
        <f t="shared" si="26"/>
        <v/>
      </c>
      <c r="P364" s="1">
        <v>0</v>
      </c>
      <c r="Q364" s="1">
        <v>933</v>
      </c>
      <c r="R364" s="1" t="str">
        <f t="shared" si="29"/>
        <v>2</v>
      </c>
      <c r="S364" s="1">
        <v>115</v>
      </c>
      <c r="T364" s="1" t="str">
        <f t="shared" si="27"/>
        <v>1</v>
      </c>
      <c r="U364" s="1">
        <v>-29.077176999999999</v>
      </c>
      <c r="V364" s="3">
        <v>149.634928</v>
      </c>
    </row>
    <row r="365" spans="1:22" x14ac:dyDescent="0.35">
      <c r="A365" s="22" t="s">
        <v>1249</v>
      </c>
      <c r="B365" s="1" t="s">
        <v>1250</v>
      </c>
      <c r="C365" s="1" t="s">
        <v>1251</v>
      </c>
      <c r="D365" s="1" t="s">
        <v>591</v>
      </c>
      <c r="E365" s="1" t="s">
        <v>96</v>
      </c>
      <c r="F365" s="1" t="s">
        <v>57</v>
      </c>
      <c r="G365" s="1">
        <f t="shared" si="25"/>
        <v>2</v>
      </c>
      <c r="H365" s="1" t="s">
        <v>70</v>
      </c>
      <c r="I365" s="1" t="s">
        <v>49</v>
      </c>
      <c r="J365" s="23" t="s">
        <v>50</v>
      </c>
      <c r="K365" s="2" t="s">
        <v>51</v>
      </c>
      <c r="L365" s="1">
        <v>13</v>
      </c>
      <c r="M365" s="1">
        <v>0</v>
      </c>
      <c r="N365" s="1" t="str">
        <f t="shared" si="28"/>
        <v>Published</v>
      </c>
      <c r="O365" s="1">
        <f t="shared" si="26"/>
        <v>0</v>
      </c>
      <c r="P365" s="1">
        <v>0</v>
      </c>
      <c r="Q365" s="1">
        <v>942</v>
      </c>
      <c r="R365" s="1" t="str">
        <f t="shared" si="29"/>
        <v>2</v>
      </c>
      <c r="S365" s="1">
        <v>152</v>
      </c>
      <c r="T365" s="1" t="str">
        <f t="shared" si="27"/>
        <v>1</v>
      </c>
      <c r="U365" s="1">
        <v>-35.832129999999999</v>
      </c>
      <c r="V365" s="3">
        <v>146.998143</v>
      </c>
    </row>
    <row r="366" spans="1:22" x14ac:dyDescent="0.35">
      <c r="A366" s="22" t="s">
        <v>1252</v>
      </c>
      <c r="B366" s="1" t="s">
        <v>1253</v>
      </c>
      <c r="C366" s="1" t="s">
        <v>1254</v>
      </c>
      <c r="D366" s="1" t="s">
        <v>1255</v>
      </c>
      <c r="E366" s="1" t="s">
        <v>85</v>
      </c>
      <c r="F366" s="1" t="s">
        <v>57</v>
      </c>
      <c r="G366" s="1">
        <f t="shared" si="25"/>
        <v>2</v>
      </c>
      <c r="H366" s="1" t="s">
        <v>86</v>
      </c>
      <c r="I366" s="1" t="s">
        <v>49</v>
      </c>
      <c r="J366" s="23" t="s">
        <v>50</v>
      </c>
      <c r="K366" s="2" t="s">
        <v>51</v>
      </c>
      <c r="L366" s="1">
        <v>378</v>
      </c>
      <c r="M366" s="1">
        <v>4</v>
      </c>
      <c r="N366" s="1" t="str">
        <f t="shared" si="28"/>
        <v>Published</v>
      </c>
      <c r="O366" s="1">
        <f t="shared" si="26"/>
        <v>15.120000000000001</v>
      </c>
      <c r="P366" s="1">
        <v>6</v>
      </c>
      <c r="Q366" s="1">
        <v>1091</v>
      </c>
      <c r="R366" s="1" t="str">
        <f t="shared" si="29"/>
        <v>3</v>
      </c>
      <c r="S366" s="1">
        <v>42</v>
      </c>
      <c r="T366" s="1" t="str">
        <f t="shared" si="27"/>
        <v>3</v>
      </c>
      <c r="U366" s="1">
        <v>-34.749383999999999</v>
      </c>
      <c r="V366" s="3">
        <v>150.82149899999999</v>
      </c>
    </row>
    <row r="367" spans="1:22" x14ac:dyDescent="0.35">
      <c r="A367" s="22" t="s">
        <v>1256</v>
      </c>
      <c r="B367" s="1" t="s">
        <v>1257</v>
      </c>
      <c r="C367" s="1" t="s">
        <v>1258</v>
      </c>
      <c r="D367" s="1" t="s">
        <v>211</v>
      </c>
      <c r="E367" s="1" t="s">
        <v>102</v>
      </c>
      <c r="F367" s="1" t="s">
        <v>69</v>
      </c>
      <c r="G367" s="1">
        <f t="shared" si="25"/>
        <v>3</v>
      </c>
      <c r="H367" s="1" t="s">
        <v>58</v>
      </c>
      <c r="I367" s="1" t="s">
        <v>49</v>
      </c>
      <c r="J367" s="23" t="s">
        <v>50</v>
      </c>
      <c r="K367" s="2" t="s">
        <v>51</v>
      </c>
      <c r="L367" s="1">
        <v>33</v>
      </c>
      <c r="M367" s="1">
        <v>45</v>
      </c>
      <c r="N367" s="1" t="str">
        <f t="shared" si="28"/>
        <v>Published</v>
      </c>
      <c r="O367" s="1">
        <f t="shared" si="26"/>
        <v>14.85</v>
      </c>
      <c r="P367" s="1"/>
      <c r="Q367" s="1">
        <v>860</v>
      </c>
      <c r="R367" s="1" t="str">
        <f t="shared" si="29"/>
        <v>1</v>
      </c>
      <c r="S367" s="1">
        <v>129</v>
      </c>
      <c r="T367" s="1" t="str">
        <f t="shared" si="27"/>
        <v>1</v>
      </c>
      <c r="U367" s="1">
        <v>-32.396099999999997</v>
      </c>
      <c r="V367" s="3">
        <v>148.82945000000001</v>
      </c>
    </row>
    <row r="368" spans="1:22" x14ac:dyDescent="0.35">
      <c r="A368" s="22" t="s">
        <v>1259</v>
      </c>
      <c r="B368" s="1" t="s">
        <v>1260</v>
      </c>
      <c r="C368" s="1" t="s">
        <v>1261</v>
      </c>
      <c r="D368" s="1" t="s">
        <v>1027</v>
      </c>
      <c r="E368" s="1" t="s">
        <v>56</v>
      </c>
      <c r="F368" s="1" t="s">
        <v>57</v>
      </c>
      <c r="G368" s="1">
        <f t="shared" si="25"/>
        <v>2</v>
      </c>
      <c r="H368" s="1" t="s">
        <v>58</v>
      </c>
      <c r="I368" s="1" t="s">
        <v>49</v>
      </c>
      <c r="J368" s="23" t="s">
        <v>50</v>
      </c>
      <c r="K368" s="2" t="s">
        <v>51</v>
      </c>
      <c r="L368" s="1">
        <v>23</v>
      </c>
      <c r="M368" s="1">
        <v>43</v>
      </c>
      <c r="N368" s="1" t="str">
        <f t="shared" si="28"/>
        <v>Published</v>
      </c>
      <c r="O368" s="1">
        <f t="shared" si="26"/>
        <v>9.89</v>
      </c>
      <c r="P368" s="1"/>
      <c r="Q368" s="1">
        <v>814</v>
      </c>
      <c r="R368" s="1" t="str">
        <f t="shared" si="29"/>
        <v>1</v>
      </c>
      <c r="S368" s="1">
        <v>189</v>
      </c>
      <c r="T368" s="1" t="str">
        <f t="shared" si="27"/>
        <v>1</v>
      </c>
      <c r="U368" s="1">
        <v>-32.336471000000003</v>
      </c>
      <c r="V368" s="3">
        <v>150.569007</v>
      </c>
    </row>
    <row r="369" spans="1:22" x14ac:dyDescent="0.35">
      <c r="A369" s="22" t="s">
        <v>1262</v>
      </c>
      <c r="B369" s="1" t="s">
        <v>1263</v>
      </c>
      <c r="C369" s="1" t="s">
        <v>1264</v>
      </c>
      <c r="D369" s="1" t="s">
        <v>159</v>
      </c>
      <c r="E369" s="1" t="s">
        <v>91</v>
      </c>
      <c r="F369" s="1" t="s">
        <v>69</v>
      </c>
      <c r="G369" s="1">
        <f t="shared" si="25"/>
        <v>3</v>
      </c>
      <c r="H369" s="1" t="s">
        <v>92</v>
      </c>
      <c r="I369" s="1" t="s">
        <v>49</v>
      </c>
      <c r="J369" s="23" t="s">
        <v>50</v>
      </c>
      <c r="K369" s="2" t="s">
        <v>51</v>
      </c>
      <c r="L369" s="1">
        <v>42</v>
      </c>
      <c r="M369" s="1">
        <v>45</v>
      </c>
      <c r="N369" s="1" t="str">
        <f t="shared" si="28"/>
        <v>Published</v>
      </c>
      <c r="O369" s="1">
        <f t="shared" si="26"/>
        <v>18.900000000000002</v>
      </c>
      <c r="P369" s="1"/>
      <c r="Q369" s="1">
        <v>843</v>
      </c>
      <c r="R369" s="1" t="str">
        <f t="shared" si="29"/>
        <v>1</v>
      </c>
      <c r="S369" s="1">
        <v>156</v>
      </c>
      <c r="T369" s="1" t="str">
        <f t="shared" si="27"/>
        <v>1</v>
      </c>
      <c r="U369" s="1">
        <v>-29.852694</v>
      </c>
      <c r="V369" s="3">
        <v>151.115555</v>
      </c>
    </row>
    <row r="370" spans="1:22" x14ac:dyDescent="0.35">
      <c r="A370" s="22" t="s">
        <v>1265</v>
      </c>
      <c r="B370" s="1" t="s">
        <v>1266</v>
      </c>
      <c r="C370" s="1" t="s">
        <v>1267</v>
      </c>
      <c r="D370" s="1" t="s">
        <v>1267</v>
      </c>
      <c r="E370" s="1" t="s">
        <v>102</v>
      </c>
      <c r="F370" s="1" t="s">
        <v>69</v>
      </c>
      <c r="G370" s="1">
        <f t="shared" si="25"/>
        <v>3</v>
      </c>
      <c r="H370" s="1" t="s">
        <v>58</v>
      </c>
      <c r="I370" s="1" t="s">
        <v>49</v>
      </c>
      <c r="J370" s="23" t="s">
        <v>50</v>
      </c>
      <c r="K370" s="2" t="s">
        <v>51</v>
      </c>
      <c r="L370" s="1">
        <v>198</v>
      </c>
      <c r="M370" s="1">
        <v>55</v>
      </c>
      <c r="N370" s="1" t="str">
        <f t="shared" si="28"/>
        <v>Published</v>
      </c>
      <c r="O370" s="1">
        <f t="shared" si="26"/>
        <v>108.9</v>
      </c>
      <c r="P370" s="1">
        <v>5</v>
      </c>
      <c r="Q370" s="1">
        <v>815</v>
      </c>
      <c r="R370" s="1" t="str">
        <f t="shared" si="29"/>
        <v>1</v>
      </c>
      <c r="S370" s="1">
        <v>162</v>
      </c>
      <c r="T370" s="1" t="str">
        <f t="shared" si="27"/>
        <v>2</v>
      </c>
      <c r="U370" s="1">
        <v>-31.707981</v>
      </c>
      <c r="V370" s="3">
        <v>148.66463999999999</v>
      </c>
    </row>
    <row r="371" spans="1:22" x14ac:dyDescent="0.35">
      <c r="A371" s="22" t="s">
        <v>1268</v>
      </c>
      <c r="B371" s="1" t="s">
        <v>1269</v>
      </c>
      <c r="C371" s="1" t="s">
        <v>1270</v>
      </c>
      <c r="D371" s="1" t="s">
        <v>489</v>
      </c>
      <c r="E371" s="1" t="s">
        <v>56</v>
      </c>
      <c r="F371" s="1" t="s">
        <v>47</v>
      </c>
      <c r="G371" s="1">
        <f t="shared" si="25"/>
        <v>1</v>
      </c>
      <c r="H371" s="1" t="s">
        <v>58</v>
      </c>
      <c r="I371" s="1" t="s">
        <v>49</v>
      </c>
      <c r="J371" s="23" t="s">
        <v>50</v>
      </c>
      <c r="K371" s="2" t="s">
        <v>51</v>
      </c>
      <c r="L371" s="1">
        <v>404</v>
      </c>
      <c r="M371" s="1">
        <v>22</v>
      </c>
      <c r="N371" s="1" t="str">
        <f t="shared" si="28"/>
        <v>Published</v>
      </c>
      <c r="O371" s="1">
        <f t="shared" si="26"/>
        <v>88.88</v>
      </c>
      <c r="P371" s="1">
        <v>10</v>
      </c>
      <c r="Q371" s="1">
        <v>922</v>
      </c>
      <c r="R371" s="1" t="str">
        <f t="shared" si="29"/>
        <v>2</v>
      </c>
      <c r="S371" s="1">
        <v>123</v>
      </c>
      <c r="T371" s="1" t="str">
        <f t="shared" si="27"/>
        <v>3</v>
      </c>
      <c r="U371" s="1">
        <v>-32.752319999999997</v>
      </c>
      <c r="V371" s="3">
        <v>151.53071299999999</v>
      </c>
    </row>
    <row r="372" spans="1:22" x14ac:dyDescent="0.35">
      <c r="A372" s="22" t="s">
        <v>1271</v>
      </c>
      <c r="B372" s="1" t="s">
        <v>1272</v>
      </c>
      <c r="C372" s="1" t="s">
        <v>1273</v>
      </c>
      <c r="D372" s="1" t="s">
        <v>1274</v>
      </c>
      <c r="E372" s="1" t="s">
        <v>102</v>
      </c>
      <c r="F372" s="1" t="s">
        <v>241</v>
      </c>
      <c r="G372" s="1">
        <f t="shared" si="25"/>
        <v>4</v>
      </c>
      <c r="H372" s="1" t="s">
        <v>70</v>
      </c>
      <c r="I372" s="1" t="s">
        <v>49</v>
      </c>
      <c r="J372" s="23" t="s">
        <v>50</v>
      </c>
      <c r="K372" s="2" t="s">
        <v>51</v>
      </c>
      <c r="L372" s="1">
        <v>14</v>
      </c>
      <c r="M372" s="1"/>
      <c r="N372" s="1" t="str">
        <f t="shared" si="28"/>
        <v>Suppressed</v>
      </c>
      <c r="O372" s="1" t="str">
        <f t="shared" si="26"/>
        <v/>
      </c>
      <c r="P372" s="1">
        <v>0</v>
      </c>
      <c r="Q372" s="1">
        <v>915</v>
      </c>
      <c r="R372" s="1" t="str">
        <f t="shared" si="29"/>
        <v>2</v>
      </c>
      <c r="S372" s="1">
        <v>100</v>
      </c>
      <c r="T372" s="1" t="str">
        <f t="shared" si="27"/>
        <v>1</v>
      </c>
      <c r="U372" s="1">
        <v>-31.249669999999998</v>
      </c>
      <c r="V372" s="3">
        <v>146.908851</v>
      </c>
    </row>
    <row r="373" spans="1:22" x14ac:dyDescent="0.35">
      <c r="A373" s="22" t="s">
        <v>1275</v>
      </c>
      <c r="B373" s="1" t="s">
        <v>1276</v>
      </c>
      <c r="C373" s="1" t="s">
        <v>1277</v>
      </c>
      <c r="D373" s="1" t="s">
        <v>169</v>
      </c>
      <c r="E373" s="1" t="s">
        <v>170</v>
      </c>
      <c r="F373" s="1" t="s">
        <v>47</v>
      </c>
      <c r="G373" s="1">
        <f t="shared" si="25"/>
        <v>1</v>
      </c>
      <c r="H373" s="1" t="s">
        <v>48</v>
      </c>
      <c r="I373" s="1" t="s">
        <v>49</v>
      </c>
      <c r="J373" s="23" t="s">
        <v>50</v>
      </c>
      <c r="K373" s="2" t="s">
        <v>51</v>
      </c>
      <c r="L373" s="1">
        <v>1072</v>
      </c>
      <c r="M373" s="1"/>
      <c r="N373" s="1" t="str">
        <f t="shared" si="28"/>
        <v>Suppressed</v>
      </c>
      <c r="O373" s="1" t="str">
        <f t="shared" si="26"/>
        <v/>
      </c>
      <c r="P373" s="1">
        <v>98</v>
      </c>
      <c r="Q373" s="1">
        <v>1132</v>
      </c>
      <c r="R373" s="1" t="str">
        <f t="shared" si="29"/>
        <v>4</v>
      </c>
      <c r="S373" s="1">
        <v>8</v>
      </c>
      <c r="T373" s="1" t="str">
        <f t="shared" si="27"/>
        <v>5</v>
      </c>
      <c r="U373" s="1">
        <v>-33.799711000000002</v>
      </c>
      <c r="V373" s="3">
        <v>150.950356</v>
      </c>
    </row>
    <row r="374" spans="1:22" x14ac:dyDescent="0.35">
      <c r="A374" s="22" t="s">
        <v>1278</v>
      </c>
      <c r="B374" s="1" t="s">
        <v>1279</v>
      </c>
      <c r="C374" s="1" t="s">
        <v>1280</v>
      </c>
      <c r="D374" s="1" t="s">
        <v>1155</v>
      </c>
      <c r="E374" s="1" t="s">
        <v>306</v>
      </c>
      <c r="F374" s="1" t="s">
        <v>47</v>
      </c>
      <c r="G374" s="1">
        <f t="shared" si="25"/>
        <v>1</v>
      </c>
      <c r="H374" s="1" t="s">
        <v>148</v>
      </c>
      <c r="I374" s="1" t="s">
        <v>49</v>
      </c>
      <c r="J374" s="23" t="s">
        <v>50</v>
      </c>
      <c r="K374" s="2" t="s">
        <v>51</v>
      </c>
      <c r="L374" s="1">
        <v>305</v>
      </c>
      <c r="M374" s="1"/>
      <c r="N374" s="1" t="str">
        <f t="shared" si="28"/>
        <v>Suppressed</v>
      </c>
      <c r="O374" s="1" t="str">
        <f t="shared" si="26"/>
        <v/>
      </c>
      <c r="P374" s="1">
        <v>45</v>
      </c>
      <c r="Q374" s="1">
        <v>1129</v>
      </c>
      <c r="R374" s="1" t="str">
        <f t="shared" si="29"/>
        <v>4</v>
      </c>
      <c r="S374" s="1">
        <v>17</v>
      </c>
      <c r="T374" s="1" t="str">
        <f t="shared" si="27"/>
        <v>3</v>
      </c>
      <c r="U374" s="1">
        <v>-33.832977</v>
      </c>
      <c r="V374" s="3">
        <v>151.125699</v>
      </c>
    </row>
    <row r="375" spans="1:22" x14ac:dyDescent="0.35">
      <c r="A375" s="22" t="s">
        <v>1281</v>
      </c>
      <c r="B375" s="1" t="s">
        <v>1282</v>
      </c>
      <c r="C375" s="1" t="s">
        <v>1283</v>
      </c>
      <c r="D375" s="1" t="s">
        <v>325</v>
      </c>
      <c r="E375" s="1" t="s">
        <v>276</v>
      </c>
      <c r="F375" s="1" t="s">
        <v>57</v>
      </c>
      <c r="G375" s="1">
        <f t="shared" si="25"/>
        <v>2</v>
      </c>
      <c r="H375" s="1" t="s">
        <v>58</v>
      </c>
      <c r="I375" s="1" t="s">
        <v>49</v>
      </c>
      <c r="J375" s="23" t="s">
        <v>50</v>
      </c>
      <c r="K375" s="2" t="s">
        <v>51</v>
      </c>
      <c r="L375" s="1">
        <v>19</v>
      </c>
      <c r="M375" s="1"/>
      <c r="N375" s="1" t="str">
        <f t="shared" si="28"/>
        <v>Suppressed</v>
      </c>
      <c r="O375" s="1" t="str">
        <f t="shared" si="26"/>
        <v/>
      </c>
      <c r="P375" s="1"/>
      <c r="Q375" s="1">
        <v>1004</v>
      </c>
      <c r="R375" s="1" t="str">
        <f t="shared" si="29"/>
        <v>3</v>
      </c>
      <c r="S375" s="1">
        <v>78</v>
      </c>
      <c r="T375" s="1" t="str">
        <f t="shared" si="27"/>
        <v>1</v>
      </c>
      <c r="U375" s="1">
        <v>-31.026485000000001</v>
      </c>
      <c r="V375" s="3">
        <v>152.94650799999999</v>
      </c>
    </row>
    <row r="376" spans="1:22" x14ac:dyDescent="0.35">
      <c r="A376" s="22" t="s">
        <v>1284</v>
      </c>
      <c r="B376" s="1" t="s">
        <v>1285</v>
      </c>
      <c r="C376" s="1" t="s">
        <v>1286</v>
      </c>
      <c r="D376" s="1" t="s">
        <v>176</v>
      </c>
      <c r="E376" s="1" t="s">
        <v>85</v>
      </c>
      <c r="F376" s="1" t="s">
        <v>47</v>
      </c>
      <c r="G376" s="1">
        <f t="shared" si="25"/>
        <v>1</v>
      </c>
      <c r="H376" s="1" t="s">
        <v>86</v>
      </c>
      <c r="I376" s="1" t="s">
        <v>49</v>
      </c>
      <c r="J376" s="23" t="s">
        <v>50</v>
      </c>
      <c r="K376" s="2" t="s">
        <v>51</v>
      </c>
      <c r="L376" s="1">
        <v>203</v>
      </c>
      <c r="M376" s="1">
        <v>16</v>
      </c>
      <c r="N376" s="1" t="str">
        <f t="shared" si="28"/>
        <v>Published</v>
      </c>
      <c r="O376" s="1">
        <f t="shared" si="26"/>
        <v>32.480000000000004</v>
      </c>
      <c r="P376" s="1">
        <v>12</v>
      </c>
      <c r="Q376" s="1">
        <v>988</v>
      </c>
      <c r="R376" s="1" t="str">
        <f t="shared" si="29"/>
        <v>2</v>
      </c>
      <c r="S376" s="1">
        <v>98</v>
      </c>
      <c r="T376" s="1" t="str">
        <f t="shared" si="27"/>
        <v>2</v>
      </c>
      <c r="U376" s="1">
        <v>-34.531495999999997</v>
      </c>
      <c r="V376" s="3">
        <v>150.86597</v>
      </c>
    </row>
    <row r="377" spans="1:22" x14ac:dyDescent="0.35">
      <c r="A377" s="22" t="s">
        <v>1287</v>
      </c>
      <c r="B377" s="1" t="s">
        <v>1288</v>
      </c>
      <c r="C377" s="1" t="s">
        <v>1289</v>
      </c>
      <c r="D377" s="1" t="s">
        <v>428</v>
      </c>
      <c r="E377" s="1" t="s">
        <v>429</v>
      </c>
      <c r="F377" s="1" t="s">
        <v>47</v>
      </c>
      <c r="G377" s="1">
        <f t="shared" si="25"/>
        <v>1</v>
      </c>
      <c r="H377" s="1" t="s">
        <v>182</v>
      </c>
      <c r="I377" s="1" t="s">
        <v>49</v>
      </c>
      <c r="J377" s="23" t="s">
        <v>50</v>
      </c>
      <c r="K377" s="2" t="s">
        <v>51</v>
      </c>
      <c r="L377" s="1">
        <v>338</v>
      </c>
      <c r="M377" s="1">
        <v>3</v>
      </c>
      <c r="N377" s="1" t="str">
        <f t="shared" si="28"/>
        <v>Published</v>
      </c>
      <c r="O377" s="1">
        <f t="shared" si="26"/>
        <v>10.139999999999999</v>
      </c>
      <c r="P377" s="1">
        <v>12</v>
      </c>
      <c r="Q377" s="1">
        <v>1120</v>
      </c>
      <c r="R377" s="1" t="str">
        <f t="shared" si="29"/>
        <v>4</v>
      </c>
      <c r="S377" s="1">
        <v>24</v>
      </c>
      <c r="T377" s="1" t="str">
        <f t="shared" si="27"/>
        <v>3</v>
      </c>
      <c r="U377" s="1">
        <v>-33.765697799999998</v>
      </c>
      <c r="V377" s="3">
        <v>150.6177045</v>
      </c>
    </row>
    <row r="378" spans="1:22" x14ac:dyDescent="0.35">
      <c r="A378" s="22" t="s">
        <v>1290</v>
      </c>
      <c r="B378" s="1" t="s">
        <v>1291</v>
      </c>
      <c r="C378" s="1" t="s">
        <v>1292</v>
      </c>
      <c r="D378" s="1" t="s">
        <v>689</v>
      </c>
      <c r="E378" s="1" t="s">
        <v>122</v>
      </c>
      <c r="F378" s="1" t="s">
        <v>47</v>
      </c>
      <c r="G378" s="1">
        <f t="shared" si="25"/>
        <v>1</v>
      </c>
      <c r="H378" s="1" t="s">
        <v>182</v>
      </c>
      <c r="I378" s="1" t="s">
        <v>49</v>
      </c>
      <c r="J378" s="23" t="s">
        <v>50</v>
      </c>
      <c r="K378" s="2" t="s">
        <v>51</v>
      </c>
      <c r="L378" s="1">
        <v>470</v>
      </c>
      <c r="M378" s="1"/>
      <c r="N378" s="1" t="str">
        <f t="shared" si="28"/>
        <v>Suppressed</v>
      </c>
      <c r="O378" s="1" t="str">
        <f t="shared" si="26"/>
        <v/>
      </c>
      <c r="P378" s="1">
        <v>88</v>
      </c>
      <c r="Q378" s="1">
        <v>1070</v>
      </c>
      <c r="R378" s="1" t="str">
        <f t="shared" si="29"/>
        <v>3</v>
      </c>
      <c r="S378" s="1">
        <v>51</v>
      </c>
      <c r="T378" s="1" t="str">
        <f t="shared" si="27"/>
        <v>3</v>
      </c>
      <c r="U378" s="1">
        <v>-33.971004999999998</v>
      </c>
      <c r="V378" s="3">
        <v>150.89658399999999</v>
      </c>
    </row>
    <row r="379" spans="1:22" x14ac:dyDescent="0.35">
      <c r="A379" s="22" t="s">
        <v>1293</v>
      </c>
      <c r="B379" s="1" t="s">
        <v>1294</v>
      </c>
      <c r="C379" s="1" t="s">
        <v>1295</v>
      </c>
      <c r="D379" s="1" t="s">
        <v>761</v>
      </c>
      <c r="E379" s="1" t="s">
        <v>127</v>
      </c>
      <c r="F379" s="1" t="s">
        <v>47</v>
      </c>
      <c r="G379" s="1">
        <f t="shared" si="25"/>
        <v>1</v>
      </c>
      <c r="H379" s="1" t="s">
        <v>148</v>
      </c>
      <c r="I379" s="1" t="s">
        <v>49</v>
      </c>
      <c r="J379" s="23" t="s">
        <v>50</v>
      </c>
      <c r="K379" s="2" t="s">
        <v>51</v>
      </c>
      <c r="L379" s="1">
        <v>240</v>
      </c>
      <c r="M379" s="1"/>
      <c r="N379" s="1" t="str">
        <f t="shared" si="28"/>
        <v>Suppressed</v>
      </c>
      <c r="O379" s="1" t="str">
        <f t="shared" si="26"/>
        <v/>
      </c>
      <c r="P379" s="1">
        <v>20</v>
      </c>
      <c r="Q379" s="1">
        <v>1108</v>
      </c>
      <c r="R379" s="1" t="str">
        <f t="shared" si="29"/>
        <v>4</v>
      </c>
      <c r="S379" s="1">
        <v>41</v>
      </c>
      <c r="T379" s="1" t="str">
        <f t="shared" si="27"/>
        <v>2</v>
      </c>
      <c r="U379" s="1">
        <v>-33.700792</v>
      </c>
      <c r="V379" s="3">
        <v>151.002882</v>
      </c>
    </row>
    <row r="380" spans="1:22" x14ac:dyDescent="0.35">
      <c r="A380" s="22" t="s">
        <v>1296</v>
      </c>
      <c r="B380" s="1" t="s">
        <v>1297</v>
      </c>
      <c r="C380" s="1" t="s">
        <v>1298</v>
      </c>
      <c r="D380" s="1" t="s">
        <v>1014</v>
      </c>
      <c r="E380" s="1" t="s">
        <v>91</v>
      </c>
      <c r="F380" s="1" t="s">
        <v>57</v>
      </c>
      <c r="G380" s="1">
        <f t="shared" si="25"/>
        <v>2</v>
      </c>
      <c r="H380" s="1" t="s">
        <v>92</v>
      </c>
      <c r="I380" s="1" t="s">
        <v>49</v>
      </c>
      <c r="J380" s="23" t="s">
        <v>50</v>
      </c>
      <c r="K380" s="2" t="s">
        <v>51</v>
      </c>
      <c r="L380" s="1">
        <v>339</v>
      </c>
      <c r="M380" s="1">
        <v>27</v>
      </c>
      <c r="N380" s="1" t="str">
        <f t="shared" si="28"/>
        <v>Published</v>
      </c>
      <c r="O380" s="1">
        <f t="shared" si="26"/>
        <v>91.53</v>
      </c>
      <c r="P380" s="1">
        <v>4</v>
      </c>
      <c r="Q380" s="1">
        <v>903</v>
      </c>
      <c r="R380" s="1" t="str">
        <f t="shared" si="29"/>
        <v>2</v>
      </c>
      <c r="S380" s="1">
        <v>128</v>
      </c>
      <c r="T380" s="1" t="str">
        <f t="shared" si="27"/>
        <v>3</v>
      </c>
      <c r="U380" s="1">
        <v>-29.735142</v>
      </c>
      <c r="V380" s="3">
        <v>151.74098900000001</v>
      </c>
    </row>
    <row r="381" spans="1:22" x14ac:dyDescent="0.35">
      <c r="A381" s="22" t="s">
        <v>1299</v>
      </c>
      <c r="B381" s="1" t="s">
        <v>1300</v>
      </c>
      <c r="C381" s="1" t="s">
        <v>1301</v>
      </c>
      <c r="D381" s="1" t="s">
        <v>329</v>
      </c>
      <c r="E381" s="1" t="s">
        <v>330</v>
      </c>
      <c r="F381" s="1" t="s">
        <v>47</v>
      </c>
      <c r="G381" s="1">
        <f t="shared" si="25"/>
        <v>1</v>
      </c>
      <c r="H381" s="1" t="s">
        <v>48</v>
      </c>
      <c r="I381" s="1" t="s">
        <v>49</v>
      </c>
      <c r="J381" s="23" t="s">
        <v>50</v>
      </c>
      <c r="K381" s="2" t="s">
        <v>51</v>
      </c>
      <c r="L381" s="1">
        <v>263</v>
      </c>
      <c r="M381" s="1">
        <v>0</v>
      </c>
      <c r="N381" s="1" t="str">
        <f t="shared" si="28"/>
        <v>Published</v>
      </c>
      <c r="O381" s="1">
        <f t="shared" si="26"/>
        <v>0</v>
      </c>
      <c r="P381" s="1">
        <v>24</v>
      </c>
      <c r="Q381" s="1">
        <v>1176</v>
      </c>
      <c r="R381" s="1" t="str">
        <f t="shared" si="29"/>
        <v>4</v>
      </c>
      <c r="S381" s="1">
        <v>0</v>
      </c>
      <c r="T381" s="1" t="str">
        <f t="shared" si="27"/>
        <v>2</v>
      </c>
      <c r="U381" s="1">
        <v>-33.881385000000002</v>
      </c>
      <c r="V381" s="3">
        <v>151.230233</v>
      </c>
    </row>
    <row r="382" spans="1:22" x14ac:dyDescent="0.35">
      <c r="A382" s="22" t="s">
        <v>1302</v>
      </c>
      <c r="B382" s="1" t="s">
        <v>1303</v>
      </c>
      <c r="C382" s="1" t="s">
        <v>1304</v>
      </c>
      <c r="D382" s="1" t="s">
        <v>126</v>
      </c>
      <c r="E382" s="1" t="s">
        <v>127</v>
      </c>
      <c r="F382" s="1" t="s">
        <v>57</v>
      </c>
      <c r="G382" s="1">
        <f t="shared" si="25"/>
        <v>2</v>
      </c>
      <c r="H382" s="1" t="s">
        <v>63</v>
      </c>
      <c r="I382" s="1" t="s">
        <v>49</v>
      </c>
      <c r="J382" s="23" t="s">
        <v>50</v>
      </c>
      <c r="K382" s="2" t="s">
        <v>51</v>
      </c>
      <c r="L382" s="1">
        <v>283</v>
      </c>
      <c r="M382" s="1"/>
      <c r="N382" s="1" t="str">
        <f t="shared" si="28"/>
        <v>Suppressed</v>
      </c>
      <c r="O382" s="1" t="str">
        <f t="shared" si="26"/>
        <v/>
      </c>
      <c r="P382" s="1">
        <v>18</v>
      </c>
      <c r="Q382" s="1">
        <v>1055</v>
      </c>
      <c r="R382" s="1" t="str">
        <f t="shared" si="29"/>
        <v>3</v>
      </c>
      <c r="S382" s="1">
        <v>65</v>
      </c>
      <c r="T382" s="1" t="str">
        <f t="shared" si="27"/>
        <v>2</v>
      </c>
      <c r="U382" s="1">
        <v>-33.599443999999998</v>
      </c>
      <c r="V382" s="3">
        <v>151.008082</v>
      </c>
    </row>
    <row r="383" spans="1:22" x14ac:dyDescent="0.35">
      <c r="A383" s="22" t="s">
        <v>1305</v>
      </c>
      <c r="B383" s="1" t="s">
        <v>1306</v>
      </c>
      <c r="C383" s="1" t="s">
        <v>1307</v>
      </c>
      <c r="D383" s="1" t="s">
        <v>195</v>
      </c>
      <c r="E383" s="1" t="s">
        <v>196</v>
      </c>
      <c r="F383" s="1" t="s">
        <v>57</v>
      </c>
      <c r="G383" s="1">
        <f t="shared" si="25"/>
        <v>2</v>
      </c>
      <c r="H383" s="1" t="s">
        <v>86</v>
      </c>
      <c r="I383" s="1" t="s">
        <v>49</v>
      </c>
      <c r="J383" s="23" t="s">
        <v>50</v>
      </c>
      <c r="K383" s="2" t="s">
        <v>51</v>
      </c>
      <c r="L383" s="1">
        <v>23</v>
      </c>
      <c r="M383" s="1"/>
      <c r="N383" s="1" t="str">
        <f t="shared" si="28"/>
        <v>Suppressed</v>
      </c>
      <c r="O383" s="1" t="str">
        <f t="shared" si="26"/>
        <v/>
      </c>
      <c r="P383" s="1"/>
      <c r="Q383" s="1">
        <v>1045</v>
      </c>
      <c r="R383" s="1" t="str">
        <f t="shared" si="29"/>
        <v>3</v>
      </c>
      <c r="S383" s="1">
        <v>47</v>
      </c>
      <c r="T383" s="1" t="str">
        <f t="shared" si="27"/>
        <v>1</v>
      </c>
      <c r="U383" s="1">
        <v>-34.522334999999998</v>
      </c>
      <c r="V383" s="3">
        <v>150.48353900000001</v>
      </c>
    </row>
    <row r="384" spans="1:22" x14ac:dyDescent="0.35">
      <c r="A384" s="22" t="s">
        <v>1308</v>
      </c>
      <c r="B384" s="1" t="s">
        <v>1309</v>
      </c>
      <c r="C384" s="1" t="s">
        <v>1310</v>
      </c>
      <c r="D384" s="1" t="s">
        <v>280</v>
      </c>
      <c r="E384" s="1" t="s">
        <v>281</v>
      </c>
      <c r="F384" s="1" t="s">
        <v>57</v>
      </c>
      <c r="G384" s="1">
        <f t="shared" si="25"/>
        <v>2</v>
      </c>
      <c r="H384" s="1" t="s">
        <v>58</v>
      </c>
      <c r="I384" s="1" t="s">
        <v>49</v>
      </c>
      <c r="J384" s="23" t="s">
        <v>50</v>
      </c>
      <c r="K384" s="2" t="s">
        <v>51</v>
      </c>
      <c r="L384" s="1">
        <v>72</v>
      </c>
      <c r="M384" s="1">
        <v>17</v>
      </c>
      <c r="N384" s="1" t="str">
        <f t="shared" si="28"/>
        <v>Published</v>
      </c>
      <c r="O384" s="1">
        <f t="shared" si="26"/>
        <v>12.24</v>
      </c>
      <c r="P384" s="1"/>
      <c r="Q384" s="1">
        <v>938</v>
      </c>
      <c r="R384" s="1" t="str">
        <f t="shared" si="29"/>
        <v>2</v>
      </c>
      <c r="S384" s="1">
        <v>119</v>
      </c>
      <c r="T384" s="1" t="str">
        <f t="shared" si="27"/>
        <v>1</v>
      </c>
      <c r="U384" s="1">
        <v>-30.053581999999999</v>
      </c>
      <c r="V384" s="3">
        <v>152.976339</v>
      </c>
    </row>
    <row r="385" spans="1:22" x14ac:dyDescent="0.35">
      <c r="A385" s="22" t="s">
        <v>1311</v>
      </c>
      <c r="B385" s="1" t="s">
        <v>1312</v>
      </c>
      <c r="C385" s="1" t="s">
        <v>1313</v>
      </c>
      <c r="D385" s="1" t="s">
        <v>798</v>
      </c>
      <c r="E385" s="1" t="s">
        <v>56</v>
      </c>
      <c r="F385" s="1" t="s">
        <v>57</v>
      </c>
      <c r="G385" s="1">
        <f t="shared" si="25"/>
        <v>2</v>
      </c>
      <c r="H385" s="1" t="s">
        <v>58</v>
      </c>
      <c r="I385" s="1" t="s">
        <v>49</v>
      </c>
      <c r="J385" s="23" t="s">
        <v>50</v>
      </c>
      <c r="K385" s="2" t="s">
        <v>51</v>
      </c>
      <c r="L385" s="1">
        <v>27</v>
      </c>
      <c r="M385" s="1">
        <v>33</v>
      </c>
      <c r="N385" s="1" t="str">
        <f t="shared" si="28"/>
        <v>Published</v>
      </c>
      <c r="O385" s="1">
        <f t="shared" si="26"/>
        <v>8.91</v>
      </c>
      <c r="P385" s="1"/>
      <c r="Q385" s="1">
        <v>945</v>
      </c>
      <c r="R385" s="1" t="str">
        <f t="shared" si="29"/>
        <v>2</v>
      </c>
      <c r="S385" s="1">
        <v>120</v>
      </c>
      <c r="T385" s="1" t="str">
        <f t="shared" si="27"/>
        <v>1</v>
      </c>
      <c r="U385" s="1">
        <v>-32.525390999999999</v>
      </c>
      <c r="V385" s="3">
        <v>151.79794000000001</v>
      </c>
    </row>
    <row r="386" spans="1:22" x14ac:dyDescent="0.35">
      <c r="A386" s="22" t="s">
        <v>1314</v>
      </c>
      <c r="B386" s="1" t="s">
        <v>1315</v>
      </c>
      <c r="C386" s="1" t="s">
        <v>1316</v>
      </c>
      <c r="D386" s="1" t="s">
        <v>404</v>
      </c>
      <c r="E386" s="1" t="s">
        <v>127</v>
      </c>
      <c r="F386" s="1" t="s">
        <v>57</v>
      </c>
      <c r="G386" s="1">
        <f t="shared" ref="G386:G449" si="30">IF(F386="Major Cities of Australia",1,IF(F386="Inner Regional Australia",2,IF(F386="Outer Regional Australia",3,IF(F386="Remote Australia",4,IF(F386="Very Remote Australia",5,6)))))</f>
        <v>2</v>
      </c>
      <c r="H386" s="1" t="s">
        <v>63</v>
      </c>
      <c r="I386" s="1" t="s">
        <v>49</v>
      </c>
      <c r="J386" s="23" t="s">
        <v>50</v>
      </c>
      <c r="K386" s="2" t="s">
        <v>51</v>
      </c>
      <c r="L386" s="1">
        <v>184</v>
      </c>
      <c r="M386" s="1">
        <v>11</v>
      </c>
      <c r="N386" s="1" t="str">
        <f t="shared" si="28"/>
        <v>Published</v>
      </c>
      <c r="O386" s="1">
        <f t="shared" ref="O386:O449" si="31">IF(OR(M386="",L386=""),"",M386/100*L386)</f>
        <v>20.239999999999998</v>
      </c>
      <c r="P386" s="1"/>
      <c r="Q386" s="1">
        <v>954</v>
      </c>
      <c r="R386" s="1" t="str">
        <f t="shared" si="29"/>
        <v>2</v>
      </c>
      <c r="S386" s="1">
        <v>112</v>
      </c>
      <c r="T386" s="1" t="str">
        <f t="shared" ref="T386:T449" si="32">IF(L386="","No enrolment",IF(L386&lt;100,"1",IF(L386&lt;300,"2",IF(L386&lt;600,"3",IF(L386&lt;1000,"4","5")))))</f>
        <v>2</v>
      </c>
      <c r="U386" s="1">
        <v>-33.530504000000001</v>
      </c>
      <c r="V386" s="3">
        <v>150.76547099999999</v>
      </c>
    </row>
    <row r="387" spans="1:22" x14ac:dyDescent="0.35">
      <c r="A387" s="22" t="s">
        <v>1317</v>
      </c>
      <c r="B387" s="1" t="s">
        <v>1318</v>
      </c>
      <c r="C387" s="1" t="s">
        <v>1319</v>
      </c>
      <c r="D387" s="1" t="s">
        <v>963</v>
      </c>
      <c r="E387" s="1" t="s">
        <v>96</v>
      </c>
      <c r="F387" s="1" t="s">
        <v>69</v>
      </c>
      <c r="G387" s="1">
        <f t="shared" si="30"/>
        <v>3</v>
      </c>
      <c r="H387" s="1" t="s">
        <v>70</v>
      </c>
      <c r="I387" s="1" t="s">
        <v>49</v>
      </c>
      <c r="J387" s="23" t="s">
        <v>50</v>
      </c>
      <c r="K387" s="2" t="s">
        <v>51</v>
      </c>
      <c r="L387" s="1">
        <v>201</v>
      </c>
      <c r="M387" s="1">
        <v>8</v>
      </c>
      <c r="N387" s="1" t="str">
        <f t="shared" ref="N387:N450" si="33">IF(M387="","Suppressed","Published")</f>
        <v>Published</v>
      </c>
      <c r="O387" s="1">
        <f t="shared" si="31"/>
        <v>16.080000000000002</v>
      </c>
      <c r="P387" s="1">
        <v>4</v>
      </c>
      <c r="Q387" s="1">
        <v>1010</v>
      </c>
      <c r="R387" s="1" t="str">
        <f t="shared" ref="R387:R450" si="34">IF(Q387="","No ICSEA",IF(Q387&lt;900,"1",IF(Q387&lt;1000,"2",IF(Q387&lt;1100,"3","4"))))</f>
        <v>3</v>
      </c>
      <c r="S387" s="1">
        <v>95</v>
      </c>
      <c r="T387" s="1" t="str">
        <f t="shared" si="32"/>
        <v>2</v>
      </c>
      <c r="U387" s="1">
        <v>-34.179608000000002</v>
      </c>
      <c r="V387" s="3">
        <v>142.22265200000001</v>
      </c>
    </row>
    <row r="388" spans="1:22" x14ac:dyDescent="0.35">
      <c r="A388" s="22" t="s">
        <v>1320</v>
      </c>
      <c r="B388" s="1" t="s">
        <v>1321</v>
      </c>
      <c r="C388" s="1" t="s">
        <v>1322</v>
      </c>
      <c r="D388" s="1" t="s">
        <v>574</v>
      </c>
      <c r="E388" s="1" t="s">
        <v>102</v>
      </c>
      <c r="F388" s="1" t="s">
        <v>544</v>
      </c>
      <c r="G388" s="1">
        <f t="shared" si="30"/>
        <v>5</v>
      </c>
      <c r="H388" s="1" t="s">
        <v>92</v>
      </c>
      <c r="I388" s="1" t="s">
        <v>132</v>
      </c>
      <c r="J388" s="23" t="s">
        <v>50</v>
      </c>
      <c r="K388" s="2" t="s">
        <v>51</v>
      </c>
      <c r="L388" s="1">
        <v>28</v>
      </c>
      <c r="M388" s="1">
        <v>100</v>
      </c>
      <c r="N388" s="1" t="str">
        <f t="shared" si="33"/>
        <v>Published</v>
      </c>
      <c r="O388" s="1">
        <f t="shared" si="31"/>
        <v>28</v>
      </c>
      <c r="P388" s="1">
        <v>97</v>
      </c>
      <c r="Q388" s="1">
        <v>629</v>
      </c>
      <c r="R388" s="1" t="str">
        <f t="shared" si="34"/>
        <v>1</v>
      </c>
      <c r="S388" s="1">
        <v>237</v>
      </c>
      <c r="T388" s="1" t="str">
        <f t="shared" si="32"/>
        <v>1</v>
      </c>
      <c r="U388" s="1">
        <v>-29.115864999999999</v>
      </c>
      <c r="V388" s="3">
        <v>147.45553200000001</v>
      </c>
    </row>
    <row r="389" spans="1:22" x14ac:dyDescent="0.35">
      <c r="A389" s="22" t="s">
        <v>1323</v>
      </c>
      <c r="B389" s="1" t="s">
        <v>1324</v>
      </c>
      <c r="C389" s="1" t="s">
        <v>1325</v>
      </c>
      <c r="D389" s="1" t="s">
        <v>1326</v>
      </c>
      <c r="E389" s="1" t="s">
        <v>80</v>
      </c>
      <c r="F389" s="1" t="s">
        <v>69</v>
      </c>
      <c r="G389" s="1">
        <f t="shared" si="30"/>
        <v>3</v>
      </c>
      <c r="H389" s="1" t="s">
        <v>70</v>
      </c>
      <c r="I389" s="1" t="s">
        <v>49</v>
      </c>
      <c r="J389" s="23" t="s">
        <v>50</v>
      </c>
      <c r="K389" s="2" t="s">
        <v>51</v>
      </c>
      <c r="L389" s="1">
        <v>38</v>
      </c>
      <c r="M389" s="1">
        <v>21</v>
      </c>
      <c r="N389" s="1" t="str">
        <f t="shared" si="33"/>
        <v>Published</v>
      </c>
      <c r="O389" s="1">
        <f t="shared" si="31"/>
        <v>7.9799999999999995</v>
      </c>
      <c r="P389" s="1"/>
      <c r="Q389" s="1">
        <v>935</v>
      </c>
      <c r="R389" s="1" t="str">
        <f t="shared" si="34"/>
        <v>2</v>
      </c>
      <c r="S389" s="1">
        <v>110</v>
      </c>
      <c r="T389" s="1" t="str">
        <f t="shared" si="32"/>
        <v>1</v>
      </c>
      <c r="U389" s="1">
        <v>-33.975709999999999</v>
      </c>
      <c r="V389" s="3">
        <v>145.70922100000001</v>
      </c>
    </row>
    <row r="390" spans="1:22" x14ac:dyDescent="0.35">
      <c r="A390" s="22" t="s">
        <v>1327</v>
      </c>
      <c r="B390" s="1" t="s">
        <v>1328</v>
      </c>
      <c r="C390" s="1" t="s">
        <v>1329</v>
      </c>
      <c r="D390" s="1" t="s">
        <v>944</v>
      </c>
      <c r="E390" s="1" t="s">
        <v>261</v>
      </c>
      <c r="F390" s="1" t="s">
        <v>69</v>
      </c>
      <c r="G390" s="1">
        <f t="shared" si="30"/>
        <v>3</v>
      </c>
      <c r="H390" s="1" t="s">
        <v>70</v>
      </c>
      <c r="I390" s="1" t="s">
        <v>49</v>
      </c>
      <c r="J390" s="23" t="s">
        <v>50</v>
      </c>
      <c r="K390" s="2" t="s">
        <v>51</v>
      </c>
      <c r="L390" s="1">
        <v>26</v>
      </c>
      <c r="M390" s="1"/>
      <c r="N390" s="1" t="str">
        <f t="shared" si="33"/>
        <v>Suppressed</v>
      </c>
      <c r="O390" s="1" t="str">
        <f t="shared" si="31"/>
        <v/>
      </c>
      <c r="P390" s="1"/>
      <c r="Q390" s="1">
        <v>919</v>
      </c>
      <c r="R390" s="1" t="str">
        <f t="shared" si="34"/>
        <v>2</v>
      </c>
      <c r="S390" s="1">
        <v>125</v>
      </c>
      <c r="T390" s="1" t="str">
        <f t="shared" si="32"/>
        <v>1</v>
      </c>
      <c r="U390" s="1">
        <v>-33.617103999999998</v>
      </c>
      <c r="V390" s="3">
        <v>148.43642199999999</v>
      </c>
    </row>
    <row r="391" spans="1:22" x14ac:dyDescent="0.35">
      <c r="A391" s="22" t="s">
        <v>1330</v>
      </c>
      <c r="B391" s="1" t="s">
        <v>1331</v>
      </c>
      <c r="C391" s="1" t="s">
        <v>1332</v>
      </c>
      <c r="D391" s="1" t="s">
        <v>390</v>
      </c>
      <c r="E391" s="1" t="s">
        <v>107</v>
      </c>
      <c r="F391" s="1" t="s">
        <v>57</v>
      </c>
      <c r="G391" s="1">
        <f t="shared" si="30"/>
        <v>2</v>
      </c>
      <c r="H391" s="1" t="s">
        <v>92</v>
      </c>
      <c r="I391" s="1" t="s">
        <v>49</v>
      </c>
      <c r="J391" s="23" t="s">
        <v>50</v>
      </c>
      <c r="K391" s="2" t="s">
        <v>51</v>
      </c>
      <c r="L391" s="1">
        <v>226</v>
      </c>
      <c r="M391" s="1">
        <v>47</v>
      </c>
      <c r="N391" s="1" t="str">
        <f t="shared" si="33"/>
        <v>Published</v>
      </c>
      <c r="O391" s="1">
        <f t="shared" si="31"/>
        <v>106.22</v>
      </c>
      <c r="P391" s="1">
        <v>6</v>
      </c>
      <c r="Q391" s="1">
        <v>847</v>
      </c>
      <c r="R391" s="1" t="str">
        <f t="shared" si="34"/>
        <v>1</v>
      </c>
      <c r="S391" s="1">
        <v>149</v>
      </c>
      <c r="T391" s="1" t="str">
        <f t="shared" si="32"/>
        <v>2</v>
      </c>
      <c r="U391" s="1">
        <v>-28.818328999999999</v>
      </c>
      <c r="V391" s="3">
        <v>153.322306</v>
      </c>
    </row>
    <row r="392" spans="1:22" x14ac:dyDescent="0.35">
      <c r="A392" s="22" t="s">
        <v>1333</v>
      </c>
      <c r="B392" s="1" t="s">
        <v>1334</v>
      </c>
      <c r="C392" s="1" t="s">
        <v>1335</v>
      </c>
      <c r="D392" s="1" t="s">
        <v>220</v>
      </c>
      <c r="E392" s="1" t="s">
        <v>107</v>
      </c>
      <c r="F392" s="1" t="s">
        <v>57</v>
      </c>
      <c r="G392" s="1">
        <f t="shared" si="30"/>
        <v>2</v>
      </c>
      <c r="H392" s="1" t="s">
        <v>92</v>
      </c>
      <c r="I392" s="1" t="s">
        <v>49</v>
      </c>
      <c r="J392" s="23" t="s">
        <v>50</v>
      </c>
      <c r="K392" s="2" t="s">
        <v>51</v>
      </c>
      <c r="L392" s="1">
        <v>57</v>
      </c>
      <c r="M392" s="1"/>
      <c r="N392" s="1" t="str">
        <f t="shared" si="33"/>
        <v>Suppressed</v>
      </c>
      <c r="O392" s="1" t="str">
        <f t="shared" si="31"/>
        <v/>
      </c>
      <c r="P392" s="1">
        <v>16</v>
      </c>
      <c r="Q392" s="1">
        <v>1048</v>
      </c>
      <c r="R392" s="1" t="str">
        <f t="shared" si="34"/>
        <v>3</v>
      </c>
      <c r="S392" s="1">
        <v>58</v>
      </c>
      <c r="T392" s="1" t="str">
        <f t="shared" si="32"/>
        <v>1</v>
      </c>
      <c r="U392" s="1">
        <v>-28.609511999999999</v>
      </c>
      <c r="V392" s="3">
        <v>153.439753</v>
      </c>
    </row>
    <row r="393" spans="1:22" x14ac:dyDescent="0.35">
      <c r="A393" s="22" t="s">
        <v>1336</v>
      </c>
      <c r="B393" s="1" t="s">
        <v>1337</v>
      </c>
      <c r="C393" s="1" t="s">
        <v>1338</v>
      </c>
      <c r="D393" s="1" t="s">
        <v>186</v>
      </c>
      <c r="E393" s="1" t="s">
        <v>187</v>
      </c>
      <c r="F393" s="1" t="s">
        <v>47</v>
      </c>
      <c r="G393" s="1">
        <f t="shared" si="30"/>
        <v>1</v>
      </c>
      <c r="H393" s="1" t="s">
        <v>63</v>
      </c>
      <c r="I393" s="1" t="s">
        <v>49</v>
      </c>
      <c r="J393" s="23" t="s">
        <v>50</v>
      </c>
      <c r="K393" s="2" t="s">
        <v>51</v>
      </c>
      <c r="L393" s="1">
        <v>545</v>
      </c>
      <c r="M393" s="1">
        <v>10</v>
      </c>
      <c r="N393" s="1" t="str">
        <f t="shared" si="33"/>
        <v>Published</v>
      </c>
      <c r="O393" s="1">
        <f t="shared" si="31"/>
        <v>54.5</v>
      </c>
      <c r="P393" s="1">
        <v>50</v>
      </c>
      <c r="Q393" s="1">
        <v>1049</v>
      </c>
      <c r="R393" s="1" t="str">
        <f t="shared" si="34"/>
        <v>3</v>
      </c>
      <c r="S393" s="1">
        <v>61</v>
      </c>
      <c r="T393" s="1" t="str">
        <f t="shared" si="32"/>
        <v>3</v>
      </c>
      <c r="U393" s="1">
        <v>-33.420749999999998</v>
      </c>
      <c r="V393" s="3">
        <v>151.33448999999999</v>
      </c>
    </row>
    <row r="394" spans="1:22" x14ac:dyDescent="0.35">
      <c r="A394" s="22" t="s">
        <v>1339</v>
      </c>
      <c r="B394" s="1" t="s">
        <v>1340</v>
      </c>
      <c r="C394" s="1" t="s">
        <v>1341</v>
      </c>
      <c r="D394" s="1" t="s">
        <v>1342</v>
      </c>
      <c r="E394" s="1" t="s">
        <v>68</v>
      </c>
      <c r="F394" s="1" t="s">
        <v>57</v>
      </c>
      <c r="G394" s="1">
        <f t="shared" si="30"/>
        <v>2</v>
      </c>
      <c r="H394" s="1" t="s">
        <v>86</v>
      </c>
      <c r="I394" s="1" t="s">
        <v>49</v>
      </c>
      <c r="J394" s="23" t="s">
        <v>50</v>
      </c>
      <c r="K394" s="2" t="s">
        <v>51</v>
      </c>
      <c r="L394" s="1">
        <v>181</v>
      </c>
      <c r="M394" s="1">
        <v>28</v>
      </c>
      <c r="N394" s="1" t="str">
        <f t="shared" si="33"/>
        <v>Published</v>
      </c>
      <c r="O394" s="1">
        <f t="shared" si="31"/>
        <v>50.680000000000007</v>
      </c>
      <c r="P394" s="1">
        <v>17</v>
      </c>
      <c r="Q394" s="1">
        <v>896</v>
      </c>
      <c r="R394" s="1" t="str">
        <f t="shared" si="34"/>
        <v>1</v>
      </c>
      <c r="S394" s="1">
        <v>139</v>
      </c>
      <c r="T394" s="1" t="str">
        <f t="shared" si="32"/>
        <v>2</v>
      </c>
      <c r="U394" s="1">
        <v>-34.750563</v>
      </c>
      <c r="V394" s="3">
        <v>149.71777299999999</v>
      </c>
    </row>
    <row r="395" spans="1:22" x14ac:dyDescent="0.35">
      <c r="A395" s="22" t="s">
        <v>1343</v>
      </c>
      <c r="B395" s="1" t="s">
        <v>1344</v>
      </c>
      <c r="C395" s="1" t="s">
        <v>1341</v>
      </c>
      <c r="D395" s="1" t="s">
        <v>1342</v>
      </c>
      <c r="E395" s="1" t="s">
        <v>68</v>
      </c>
      <c r="F395" s="1" t="s">
        <v>57</v>
      </c>
      <c r="G395" s="1">
        <f t="shared" si="30"/>
        <v>2</v>
      </c>
      <c r="H395" s="1" t="s">
        <v>86</v>
      </c>
      <c r="I395" s="1" t="s">
        <v>49</v>
      </c>
      <c r="J395" s="23" t="s">
        <v>50</v>
      </c>
      <c r="K395" s="2" t="s">
        <v>51</v>
      </c>
      <c r="L395" s="1">
        <v>148</v>
      </c>
      <c r="M395" s="1">
        <v>11</v>
      </c>
      <c r="N395" s="1" t="str">
        <f t="shared" si="33"/>
        <v>Published</v>
      </c>
      <c r="O395" s="1">
        <f t="shared" si="31"/>
        <v>16.28</v>
      </c>
      <c r="P395" s="1">
        <v>7</v>
      </c>
      <c r="Q395" s="1">
        <v>966</v>
      </c>
      <c r="R395" s="1" t="str">
        <f t="shared" si="34"/>
        <v>2</v>
      </c>
      <c r="S395" s="1">
        <v>107</v>
      </c>
      <c r="T395" s="1" t="str">
        <f t="shared" si="32"/>
        <v>2</v>
      </c>
      <c r="U395" s="1">
        <v>-34.762599999999999</v>
      </c>
      <c r="V395" s="3">
        <v>149.730388</v>
      </c>
    </row>
    <row r="396" spans="1:22" x14ac:dyDescent="0.35">
      <c r="A396" s="22" t="s">
        <v>1345</v>
      </c>
      <c r="B396" s="1" t="s">
        <v>1346</v>
      </c>
      <c r="C396" s="1" t="s">
        <v>1347</v>
      </c>
      <c r="D396" s="1" t="s">
        <v>1342</v>
      </c>
      <c r="E396" s="1" t="s">
        <v>68</v>
      </c>
      <c r="F396" s="1" t="s">
        <v>57</v>
      </c>
      <c r="G396" s="1">
        <f t="shared" si="30"/>
        <v>2</v>
      </c>
      <c r="H396" s="1" t="s">
        <v>86</v>
      </c>
      <c r="I396" s="1" t="s">
        <v>49</v>
      </c>
      <c r="J396" s="23" t="s">
        <v>50</v>
      </c>
      <c r="K396" s="2" t="s">
        <v>51</v>
      </c>
      <c r="L396" s="1">
        <v>188</v>
      </c>
      <c r="M396" s="1">
        <v>14</v>
      </c>
      <c r="N396" s="1" t="str">
        <f t="shared" si="33"/>
        <v>Published</v>
      </c>
      <c r="O396" s="1">
        <f t="shared" si="31"/>
        <v>26.320000000000004</v>
      </c>
      <c r="P396" s="1">
        <v>8</v>
      </c>
      <c r="Q396" s="1">
        <v>919</v>
      </c>
      <c r="R396" s="1" t="str">
        <f t="shared" si="34"/>
        <v>2</v>
      </c>
      <c r="S396" s="1">
        <v>139</v>
      </c>
      <c r="T396" s="1" t="str">
        <f t="shared" si="32"/>
        <v>2</v>
      </c>
      <c r="U396" s="1">
        <v>-34.744579000000002</v>
      </c>
      <c r="V396" s="3">
        <v>149.73504299999999</v>
      </c>
    </row>
    <row r="397" spans="1:22" x14ac:dyDescent="0.35">
      <c r="A397" s="22" t="s">
        <v>1348</v>
      </c>
      <c r="B397" s="1" t="s">
        <v>1349</v>
      </c>
      <c r="C397" s="1" t="s">
        <v>1341</v>
      </c>
      <c r="D397" s="1" t="s">
        <v>1342</v>
      </c>
      <c r="E397" s="1" t="s">
        <v>68</v>
      </c>
      <c r="F397" s="1" t="s">
        <v>57</v>
      </c>
      <c r="G397" s="1">
        <f t="shared" si="30"/>
        <v>2</v>
      </c>
      <c r="H397" s="1" t="s">
        <v>86</v>
      </c>
      <c r="I397" s="1" t="s">
        <v>49</v>
      </c>
      <c r="J397" s="23" t="s">
        <v>50</v>
      </c>
      <c r="K397" s="2" t="s">
        <v>51</v>
      </c>
      <c r="L397" s="1">
        <v>160</v>
      </c>
      <c r="M397" s="1">
        <v>18</v>
      </c>
      <c r="N397" s="1" t="str">
        <f t="shared" si="33"/>
        <v>Published</v>
      </c>
      <c r="O397" s="1">
        <f t="shared" si="31"/>
        <v>28.799999999999997</v>
      </c>
      <c r="P397" s="1">
        <v>16</v>
      </c>
      <c r="Q397" s="1">
        <v>905</v>
      </c>
      <c r="R397" s="1" t="str">
        <f t="shared" si="34"/>
        <v>2</v>
      </c>
      <c r="S397" s="1">
        <v>139</v>
      </c>
      <c r="T397" s="1" t="str">
        <f t="shared" si="32"/>
        <v>2</v>
      </c>
      <c r="U397" s="1">
        <v>-34.760039999999996</v>
      </c>
      <c r="V397" s="3">
        <v>149.71231399999999</v>
      </c>
    </row>
    <row r="398" spans="1:22" x14ac:dyDescent="0.35">
      <c r="A398" s="22" t="s">
        <v>1350</v>
      </c>
      <c r="B398" s="1" t="s">
        <v>1351</v>
      </c>
      <c r="C398" s="1" t="s">
        <v>1352</v>
      </c>
      <c r="D398" s="1" t="s">
        <v>280</v>
      </c>
      <c r="E398" s="1" t="s">
        <v>281</v>
      </c>
      <c r="F398" s="1" t="s">
        <v>57</v>
      </c>
      <c r="G398" s="1">
        <f t="shared" si="30"/>
        <v>2</v>
      </c>
      <c r="H398" s="1" t="s">
        <v>92</v>
      </c>
      <c r="I398" s="1" t="s">
        <v>49</v>
      </c>
      <c r="J398" s="23" t="s">
        <v>50</v>
      </c>
      <c r="K398" s="2" t="s">
        <v>51</v>
      </c>
      <c r="L398" s="1">
        <v>476</v>
      </c>
      <c r="M398" s="1">
        <v>27</v>
      </c>
      <c r="N398" s="1" t="str">
        <f t="shared" si="33"/>
        <v>Published</v>
      </c>
      <c r="O398" s="1">
        <f t="shared" si="31"/>
        <v>128.52000000000001</v>
      </c>
      <c r="P398" s="1">
        <v>9</v>
      </c>
      <c r="Q398" s="1">
        <v>907</v>
      </c>
      <c r="R398" s="1" t="str">
        <f t="shared" si="34"/>
        <v>2</v>
      </c>
      <c r="S398" s="1">
        <v>132</v>
      </c>
      <c r="T398" s="1" t="str">
        <f t="shared" si="32"/>
        <v>3</v>
      </c>
      <c r="U398" s="1">
        <v>-29.684989999999999</v>
      </c>
      <c r="V398" s="3">
        <v>152.933325</v>
      </c>
    </row>
    <row r="399" spans="1:22" x14ac:dyDescent="0.35">
      <c r="A399" s="22" t="s">
        <v>1353</v>
      </c>
      <c r="B399" s="1" t="s">
        <v>1354</v>
      </c>
      <c r="C399" s="1" t="s">
        <v>1355</v>
      </c>
      <c r="D399" s="1" t="s">
        <v>280</v>
      </c>
      <c r="E399" s="1" t="s">
        <v>281</v>
      </c>
      <c r="F399" s="1" t="s">
        <v>57</v>
      </c>
      <c r="G399" s="1">
        <f t="shared" si="30"/>
        <v>2</v>
      </c>
      <c r="H399" s="1" t="s">
        <v>92</v>
      </c>
      <c r="I399" s="1" t="s">
        <v>49</v>
      </c>
      <c r="J399" s="23" t="s">
        <v>50</v>
      </c>
      <c r="K399" s="2" t="s">
        <v>51</v>
      </c>
      <c r="L399" s="1">
        <v>564</v>
      </c>
      <c r="M399" s="1">
        <v>27</v>
      </c>
      <c r="N399" s="1" t="str">
        <f t="shared" si="33"/>
        <v>Published</v>
      </c>
      <c r="O399" s="1">
        <f t="shared" si="31"/>
        <v>152.28</v>
      </c>
      <c r="P399" s="1">
        <v>3</v>
      </c>
      <c r="Q399" s="1">
        <v>905</v>
      </c>
      <c r="R399" s="1" t="str">
        <f t="shared" si="34"/>
        <v>2</v>
      </c>
      <c r="S399" s="1">
        <v>138</v>
      </c>
      <c r="T399" s="1" t="str">
        <f t="shared" si="32"/>
        <v>3</v>
      </c>
      <c r="U399" s="1">
        <v>-29.709892</v>
      </c>
      <c r="V399" s="3">
        <v>152.93712600000001</v>
      </c>
    </row>
    <row r="400" spans="1:22" x14ac:dyDescent="0.35">
      <c r="A400" s="22" t="s">
        <v>1356</v>
      </c>
      <c r="B400" s="1" t="s">
        <v>1357</v>
      </c>
      <c r="C400" s="1" t="s">
        <v>451</v>
      </c>
      <c r="D400" s="1" t="s">
        <v>169</v>
      </c>
      <c r="E400" s="1" t="s">
        <v>170</v>
      </c>
      <c r="F400" s="1" t="s">
        <v>47</v>
      </c>
      <c r="G400" s="1">
        <f t="shared" si="30"/>
        <v>1</v>
      </c>
      <c r="H400" s="1" t="s">
        <v>48</v>
      </c>
      <c r="I400" s="1" t="s">
        <v>49</v>
      </c>
      <c r="J400" s="23" t="s">
        <v>50</v>
      </c>
      <c r="K400" s="2" t="s">
        <v>51</v>
      </c>
      <c r="L400" s="1">
        <v>590</v>
      </c>
      <c r="M400" s="1">
        <v>1</v>
      </c>
      <c r="N400" s="1" t="str">
        <f t="shared" si="33"/>
        <v>Published</v>
      </c>
      <c r="O400" s="1">
        <f t="shared" si="31"/>
        <v>5.9</v>
      </c>
      <c r="P400" s="1">
        <v>93</v>
      </c>
      <c r="Q400" s="1">
        <v>973</v>
      </c>
      <c r="R400" s="1" t="str">
        <f t="shared" si="34"/>
        <v>2</v>
      </c>
      <c r="S400" s="1">
        <v>117</v>
      </c>
      <c r="T400" s="1" t="str">
        <f t="shared" si="32"/>
        <v>3</v>
      </c>
      <c r="U400" s="1">
        <v>-33.834263999999997</v>
      </c>
      <c r="V400" s="3">
        <v>151.004671</v>
      </c>
    </row>
    <row r="401" spans="1:22" x14ac:dyDescent="0.35">
      <c r="A401" s="22" t="s">
        <v>1358</v>
      </c>
      <c r="B401" s="1" t="s">
        <v>1359</v>
      </c>
      <c r="C401" s="1" t="s">
        <v>1360</v>
      </c>
      <c r="D401" s="1" t="s">
        <v>169</v>
      </c>
      <c r="E401" s="1" t="s">
        <v>170</v>
      </c>
      <c r="F401" s="1" t="s">
        <v>47</v>
      </c>
      <c r="G401" s="1">
        <f t="shared" si="30"/>
        <v>1</v>
      </c>
      <c r="H401" s="1" t="s">
        <v>48</v>
      </c>
      <c r="I401" s="1" t="s">
        <v>49</v>
      </c>
      <c r="J401" s="23" t="s">
        <v>50</v>
      </c>
      <c r="K401" s="2" t="s">
        <v>51</v>
      </c>
      <c r="L401" s="1">
        <v>323</v>
      </c>
      <c r="M401" s="1">
        <v>2</v>
      </c>
      <c r="N401" s="1" t="str">
        <f t="shared" si="33"/>
        <v>Published</v>
      </c>
      <c r="O401" s="1">
        <f t="shared" si="31"/>
        <v>6.46</v>
      </c>
      <c r="P401" s="1">
        <v>91</v>
      </c>
      <c r="Q401" s="1">
        <v>933</v>
      </c>
      <c r="R401" s="1" t="str">
        <f t="shared" si="34"/>
        <v>2</v>
      </c>
      <c r="S401" s="1">
        <v>162</v>
      </c>
      <c r="T401" s="1" t="str">
        <f t="shared" si="32"/>
        <v>3</v>
      </c>
      <c r="U401" s="1">
        <v>-33.848289000000001</v>
      </c>
      <c r="V401" s="3">
        <v>150.99588299999999</v>
      </c>
    </row>
    <row r="402" spans="1:22" x14ac:dyDescent="0.35">
      <c r="A402" s="22" t="s">
        <v>1361</v>
      </c>
      <c r="B402" s="1" t="s">
        <v>1362</v>
      </c>
      <c r="C402" s="1" t="s">
        <v>1363</v>
      </c>
      <c r="D402" s="1" t="s">
        <v>415</v>
      </c>
      <c r="E402" s="1" t="s">
        <v>91</v>
      </c>
      <c r="F402" s="1" t="s">
        <v>69</v>
      </c>
      <c r="G402" s="1">
        <f t="shared" si="30"/>
        <v>3</v>
      </c>
      <c r="H402" s="1" t="s">
        <v>92</v>
      </c>
      <c r="I402" s="1" t="s">
        <v>49</v>
      </c>
      <c r="J402" s="23" t="s">
        <v>50</v>
      </c>
      <c r="K402" s="2" t="s">
        <v>51</v>
      </c>
      <c r="L402" s="1">
        <v>23</v>
      </c>
      <c r="M402" s="1">
        <v>26</v>
      </c>
      <c r="N402" s="1" t="str">
        <f t="shared" si="33"/>
        <v>Published</v>
      </c>
      <c r="O402" s="1">
        <f t="shared" si="31"/>
        <v>5.98</v>
      </c>
      <c r="P402" s="1">
        <v>0</v>
      </c>
      <c r="Q402" s="1">
        <v>918</v>
      </c>
      <c r="R402" s="1" t="str">
        <f t="shared" si="34"/>
        <v>2</v>
      </c>
      <c r="S402" s="1">
        <v>91</v>
      </c>
      <c r="T402" s="1" t="str">
        <f t="shared" si="32"/>
        <v>1</v>
      </c>
      <c r="U402" s="1">
        <v>-29.585367000000002</v>
      </c>
      <c r="V402" s="3">
        <v>150.33241699999999</v>
      </c>
    </row>
    <row r="403" spans="1:22" x14ac:dyDescent="0.35">
      <c r="A403" s="22" t="s">
        <v>1364</v>
      </c>
      <c r="B403" s="1" t="s">
        <v>1365</v>
      </c>
      <c r="C403" s="1" t="s">
        <v>1366</v>
      </c>
      <c r="D403" s="1" t="s">
        <v>720</v>
      </c>
      <c r="E403" s="1" t="s">
        <v>261</v>
      </c>
      <c r="F403" s="1" t="s">
        <v>69</v>
      </c>
      <c r="G403" s="1">
        <f t="shared" si="30"/>
        <v>3</v>
      </c>
      <c r="H403" s="1" t="s">
        <v>70</v>
      </c>
      <c r="I403" s="1" t="s">
        <v>49</v>
      </c>
      <c r="J403" s="23" t="s">
        <v>50</v>
      </c>
      <c r="K403" s="2" t="s">
        <v>51</v>
      </c>
      <c r="L403" s="1">
        <v>5</v>
      </c>
      <c r="M403" s="1">
        <v>0</v>
      </c>
      <c r="N403" s="1" t="str">
        <f t="shared" si="33"/>
        <v>Published</v>
      </c>
      <c r="O403" s="1">
        <f t="shared" si="31"/>
        <v>0</v>
      </c>
      <c r="P403" s="1">
        <v>0</v>
      </c>
      <c r="Q403" s="1">
        <v>893</v>
      </c>
      <c r="R403" s="1" t="str">
        <f t="shared" si="34"/>
        <v>1</v>
      </c>
      <c r="S403" s="1">
        <v>235</v>
      </c>
      <c r="T403" s="1" t="str">
        <f t="shared" si="32"/>
        <v>1</v>
      </c>
      <c r="U403" s="1">
        <v>-33.997714000000002</v>
      </c>
      <c r="V403" s="3">
        <v>148.400139</v>
      </c>
    </row>
    <row r="404" spans="1:22" x14ac:dyDescent="0.35">
      <c r="A404" s="22" t="s">
        <v>1367</v>
      </c>
      <c r="B404" s="1" t="s">
        <v>1368</v>
      </c>
      <c r="C404" s="1" t="s">
        <v>1369</v>
      </c>
      <c r="D404" s="1" t="s">
        <v>325</v>
      </c>
      <c r="E404" s="1" t="s">
        <v>276</v>
      </c>
      <c r="F404" s="1" t="s">
        <v>57</v>
      </c>
      <c r="G404" s="1">
        <f t="shared" si="30"/>
        <v>2</v>
      </c>
      <c r="H404" s="1" t="s">
        <v>58</v>
      </c>
      <c r="I404" s="1" t="s">
        <v>49</v>
      </c>
      <c r="J404" s="23" t="s">
        <v>50</v>
      </c>
      <c r="K404" s="2" t="s">
        <v>51</v>
      </c>
      <c r="L404" s="1">
        <v>19</v>
      </c>
      <c r="M404" s="1">
        <v>95</v>
      </c>
      <c r="N404" s="1" t="str">
        <f t="shared" si="33"/>
        <v>Published</v>
      </c>
      <c r="O404" s="1">
        <f t="shared" si="31"/>
        <v>18.05</v>
      </c>
      <c r="P404" s="1"/>
      <c r="Q404" s="1">
        <v>712</v>
      </c>
      <c r="R404" s="1" t="str">
        <f t="shared" si="34"/>
        <v>1</v>
      </c>
      <c r="S404" s="1">
        <v>175</v>
      </c>
      <c r="T404" s="1" t="str">
        <f t="shared" si="32"/>
        <v>1</v>
      </c>
      <c r="U404" s="1">
        <v>-31.059615999999998</v>
      </c>
      <c r="V404" s="3">
        <v>152.80275700000001</v>
      </c>
    </row>
    <row r="405" spans="1:22" x14ac:dyDescent="0.35">
      <c r="A405" s="22" t="s">
        <v>1370</v>
      </c>
      <c r="B405" s="1" t="s">
        <v>1371</v>
      </c>
      <c r="C405" s="1" t="s">
        <v>1372</v>
      </c>
      <c r="D405" s="1" t="s">
        <v>180</v>
      </c>
      <c r="E405" s="1" t="s">
        <v>181</v>
      </c>
      <c r="F405" s="1" t="s">
        <v>47</v>
      </c>
      <c r="G405" s="1">
        <f t="shared" si="30"/>
        <v>1</v>
      </c>
      <c r="H405" s="1" t="s">
        <v>182</v>
      </c>
      <c r="I405" s="1" t="s">
        <v>49</v>
      </c>
      <c r="J405" s="23" t="s">
        <v>50</v>
      </c>
      <c r="K405" s="2" t="s">
        <v>51</v>
      </c>
      <c r="L405" s="1">
        <v>365</v>
      </c>
      <c r="M405" s="1"/>
      <c r="N405" s="1" t="str">
        <f t="shared" si="33"/>
        <v>Suppressed</v>
      </c>
      <c r="O405" s="1" t="str">
        <f t="shared" si="31"/>
        <v/>
      </c>
      <c r="P405" s="1">
        <v>85</v>
      </c>
      <c r="Q405" s="1">
        <v>973</v>
      </c>
      <c r="R405" s="1" t="str">
        <f t="shared" si="34"/>
        <v>2</v>
      </c>
      <c r="S405" s="1">
        <v>137</v>
      </c>
      <c r="T405" s="1" t="str">
        <f t="shared" si="32"/>
        <v>3</v>
      </c>
      <c r="U405" s="1">
        <v>-33.900739999999999</v>
      </c>
      <c r="V405" s="3">
        <v>150.86897200000001</v>
      </c>
    </row>
    <row r="406" spans="1:22" x14ac:dyDescent="0.35">
      <c r="A406" s="22" t="s">
        <v>1373</v>
      </c>
      <c r="B406" s="1" t="s">
        <v>1374</v>
      </c>
      <c r="C406" s="1" t="s">
        <v>1375</v>
      </c>
      <c r="D406" s="1" t="s">
        <v>1376</v>
      </c>
      <c r="E406" s="1" t="s">
        <v>147</v>
      </c>
      <c r="F406" s="1" t="s">
        <v>47</v>
      </c>
      <c r="G406" s="1">
        <f t="shared" si="30"/>
        <v>1</v>
      </c>
      <c r="H406" s="1" t="s">
        <v>148</v>
      </c>
      <c r="I406" s="1" t="s">
        <v>49</v>
      </c>
      <c r="J406" s="23" t="s">
        <v>50</v>
      </c>
      <c r="K406" s="2" t="s">
        <v>51</v>
      </c>
      <c r="L406" s="1">
        <v>367</v>
      </c>
      <c r="M406" s="1"/>
      <c r="N406" s="1" t="str">
        <f t="shared" si="33"/>
        <v>Suppressed</v>
      </c>
      <c r="O406" s="1" t="str">
        <f t="shared" si="31"/>
        <v/>
      </c>
      <c r="P406" s="1">
        <v>39</v>
      </c>
      <c r="Q406" s="1">
        <v>1175</v>
      </c>
      <c r="R406" s="1" t="str">
        <f t="shared" si="34"/>
        <v>4</v>
      </c>
      <c r="S406" s="1">
        <v>0</v>
      </c>
      <c r="T406" s="1" t="str">
        <f t="shared" si="32"/>
        <v>3</v>
      </c>
      <c r="U406" s="1">
        <v>-33.825870000000002</v>
      </c>
      <c r="V406" s="3">
        <v>151.18325200000001</v>
      </c>
    </row>
    <row r="407" spans="1:22" x14ac:dyDescent="0.35">
      <c r="A407" s="22" t="s">
        <v>1377</v>
      </c>
      <c r="B407" s="1" t="s">
        <v>1378</v>
      </c>
      <c r="C407" s="1" t="s">
        <v>1379</v>
      </c>
      <c r="D407" s="1" t="s">
        <v>720</v>
      </c>
      <c r="E407" s="1" t="s">
        <v>261</v>
      </c>
      <c r="F407" s="1" t="s">
        <v>69</v>
      </c>
      <c r="G407" s="1">
        <f t="shared" si="30"/>
        <v>3</v>
      </c>
      <c r="H407" s="1" t="s">
        <v>70</v>
      </c>
      <c r="I407" s="1" t="s">
        <v>49</v>
      </c>
      <c r="J407" s="23" t="s">
        <v>50</v>
      </c>
      <c r="K407" s="2" t="s">
        <v>51</v>
      </c>
      <c r="L407" s="1">
        <v>173</v>
      </c>
      <c r="M407" s="1">
        <v>9</v>
      </c>
      <c r="N407" s="1" t="str">
        <f t="shared" si="33"/>
        <v>Published</v>
      </c>
      <c r="O407" s="1">
        <f t="shared" si="31"/>
        <v>15.57</v>
      </c>
      <c r="P407" s="1"/>
      <c r="Q407" s="1">
        <v>965</v>
      </c>
      <c r="R407" s="1" t="str">
        <f t="shared" si="34"/>
        <v>2</v>
      </c>
      <c r="S407" s="1">
        <v>102</v>
      </c>
      <c r="T407" s="1" t="str">
        <f t="shared" si="32"/>
        <v>2</v>
      </c>
      <c r="U407" s="1">
        <v>-33.892296000000002</v>
      </c>
      <c r="V407" s="3">
        <v>148.16754399999999</v>
      </c>
    </row>
    <row r="408" spans="1:22" x14ac:dyDescent="0.35">
      <c r="A408" s="22" t="s">
        <v>1380</v>
      </c>
      <c r="B408" s="1" t="s">
        <v>1381</v>
      </c>
      <c r="C408" s="1" t="s">
        <v>1382</v>
      </c>
      <c r="D408" s="1" t="s">
        <v>798</v>
      </c>
      <c r="E408" s="1" t="s">
        <v>56</v>
      </c>
      <c r="F408" s="1" t="s">
        <v>57</v>
      </c>
      <c r="G408" s="1">
        <f t="shared" si="30"/>
        <v>2</v>
      </c>
      <c r="H408" s="1" t="s">
        <v>58</v>
      </c>
      <c r="I408" s="1" t="s">
        <v>49</v>
      </c>
      <c r="J408" s="23" t="s">
        <v>50</v>
      </c>
      <c r="K408" s="2" t="s">
        <v>51</v>
      </c>
      <c r="L408" s="1">
        <v>53</v>
      </c>
      <c r="M408" s="1">
        <v>19</v>
      </c>
      <c r="N408" s="1" t="str">
        <f t="shared" si="33"/>
        <v>Published</v>
      </c>
      <c r="O408" s="1">
        <f t="shared" si="31"/>
        <v>10.07</v>
      </c>
      <c r="P408" s="1">
        <v>0</v>
      </c>
      <c r="Q408" s="1">
        <v>936</v>
      </c>
      <c r="R408" s="1" t="str">
        <f t="shared" si="34"/>
        <v>2</v>
      </c>
      <c r="S408" s="1">
        <v>114</v>
      </c>
      <c r="T408" s="1" t="str">
        <f t="shared" si="32"/>
        <v>1</v>
      </c>
      <c r="U408" s="1">
        <v>-32.427627999999999</v>
      </c>
      <c r="V408" s="3">
        <v>151.53833499999999</v>
      </c>
    </row>
    <row r="409" spans="1:22" x14ac:dyDescent="0.35">
      <c r="A409" s="22" t="s">
        <v>1383</v>
      </c>
      <c r="B409" s="1" t="s">
        <v>1384</v>
      </c>
      <c r="C409" s="1" t="s">
        <v>1385</v>
      </c>
      <c r="D409" s="1" t="s">
        <v>62</v>
      </c>
      <c r="E409" s="1" t="s">
        <v>56</v>
      </c>
      <c r="F409" s="1" t="s">
        <v>57</v>
      </c>
      <c r="G409" s="1">
        <f t="shared" si="30"/>
        <v>2</v>
      </c>
      <c r="H409" s="1" t="s">
        <v>58</v>
      </c>
      <c r="I409" s="1" t="s">
        <v>49</v>
      </c>
      <c r="J409" s="23" t="s">
        <v>50</v>
      </c>
      <c r="K409" s="2" t="s">
        <v>51</v>
      </c>
      <c r="L409" s="1">
        <v>186</v>
      </c>
      <c r="M409" s="1">
        <v>17</v>
      </c>
      <c r="N409" s="1" t="str">
        <f t="shared" si="33"/>
        <v>Published</v>
      </c>
      <c r="O409" s="1">
        <f t="shared" si="31"/>
        <v>31.62</v>
      </c>
      <c r="P409" s="1"/>
      <c r="Q409" s="1">
        <v>935</v>
      </c>
      <c r="R409" s="1" t="str">
        <f t="shared" si="34"/>
        <v>2</v>
      </c>
      <c r="S409" s="1">
        <v>134</v>
      </c>
      <c r="T409" s="1" t="str">
        <f t="shared" si="32"/>
        <v>2</v>
      </c>
      <c r="U409" s="1">
        <v>-32.680083000000003</v>
      </c>
      <c r="V409" s="3">
        <v>151.38721000000001</v>
      </c>
    </row>
    <row r="410" spans="1:22" x14ac:dyDescent="0.35">
      <c r="A410" s="22" t="s">
        <v>1386</v>
      </c>
      <c r="B410" s="1" t="s">
        <v>1387</v>
      </c>
      <c r="C410" s="1" t="s">
        <v>1388</v>
      </c>
      <c r="D410" s="1" t="s">
        <v>169</v>
      </c>
      <c r="E410" s="1" t="s">
        <v>170</v>
      </c>
      <c r="F410" s="1" t="s">
        <v>47</v>
      </c>
      <c r="G410" s="1">
        <f t="shared" si="30"/>
        <v>1</v>
      </c>
      <c r="H410" s="1" t="s">
        <v>48</v>
      </c>
      <c r="I410" s="1" t="s">
        <v>49</v>
      </c>
      <c r="J410" s="23" t="s">
        <v>50</v>
      </c>
      <c r="K410" s="2" t="s">
        <v>51</v>
      </c>
      <c r="L410" s="1">
        <v>540</v>
      </c>
      <c r="M410" s="1">
        <v>1</v>
      </c>
      <c r="N410" s="1" t="str">
        <f t="shared" si="33"/>
        <v>Published</v>
      </c>
      <c r="O410" s="1">
        <f t="shared" si="31"/>
        <v>5.4</v>
      </c>
      <c r="P410" s="1">
        <v>71</v>
      </c>
      <c r="Q410" s="1">
        <v>1081</v>
      </c>
      <c r="R410" s="1" t="str">
        <f t="shared" si="34"/>
        <v>3</v>
      </c>
      <c r="S410" s="1">
        <v>53</v>
      </c>
      <c r="T410" s="1" t="str">
        <f t="shared" si="32"/>
        <v>3</v>
      </c>
      <c r="U410" s="1">
        <v>-33.828043000000001</v>
      </c>
      <c r="V410" s="3">
        <v>150.94111100000001</v>
      </c>
    </row>
    <row r="411" spans="1:22" x14ac:dyDescent="0.35">
      <c r="A411" s="22" t="s">
        <v>1389</v>
      </c>
      <c r="B411" s="1" t="s">
        <v>1390</v>
      </c>
      <c r="C411" s="1" t="s">
        <v>310</v>
      </c>
      <c r="D411" s="1" t="s">
        <v>310</v>
      </c>
      <c r="E411" s="1" t="s">
        <v>80</v>
      </c>
      <c r="F411" s="1" t="s">
        <v>69</v>
      </c>
      <c r="G411" s="1">
        <f t="shared" si="30"/>
        <v>3</v>
      </c>
      <c r="H411" s="1" t="s">
        <v>70</v>
      </c>
      <c r="I411" s="1" t="s">
        <v>49</v>
      </c>
      <c r="J411" s="23" t="s">
        <v>50</v>
      </c>
      <c r="K411" s="2" t="s">
        <v>51</v>
      </c>
      <c r="L411" s="1">
        <v>433</v>
      </c>
      <c r="M411" s="1">
        <v>29</v>
      </c>
      <c r="N411" s="1" t="str">
        <f t="shared" si="33"/>
        <v>Published</v>
      </c>
      <c r="O411" s="1">
        <f t="shared" si="31"/>
        <v>125.57</v>
      </c>
      <c r="P411" s="1">
        <v>51</v>
      </c>
      <c r="Q411" s="1">
        <v>881</v>
      </c>
      <c r="R411" s="1" t="str">
        <f t="shared" si="34"/>
        <v>1</v>
      </c>
      <c r="S411" s="1">
        <v>144</v>
      </c>
      <c r="T411" s="1" t="str">
        <f t="shared" si="32"/>
        <v>3</v>
      </c>
      <c r="U411" s="1">
        <v>-34.291395999999999</v>
      </c>
      <c r="V411" s="3">
        <v>146.03625199999999</v>
      </c>
    </row>
    <row r="412" spans="1:22" x14ac:dyDescent="0.35">
      <c r="A412" s="22" t="s">
        <v>1391</v>
      </c>
      <c r="B412" s="1" t="s">
        <v>1392</v>
      </c>
      <c r="C412" s="1" t="s">
        <v>1360</v>
      </c>
      <c r="D412" s="1" t="s">
        <v>169</v>
      </c>
      <c r="E412" s="1" t="s">
        <v>170</v>
      </c>
      <c r="F412" s="1" t="s">
        <v>47</v>
      </c>
      <c r="G412" s="1">
        <f t="shared" si="30"/>
        <v>1</v>
      </c>
      <c r="H412" s="1" t="s">
        <v>48</v>
      </c>
      <c r="I412" s="1" t="s">
        <v>49</v>
      </c>
      <c r="J412" s="23" t="s">
        <v>50</v>
      </c>
      <c r="K412" s="2" t="s">
        <v>51</v>
      </c>
      <c r="L412" s="1">
        <v>623</v>
      </c>
      <c r="M412" s="1">
        <v>2</v>
      </c>
      <c r="N412" s="1" t="str">
        <f t="shared" si="33"/>
        <v>Published</v>
      </c>
      <c r="O412" s="1">
        <f t="shared" si="31"/>
        <v>12.46</v>
      </c>
      <c r="P412" s="1">
        <v>91</v>
      </c>
      <c r="Q412" s="1">
        <v>943</v>
      </c>
      <c r="R412" s="1" t="str">
        <f t="shared" si="34"/>
        <v>2</v>
      </c>
      <c r="S412" s="1">
        <v>140</v>
      </c>
      <c r="T412" s="1" t="str">
        <f t="shared" si="32"/>
        <v>4</v>
      </c>
      <c r="U412" s="1">
        <v>-33.855820999999999</v>
      </c>
      <c r="V412" s="3">
        <v>150.98198300000001</v>
      </c>
    </row>
    <row r="413" spans="1:22" x14ac:dyDescent="0.35">
      <c r="A413" s="22" t="s">
        <v>1393</v>
      </c>
      <c r="B413" s="1" t="s">
        <v>1394</v>
      </c>
      <c r="C413" s="1" t="s">
        <v>1395</v>
      </c>
      <c r="D413" s="1" t="s">
        <v>897</v>
      </c>
      <c r="E413" s="1" t="s">
        <v>102</v>
      </c>
      <c r="F413" s="1" t="s">
        <v>69</v>
      </c>
      <c r="G413" s="1">
        <f t="shared" si="30"/>
        <v>3</v>
      </c>
      <c r="H413" s="1" t="s">
        <v>92</v>
      </c>
      <c r="I413" s="1" t="s">
        <v>132</v>
      </c>
      <c r="J413" s="23" t="s">
        <v>50</v>
      </c>
      <c r="K413" s="2" t="s">
        <v>51</v>
      </c>
      <c r="L413" s="1">
        <v>104</v>
      </c>
      <c r="M413" s="1">
        <v>83</v>
      </c>
      <c r="N413" s="1" t="str">
        <f t="shared" si="33"/>
        <v>Published</v>
      </c>
      <c r="O413" s="1">
        <f t="shared" si="31"/>
        <v>86.32</v>
      </c>
      <c r="P413" s="1">
        <v>0</v>
      </c>
      <c r="Q413" s="1">
        <v>693</v>
      </c>
      <c r="R413" s="1" t="str">
        <f t="shared" si="34"/>
        <v>1</v>
      </c>
      <c r="S413" s="1">
        <v>217</v>
      </c>
      <c r="T413" s="1" t="str">
        <f t="shared" si="32"/>
        <v>2</v>
      </c>
      <c r="U413" s="1">
        <v>-31.332239999999999</v>
      </c>
      <c r="V413" s="3">
        <v>148.47575800000001</v>
      </c>
    </row>
    <row r="414" spans="1:22" x14ac:dyDescent="0.35">
      <c r="A414" s="22" t="s">
        <v>1396</v>
      </c>
      <c r="B414" s="1" t="s">
        <v>1397</v>
      </c>
      <c r="C414" s="1" t="s">
        <v>1398</v>
      </c>
      <c r="D414" s="1" t="s">
        <v>1399</v>
      </c>
      <c r="E414" s="1" t="s">
        <v>261</v>
      </c>
      <c r="F414" s="1" t="s">
        <v>69</v>
      </c>
      <c r="G414" s="1">
        <f t="shared" si="30"/>
        <v>3</v>
      </c>
      <c r="H414" s="1" t="s">
        <v>58</v>
      </c>
      <c r="I414" s="1" t="s">
        <v>49</v>
      </c>
      <c r="J414" s="23" t="s">
        <v>50</v>
      </c>
      <c r="K414" s="2" t="s">
        <v>51</v>
      </c>
      <c r="L414" s="1">
        <v>283</v>
      </c>
      <c r="M414" s="1">
        <v>23</v>
      </c>
      <c r="N414" s="1" t="str">
        <f t="shared" si="33"/>
        <v>Published</v>
      </c>
      <c r="O414" s="1">
        <f t="shared" si="31"/>
        <v>65.09</v>
      </c>
      <c r="P414" s="1">
        <v>4</v>
      </c>
      <c r="Q414" s="1">
        <v>913</v>
      </c>
      <c r="R414" s="1" t="str">
        <f t="shared" si="34"/>
        <v>2</v>
      </c>
      <c r="S414" s="1">
        <v>135</v>
      </c>
      <c r="T414" s="1" t="str">
        <f t="shared" si="32"/>
        <v>2</v>
      </c>
      <c r="U414" s="1">
        <v>-32.359746000000001</v>
      </c>
      <c r="V414" s="3">
        <v>149.53769199999999</v>
      </c>
    </row>
    <row r="415" spans="1:22" x14ac:dyDescent="0.35">
      <c r="A415" s="22" t="s">
        <v>1400</v>
      </c>
      <c r="B415" s="1" t="s">
        <v>1401</v>
      </c>
      <c r="C415" s="1" t="s">
        <v>1402</v>
      </c>
      <c r="D415" s="1" t="s">
        <v>280</v>
      </c>
      <c r="E415" s="1" t="s">
        <v>281</v>
      </c>
      <c r="F415" s="1" t="s">
        <v>57</v>
      </c>
      <c r="G415" s="1">
        <f t="shared" si="30"/>
        <v>2</v>
      </c>
      <c r="H415" s="1" t="s">
        <v>92</v>
      </c>
      <c r="I415" s="1" t="s">
        <v>49</v>
      </c>
      <c r="J415" s="23" t="s">
        <v>50</v>
      </c>
      <c r="K415" s="2" t="s">
        <v>51</v>
      </c>
      <c r="L415" s="1">
        <v>213</v>
      </c>
      <c r="M415" s="1">
        <v>18</v>
      </c>
      <c r="N415" s="1" t="str">
        <f t="shared" si="33"/>
        <v>Published</v>
      </c>
      <c r="O415" s="1">
        <f t="shared" si="31"/>
        <v>38.339999999999996</v>
      </c>
      <c r="P415" s="1">
        <v>6</v>
      </c>
      <c r="Q415" s="1">
        <v>977</v>
      </c>
      <c r="R415" s="1" t="str">
        <f t="shared" si="34"/>
        <v>2</v>
      </c>
      <c r="S415" s="1">
        <v>96</v>
      </c>
      <c r="T415" s="1" t="str">
        <f t="shared" si="32"/>
        <v>2</v>
      </c>
      <c r="U415" s="1">
        <v>-29.489242000000001</v>
      </c>
      <c r="V415" s="3">
        <v>153.23357200000001</v>
      </c>
    </row>
    <row r="416" spans="1:22" x14ac:dyDescent="0.35">
      <c r="A416" s="22" t="s">
        <v>1403</v>
      </c>
      <c r="B416" s="1" t="s">
        <v>1404</v>
      </c>
      <c r="C416" s="1" t="s">
        <v>1405</v>
      </c>
      <c r="D416" s="1" t="s">
        <v>159</v>
      </c>
      <c r="E416" s="1" t="s">
        <v>91</v>
      </c>
      <c r="F416" s="1" t="s">
        <v>69</v>
      </c>
      <c r="G416" s="1">
        <f t="shared" si="30"/>
        <v>3</v>
      </c>
      <c r="H416" s="1" t="s">
        <v>92</v>
      </c>
      <c r="I416" s="1" t="s">
        <v>49</v>
      </c>
      <c r="J416" s="23" t="s">
        <v>50</v>
      </c>
      <c r="K416" s="2" t="s">
        <v>51</v>
      </c>
      <c r="L416" s="1">
        <v>29</v>
      </c>
      <c r="M416" s="1"/>
      <c r="N416" s="1" t="str">
        <f t="shared" si="33"/>
        <v>Suppressed</v>
      </c>
      <c r="O416" s="1" t="str">
        <f t="shared" si="31"/>
        <v/>
      </c>
      <c r="P416" s="1"/>
      <c r="Q416" s="1">
        <v>997</v>
      </c>
      <c r="R416" s="1" t="str">
        <f t="shared" si="34"/>
        <v>2</v>
      </c>
      <c r="S416" s="1">
        <v>88</v>
      </c>
      <c r="T416" s="1" t="str">
        <f t="shared" si="32"/>
        <v>1</v>
      </c>
      <c r="U416" s="1">
        <v>-29.779563</v>
      </c>
      <c r="V416" s="3">
        <v>150.979221</v>
      </c>
    </row>
    <row r="417" spans="1:22" x14ac:dyDescent="0.35">
      <c r="A417" s="22" t="s">
        <v>1406</v>
      </c>
      <c r="B417" s="1" t="s">
        <v>1407</v>
      </c>
      <c r="C417" s="1" t="s">
        <v>1408</v>
      </c>
      <c r="D417" s="1" t="s">
        <v>506</v>
      </c>
      <c r="E417" s="1" t="s">
        <v>80</v>
      </c>
      <c r="F417" s="1" t="s">
        <v>57</v>
      </c>
      <c r="G417" s="1">
        <f t="shared" si="30"/>
        <v>2</v>
      </c>
      <c r="H417" s="1" t="s">
        <v>70</v>
      </c>
      <c r="I417" s="1" t="s">
        <v>49</v>
      </c>
      <c r="J417" s="23" t="s">
        <v>50</v>
      </c>
      <c r="K417" s="2" t="s">
        <v>51</v>
      </c>
      <c r="L417" s="1">
        <v>164</v>
      </c>
      <c r="M417" s="1">
        <v>15</v>
      </c>
      <c r="N417" s="1" t="str">
        <f t="shared" si="33"/>
        <v>Published</v>
      </c>
      <c r="O417" s="1">
        <f t="shared" si="31"/>
        <v>24.599999999999998</v>
      </c>
      <c r="P417" s="1">
        <v>5</v>
      </c>
      <c r="Q417" s="1">
        <v>946</v>
      </c>
      <c r="R417" s="1" t="str">
        <f t="shared" si="34"/>
        <v>2</v>
      </c>
      <c r="S417" s="1">
        <v>120</v>
      </c>
      <c r="T417" s="1" t="str">
        <f t="shared" si="32"/>
        <v>2</v>
      </c>
      <c r="U417" s="1">
        <v>-35.052146</v>
      </c>
      <c r="V417" s="3">
        <v>148.109174</v>
      </c>
    </row>
    <row r="418" spans="1:22" x14ac:dyDescent="0.35">
      <c r="A418" s="22" t="s">
        <v>1409</v>
      </c>
      <c r="B418" s="1" t="s">
        <v>1410</v>
      </c>
      <c r="C418" s="1" t="s">
        <v>1411</v>
      </c>
      <c r="D418" s="1" t="s">
        <v>506</v>
      </c>
      <c r="E418" s="1" t="s">
        <v>80</v>
      </c>
      <c r="F418" s="1" t="s">
        <v>57</v>
      </c>
      <c r="G418" s="1">
        <f t="shared" si="30"/>
        <v>2</v>
      </c>
      <c r="H418" s="1" t="s">
        <v>70</v>
      </c>
      <c r="I418" s="1" t="s">
        <v>49</v>
      </c>
      <c r="J418" s="23" t="s">
        <v>50</v>
      </c>
      <c r="K418" s="2" t="s">
        <v>51</v>
      </c>
      <c r="L418" s="1">
        <v>47</v>
      </c>
      <c r="M418" s="1">
        <v>15</v>
      </c>
      <c r="N418" s="1" t="str">
        <f t="shared" si="33"/>
        <v>Published</v>
      </c>
      <c r="O418" s="1">
        <f t="shared" si="31"/>
        <v>7.05</v>
      </c>
      <c r="P418" s="1"/>
      <c r="Q418" s="1">
        <v>916</v>
      </c>
      <c r="R418" s="1" t="str">
        <f t="shared" si="34"/>
        <v>2</v>
      </c>
      <c r="S418" s="1">
        <v>126</v>
      </c>
      <c r="T418" s="1" t="str">
        <f t="shared" si="32"/>
        <v>1</v>
      </c>
      <c r="U418" s="1">
        <v>-35.080801999999998</v>
      </c>
      <c r="V418" s="3">
        <v>148.10308599999999</v>
      </c>
    </row>
    <row r="419" spans="1:22" x14ac:dyDescent="0.35">
      <c r="A419" s="22" t="s">
        <v>1412</v>
      </c>
      <c r="B419" s="1" t="s">
        <v>1413</v>
      </c>
      <c r="C419" s="1" t="s">
        <v>1414</v>
      </c>
      <c r="D419" s="1" t="s">
        <v>408</v>
      </c>
      <c r="E419" s="1" t="s">
        <v>68</v>
      </c>
      <c r="F419" s="1" t="s">
        <v>57</v>
      </c>
      <c r="G419" s="1">
        <f t="shared" si="30"/>
        <v>2</v>
      </c>
      <c r="H419" s="1" t="s">
        <v>70</v>
      </c>
      <c r="I419" s="1" t="s">
        <v>49</v>
      </c>
      <c r="J419" s="23" t="s">
        <v>50</v>
      </c>
      <c r="K419" s="2" t="s">
        <v>51</v>
      </c>
      <c r="L419" s="1">
        <v>140</v>
      </c>
      <c r="M419" s="1"/>
      <c r="N419" s="1" t="str">
        <f t="shared" si="33"/>
        <v>Suppressed</v>
      </c>
      <c r="O419" s="1" t="str">
        <f t="shared" si="31"/>
        <v/>
      </c>
      <c r="P419" s="1">
        <v>6</v>
      </c>
      <c r="Q419" s="1">
        <v>1101</v>
      </c>
      <c r="R419" s="1" t="str">
        <f t="shared" si="34"/>
        <v>4</v>
      </c>
      <c r="S419" s="1">
        <v>34</v>
      </c>
      <c r="T419" s="1" t="str">
        <f t="shared" si="32"/>
        <v>2</v>
      </c>
      <c r="U419" s="1">
        <v>-35.029909000000004</v>
      </c>
      <c r="V419" s="3">
        <v>149.267076</v>
      </c>
    </row>
    <row r="420" spans="1:22" x14ac:dyDescent="0.35">
      <c r="A420" s="22" t="s">
        <v>1415</v>
      </c>
      <c r="B420" s="1" t="s">
        <v>1416</v>
      </c>
      <c r="C420" s="1" t="s">
        <v>751</v>
      </c>
      <c r="D420" s="1" t="s">
        <v>751</v>
      </c>
      <c r="E420" s="1" t="s">
        <v>91</v>
      </c>
      <c r="F420" s="1" t="s">
        <v>69</v>
      </c>
      <c r="G420" s="1">
        <f t="shared" si="30"/>
        <v>3</v>
      </c>
      <c r="H420" s="1" t="s">
        <v>86</v>
      </c>
      <c r="I420" s="1" t="s">
        <v>49</v>
      </c>
      <c r="J420" s="23" t="s">
        <v>50</v>
      </c>
      <c r="K420" s="2" t="s">
        <v>51</v>
      </c>
      <c r="L420" s="1">
        <v>175</v>
      </c>
      <c r="M420" s="1">
        <v>62</v>
      </c>
      <c r="N420" s="1" t="str">
        <f t="shared" si="33"/>
        <v>Published</v>
      </c>
      <c r="O420" s="1">
        <f t="shared" si="31"/>
        <v>108.5</v>
      </c>
      <c r="P420" s="1"/>
      <c r="Q420" s="1">
        <v>785</v>
      </c>
      <c r="R420" s="1" t="str">
        <f t="shared" si="34"/>
        <v>1</v>
      </c>
      <c r="S420" s="1">
        <v>175</v>
      </c>
      <c r="T420" s="1" t="str">
        <f t="shared" si="32"/>
        <v>2</v>
      </c>
      <c r="U420" s="1">
        <v>-30.977491000000001</v>
      </c>
      <c r="V420" s="3">
        <v>150.25633500000001</v>
      </c>
    </row>
    <row r="421" spans="1:22" x14ac:dyDescent="0.35">
      <c r="A421" s="22" t="s">
        <v>1417</v>
      </c>
      <c r="B421" s="1" t="s">
        <v>1418</v>
      </c>
      <c r="C421" s="1" t="s">
        <v>1419</v>
      </c>
      <c r="D421" s="1" t="s">
        <v>394</v>
      </c>
      <c r="E421" s="1" t="s">
        <v>68</v>
      </c>
      <c r="F421" s="1" t="s">
        <v>57</v>
      </c>
      <c r="G421" s="1">
        <f t="shared" si="30"/>
        <v>2</v>
      </c>
      <c r="H421" s="1" t="s">
        <v>86</v>
      </c>
      <c r="I421" s="1" t="s">
        <v>49</v>
      </c>
      <c r="J421" s="23" t="s">
        <v>50</v>
      </c>
      <c r="K421" s="2" t="s">
        <v>51</v>
      </c>
      <c r="L421" s="1">
        <v>125</v>
      </c>
      <c r="M421" s="1">
        <v>6</v>
      </c>
      <c r="N421" s="1" t="str">
        <f t="shared" si="33"/>
        <v>Published</v>
      </c>
      <c r="O421" s="1">
        <f t="shared" si="31"/>
        <v>7.5</v>
      </c>
      <c r="P421" s="1">
        <v>8</v>
      </c>
      <c r="Q421" s="1">
        <v>1024</v>
      </c>
      <c r="R421" s="1" t="str">
        <f t="shared" si="34"/>
        <v>3</v>
      </c>
      <c r="S421" s="1">
        <v>67</v>
      </c>
      <c r="T421" s="1" t="str">
        <f t="shared" si="32"/>
        <v>2</v>
      </c>
      <c r="U421" s="1">
        <v>-34.783524999999997</v>
      </c>
      <c r="V421" s="3">
        <v>149.265602</v>
      </c>
    </row>
    <row r="422" spans="1:22" x14ac:dyDescent="0.35">
      <c r="A422" s="22" t="s">
        <v>1420</v>
      </c>
      <c r="B422" s="1" t="s">
        <v>1421</v>
      </c>
      <c r="C422" s="1" t="s">
        <v>199</v>
      </c>
      <c r="D422" s="1" t="s">
        <v>139</v>
      </c>
      <c r="E422" s="1" t="s">
        <v>91</v>
      </c>
      <c r="F422" s="1" t="s">
        <v>57</v>
      </c>
      <c r="G422" s="1">
        <f t="shared" si="30"/>
        <v>2</v>
      </c>
      <c r="H422" s="1" t="s">
        <v>92</v>
      </c>
      <c r="I422" s="1" t="s">
        <v>132</v>
      </c>
      <c r="J422" s="23" t="s">
        <v>50</v>
      </c>
      <c r="K422" s="2" t="s">
        <v>51</v>
      </c>
      <c r="L422" s="1">
        <v>287.8</v>
      </c>
      <c r="M422" s="1">
        <v>23</v>
      </c>
      <c r="N422" s="1" t="str">
        <f t="shared" si="33"/>
        <v>Published</v>
      </c>
      <c r="O422" s="1">
        <f t="shared" si="31"/>
        <v>66.194000000000003</v>
      </c>
      <c r="P422" s="1">
        <v>12</v>
      </c>
      <c r="Q422" s="1">
        <v>889</v>
      </c>
      <c r="R422" s="1" t="str">
        <f t="shared" si="34"/>
        <v>1</v>
      </c>
      <c r="S422" s="1">
        <v>156</v>
      </c>
      <c r="T422" s="1" t="str">
        <f t="shared" si="32"/>
        <v>2</v>
      </c>
      <c r="U422" s="1">
        <v>-30.222577000000001</v>
      </c>
      <c r="V422" s="3">
        <v>151.677369</v>
      </c>
    </row>
    <row r="423" spans="1:22" x14ac:dyDescent="0.35">
      <c r="A423" s="22" t="s">
        <v>1422</v>
      </c>
      <c r="B423" s="1" t="s">
        <v>1423</v>
      </c>
      <c r="C423" s="1" t="s">
        <v>1424</v>
      </c>
      <c r="D423" s="1" t="s">
        <v>318</v>
      </c>
      <c r="E423" s="1" t="s">
        <v>91</v>
      </c>
      <c r="F423" s="1" t="s">
        <v>241</v>
      </c>
      <c r="G423" s="1">
        <f t="shared" si="30"/>
        <v>4</v>
      </c>
      <c r="H423" s="1" t="s">
        <v>92</v>
      </c>
      <c r="I423" s="1" t="s">
        <v>49</v>
      </c>
      <c r="J423" s="23" t="s">
        <v>50</v>
      </c>
      <c r="K423" s="2" t="s">
        <v>51</v>
      </c>
      <c r="L423" s="1">
        <v>21</v>
      </c>
      <c r="M423" s="1">
        <v>76</v>
      </c>
      <c r="N423" s="1" t="str">
        <f t="shared" si="33"/>
        <v>Published</v>
      </c>
      <c r="O423" s="1">
        <f t="shared" si="31"/>
        <v>15.96</v>
      </c>
      <c r="P423" s="1">
        <v>0</v>
      </c>
      <c r="Q423" s="1">
        <v>694</v>
      </c>
      <c r="R423" s="1" t="str">
        <f t="shared" si="34"/>
        <v>1</v>
      </c>
      <c r="S423" s="1">
        <v>197</v>
      </c>
      <c r="T423" s="1" t="str">
        <f t="shared" si="32"/>
        <v>1</v>
      </c>
      <c r="U423" s="1">
        <v>-30.611488999999999</v>
      </c>
      <c r="V423" s="3">
        <v>148.974999</v>
      </c>
    </row>
    <row r="424" spans="1:22" x14ac:dyDescent="0.35">
      <c r="A424" s="22" t="s">
        <v>1425</v>
      </c>
      <c r="B424" s="1" t="s">
        <v>1426</v>
      </c>
      <c r="C424" s="1" t="s">
        <v>1427</v>
      </c>
      <c r="D424" s="1" t="s">
        <v>737</v>
      </c>
      <c r="E424" s="1" t="s">
        <v>738</v>
      </c>
      <c r="F424" s="1" t="s">
        <v>47</v>
      </c>
      <c r="G424" s="1">
        <f t="shared" si="30"/>
        <v>1</v>
      </c>
      <c r="H424" s="1" t="s">
        <v>182</v>
      </c>
      <c r="I424" s="1" t="s">
        <v>49</v>
      </c>
      <c r="J424" s="23" t="s">
        <v>50</v>
      </c>
      <c r="K424" s="2" t="s">
        <v>51</v>
      </c>
      <c r="L424" s="1">
        <v>763</v>
      </c>
      <c r="M424" s="1">
        <v>3</v>
      </c>
      <c r="N424" s="1" t="str">
        <f t="shared" si="33"/>
        <v>Published</v>
      </c>
      <c r="O424" s="1">
        <f t="shared" si="31"/>
        <v>22.89</v>
      </c>
      <c r="P424" s="1">
        <v>14</v>
      </c>
      <c r="Q424" s="1">
        <v>1091</v>
      </c>
      <c r="R424" s="1" t="str">
        <f t="shared" si="34"/>
        <v>3</v>
      </c>
      <c r="S424" s="1">
        <v>44</v>
      </c>
      <c r="T424" s="1" t="str">
        <f t="shared" si="32"/>
        <v>4</v>
      </c>
      <c r="U424" s="1">
        <v>-34.046905000000002</v>
      </c>
      <c r="V424" s="3">
        <v>151.08282500000001</v>
      </c>
    </row>
    <row r="425" spans="1:22" x14ac:dyDescent="0.35">
      <c r="A425" s="22" t="s">
        <v>1428</v>
      </c>
      <c r="B425" s="1" t="s">
        <v>1429</v>
      </c>
      <c r="C425" s="1" t="s">
        <v>1430</v>
      </c>
      <c r="D425" s="1" t="s">
        <v>115</v>
      </c>
      <c r="E425" s="1" t="s">
        <v>46</v>
      </c>
      <c r="F425" s="1" t="s">
        <v>47</v>
      </c>
      <c r="G425" s="1">
        <f t="shared" si="30"/>
        <v>1</v>
      </c>
      <c r="H425" s="1" t="s">
        <v>48</v>
      </c>
      <c r="I425" s="1" t="s">
        <v>49</v>
      </c>
      <c r="J425" s="23" t="s">
        <v>50</v>
      </c>
      <c r="K425" s="2" t="s">
        <v>51</v>
      </c>
      <c r="L425" s="1">
        <v>542</v>
      </c>
      <c r="M425" s="1">
        <v>1</v>
      </c>
      <c r="N425" s="1" t="str">
        <f t="shared" si="33"/>
        <v>Published</v>
      </c>
      <c r="O425" s="1">
        <f t="shared" si="31"/>
        <v>5.42</v>
      </c>
      <c r="P425" s="1">
        <v>56</v>
      </c>
      <c r="Q425" s="1">
        <v>1125</v>
      </c>
      <c r="R425" s="1" t="str">
        <f t="shared" si="34"/>
        <v>4</v>
      </c>
      <c r="S425" s="1">
        <v>19</v>
      </c>
      <c r="T425" s="1" t="str">
        <f t="shared" si="32"/>
        <v>3</v>
      </c>
      <c r="U425" s="1">
        <v>-33.879466999999998</v>
      </c>
      <c r="V425" s="3">
        <v>151.13400200000001</v>
      </c>
    </row>
    <row r="426" spans="1:22" x14ac:dyDescent="0.35">
      <c r="A426" s="22" t="s">
        <v>1431</v>
      </c>
      <c r="B426" s="1" t="s">
        <v>1432</v>
      </c>
      <c r="C426" s="1" t="s">
        <v>1433</v>
      </c>
      <c r="D426" s="1" t="s">
        <v>180</v>
      </c>
      <c r="E426" s="1" t="s">
        <v>181</v>
      </c>
      <c r="F426" s="1" t="s">
        <v>47</v>
      </c>
      <c r="G426" s="1">
        <f t="shared" si="30"/>
        <v>1</v>
      </c>
      <c r="H426" s="1" t="s">
        <v>182</v>
      </c>
      <c r="I426" s="1" t="s">
        <v>49</v>
      </c>
      <c r="J426" s="23" t="s">
        <v>50</v>
      </c>
      <c r="K426" s="2" t="s">
        <v>51</v>
      </c>
      <c r="L426" s="1">
        <v>445</v>
      </c>
      <c r="M426" s="1">
        <v>3</v>
      </c>
      <c r="N426" s="1" t="str">
        <f t="shared" si="33"/>
        <v>Published</v>
      </c>
      <c r="O426" s="1">
        <f t="shared" si="31"/>
        <v>13.35</v>
      </c>
      <c r="P426" s="1">
        <v>31</v>
      </c>
      <c r="Q426" s="1">
        <v>1030</v>
      </c>
      <c r="R426" s="1" t="str">
        <f t="shared" si="34"/>
        <v>3</v>
      </c>
      <c r="S426" s="1">
        <v>74</v>
      </c>
      <c r="T426" s="1" t="str">
        <f t="shared" si="32"/>
        <v>3</v>
      </c>
      <c r="U426" s="1">
        <v>-33.947273000000003</v>
      </c>
      <c r="V426" s="3">
        <v>150.95452499999999</v>
      </c>
    </row>
    <row r="427" spans="1:22" x14ac:dyDescent="0.35">
      <c r="A427" s="22" t="s">
        <v>1434</v>
      </c>
      <c r="B427" s="1" t="s">
        <v>1435</v>
      </c>
      <c r="C427" s="1" t="s">
        <v>1436</v>
      </c>
      <c r="D427" s="1" t="s">
        <v>872</v>
      </c>
      <c r="E427" s="1" t="s">
        <v>261</v>
      </c>
      <c r="F427" s="1" t="s">
        <v>57</v>
      </c>
      <c r="G427" s="1">
        <f t="shared" si="30"/>
        <v>2</v>
      </c>
      <c r="H427" s="1" t="s">
        <v>58</v>
      </c>
      <c r="I427" s="1" t="s">
        <v>49</v>
      </c>
      <c r="J427" s="23" t="s">
        <v>50</v>
      </c>
      <c r="K427" s="2" t="s">
        <v>51</v>
      </c>
      <c r="L427" s="1">
        <v>14</v>
      </c>
      <c r="M427" s="1">
        <v>0</v>
      </c>
      <c r="N427" s="1" t="str">
        <f t="shared" si="33"/>
        <v>Published</v>
      </c>
      <c r="O427" s="1">
        <f t="shared" si="31"/>
        <v>0</v>
      </c>
      <c r="P427" s="1"/>
      <c r="Q427" s="1">
        <v>1068</v>
      </c>
      <c r="R427" s="1" t="str">
        <f t="shared" si="34"/>
        <v>3</v>
      </c>
      <c r="S427" s="1">
        <v>57</v>
      </c>
      <c r="T427" s="1" t="str">
        <f t="shared" si="32"/>
        <v>1</v>
      </c>
      <c r="U427" s="1">
        <v>-33.648479000000002</v>
      </c>
      <c r="V427" s="3">
        <v>150.048925</v>
      </c>
    </row>
    <row r="428" spans="1:22" x14ac:dyDescent="0.35">
      <c r="A428" s="22" t="s">
        <v>1437</v>
      </c>
      <c r="B428" s="1" t="s">
        <v>1438</v>
      </c>
      <c r="C428" s="1" t="s">
        <v>1439</v>
      </c>
      <c r="D428" s="1" t="s">
        <v>275</v>
      </c>
      <c r="E428" s="1" t="s">
        <v>276</v>
      </c>
      <c r="F428" s="1" t="s">
        <v>57</v>
      </c>
      <c r="G428" s="1">
        <f t="shared" si="30"/>
        <v>2</v>
      </c>
      <c r="H428" s="1" t="s">
        <v>58</v>
      </c>
      <c r="I428" s="1" t="s">
        <v>49</v>
      </c>
      <c r="J428" s="23" t="s">
        <v>50</v>
      </c>
      <c r="K428" s="2" t="s">
        <v>51</v>
      </c>
      <c r="L428" s="1">
        <v>36</v>
      </c>
      <c r="M428" s="1"/>
      <c r="N428" s="1" t="str">
        <f t="shared" si="33"/>
        <v>Suppressed</v>
      </c>
      <c r="O428" s="1" t="str">
        <f t="shared" si="31"/>
        <v/>
      </c>
      <c r="P428" s="1">
        <v>0</v>
      </c>
      <c r="Q428" s="1">
        <v>1033</v>
      </c>
      <c r="R428" s="1" t="str">
        <f t="shared" si="34"/>
        <v>3</v>
      </c>
      <c r="S428" s="1">
        <v>77</v>
      </c>
      <c r="T428" s="1" t="str">
        <f t="shared" si="32"/>
        <v>1</v>
      </c>
      <c r="U428" s="1">
        <v>-31.712948999999998</v>
      </c>
      <c r="V428" s="3">
        <v>152.59402399999999</v>
      </c>
    </row>
    <row r="429" spans="1:22" x14ac:dyDescent="0.35">
      <c r="A429" s="22" t="s">
        <v>1440</v>
      </c>
      <c r="B429" s="1" t="s">
        <v>1441</v>
      </c>
      <c r="C429" s="1" t="s">
        <v>1442</v>
      </c>
      <c r="D429" s="1" t="s">
        <v>310</v>
      </c>
      <c r="E429" s="1" t="s">
        <v>80</v>
      </c>
      <c r="F429" s="1" t="s">
        <v>69</v>
      </c>
      <c r="G429" s="1">
        <f t="shared" si="30"/>
        <v>3</v>
      </c>
      <c r="H429" s="1" t="s">
        <v>70</v>
      </c>
      <c r="I429" s="1" t="s">
        <v>49</v>
      </c>
      <c r="J429" s="23" t="s">
        <v>50</v>
      </c>
      <c r="K429" s="2" t="s">
        <v>51</v>
      </c>
      <c r="L429" s="1">
        <v>154</v>
      </c>
      <c r="M429" s="1">
        <v>7</v>
      </c>
      <c r="N429" s="1" t="str">
        <f t="shared" si="33"/>
        <v>Published</v>
      </c>
      <c r="O429" s="1">
        <f t="shared" si="31"/>
        <v>10.780000000000001</v>
      </c>
      <c r="P429" s="1">
        <v>31</v>
      </c>
      <c r="Q429" s="1">
        <v>982</v>
      </c>
      <c r="R429" s="1" t="str">
        <f t="shared" si="34"/>
        <v>2</v>
      </c>
      <c r="S429" s="1">
        <v>100</v>
      </c>
      <c r="T429" s="1" t="str">
        <f t="shared" si="32"/>
        <v>2</v>
      </c>
      <c r="U429" s="1">
        <v>-34.329726000000001</v>
      </c>
      <c r="V429" s="3">
        <v>146.04237000000001</v>
      </c>
    </row>
    <row r="430" spans="1:22" x14ac:dyDescent="0.35">
      <c r="A430" s="22" t="s">
        <v>1443</v>
      </c>
      <c r="B430" s="1" t="s">
        <v>1444</v>
      </c>
      <c r="C430" s="1" t="s">
        <v>1445</v>
      </c>
      <c r="D430" s="1" t="s">
        <v>203</v>
      </c>
      <c r="E430" s="1" t="s">
        <v>204</v>
      </c>
      <c r="F430" s="1" t="s">
        <v>47</v>
      </c>
      <c r="G430" s="1">
        <f t="shared" si="30"/>
        <v>1</v>
      </c>
      <c r="H430" s="1" t="s">
        <v>148</v>
      </c>
      <c r="I430" s="1" t="s">
        <v>49</v>
      </c>
      <c r="J430" s="23" t="s">
        <v>50</v>
      </c>
      <c r="K430" s="2" t="s">
        <v>51</v>
      </c>
      <c r="L430" s="1">
        <v>881</v>
      </c>
      <c r="M430" s="1">
        <v>1</v>
      </c>
      <c r="N430" s="1" t="str">
        <f t="shared" si="33"/>
        <v>Published</v>
      </c>
      <c r="O430" s="1">
        <f t="shared" si="31"/>
        <v>8.81</v>
      </c>
      <c r="P430" s="1">
        <v>20</v>
      </c>
      <c r="Q430" s="1">
        <v>1137</v>
      </c>
      <c r="R430" s="1" t="str">
        <f t="shared" si="34"/>
        <v>4</v>
      </c>
      <c r="S430" s="1">
        <v>18</v>
      </c>
      <c r="T430" s="1" t="str">
        <f t="shared" si="32"/>
        <v>4</v>
      </c>
      <c r="U430" s="1">
        <v>-33.772163999999997</v>
      </c>
      <c r="V430" s="3">
        <v>151.286531</v>
      </c>
    </row>
    <row r="431" spans="1:22" x14ac:dyDescent="0.35">
      <c r="A431" s="22" t="s">
        <v>1446</v>
      </c>
      <c r="B431" s="1" t="s">
        <v>1447</v>
      </c>
      <c r="C431" s="1" t="s">
        <v>1448</v>
      </c>
      <c r="D431" s="1" t="s">
        <v>1399</v>
      </c>
      <c r="E431" s="1" t="s">
        <v>261</v>
      </c>
      <c r="F431" s="1" t="s">
        <v>69</v>
      </c>
      <c r="G431" s="1">
        <f t="shared" si="30"/>
        <v>3</v>
      </c>
      <c r="H431" s="1" t="s">
        <v>58</v>
      </c>
      <c r="I431" s="1" t="s">
        <v>49</v>
      </c>
      <c r="J431" s="23" t="s">
        <v>50</v>
      </c>
      <c r="K431" s="2" t="s">
        <v>51</v>
      </c>
      <c r="L431" s="1">
        <v>12</v>
      </c>
      <c r="M431" s="1"/>
      <c r="N431" s="1" t="str">
        <f t="shared" si="33"/>
        <v>Suppressed</v>
      </c>
      <c r="O431" s="1" t="str">
        <f t="shared" si="31"/>
        <v/>
      </c>
      <c r="P431" s="1"/>
      <c r="Q431" s="1">
        <v>840</v>
      </c>
      <c r="R431" s="1" t="str">
        <f t="shared" si="34"/>
        <v>1</v>
      </c>
      <c r="S431" s="1">
        <v>164</v>
      </c>
      <c r="T431" s="1" t="str">
        <f t="shared" si="32"/>
        <v>1</v>
      </c>
      <c r="U431" s="1">
        <v>-32.783335999999998</v>
      </c>
      <c r="V431" s="3">
        <v>149.46192400000001</v>
      </c>
    </row>
    <row r="432" spans="1:22" x14ac:dyDescent="0.35">
      <c r="A432" s="22" t="s">
        <v>1449</v>
      </c>
      <c r="B432" s="1" t="s">
        <v>1450</v>
      </c>
      <c r="C432" s="1" t="s">
        <v>1451</v>
      </c>
      <c r="D432" s="1" t="s">
        <v>275</v>
      </c>
      <c r="E432" s="1" t="s">
        <v>276</v>
      </c>
      <c r="F432" s="1" t="s">
        <v>57</v>
      </c>
      <c r="G432" s="1">
        <f t="shared" si="30"/>
        <v>2</v>
      </c>
      <c r="H432" s="1" t="s">
        <v>58</v>
      </c>
      <c r="I432" s="1" t="s">
        <v>49</v>
      </c>
      <c r="J432" s="23" t="s">
        <v>50</v>
      </c>
      <c r="K432" s="2" t="s">
        <v>51</v>
      </c>
      <c r="L432" s="1">
        <v>83</v>
      </c>
      <c r="M432" s="1">
        <v>18</v>
      </c>
      <c r="N432" s="1" t="str">
        <f t="shared" si="33"/>
        <v>Published</v>
      </c>
      <c r="O432" s="1">
        <f t="shared" si="31"/>
        <v>14.94</v>
      </c>
      <c r="P432" s="1">
        <v>8</v>
      </c>
      <c r="Q432" s="1">
        <v>949</v>
      </c>
      <c r="R432" s="1" t="str">
        <f t="shared" si="34"/>
        <v>2</v>
      </c>
      <c r="S432" s="1">
        <v>127</v>
      </c>
      <c r="T432" s="1" t="str">
        <f t="shared" si="32"/>
        <v>1</v>
      </c>
      <c r="U432" s="1">
        <v>-31.870234</v>
      </c>
      <c r="V432" s="3">
        <v>152.68880300000001</v>
      </c>
    </row>
    <row r="433" spans="1:22" x14ac:dyDescent="0.35">
      <c r="A433" s="22" t="s">
        <v>1452</v>
      </c>
      <c r="B433" s="1" t="s">
        <v>1453</v>
      </c>
      <c r="C433" s="1" t="s">
        <v>1454</v>
      </c>
      <c r="D433" s="1" t="s">
        <v>280</v>
      </c>
      <c r="E433" s="1" t="s">
        <v>281</v>
      </c>
      <c r="F433" s="1" t="s">
        <v>57</v>
      </c>
      <c r="G433" s="1">
        <f t="shared" si="30"/>
        <v>2</v>
      </c>
      <c r="H433" s="1" t="s">
        <v>92</v>
      </c>
      <c r="I433" s="1" t="s">
        <v>49</v>
      </c>
      <c r="J433" s="23" t="s">
        <v>50</v>
      </c>
      <c r="K433" s="2" t="s">
        <v>51</v>
      </c>
      <c r="L433" s="1">
        <v>34</v>
      </c>
      <c r="M433" s="1">
        <v>18</v>
      </c>
      <c r="N433" s="1" t="str">
        <f t="shared" si="33"/>
        <v>Published</v>
      </c>
      <c r="O433" s="1">
        <f t="shared" si="31"/>
        <v>6.12</v>
      </c>
      <c r="P433" s="1"/>
      <c r="Q433" s="1">
        <v>943</v>
      </c>
      <c r="R433" s="1" t="str">
        <f t="shared" si="34"/>
        <v>2</v>
      </c>
      <c r="S433" s="1">
        <v>119</v>
      </c>
      <c r="T433" s="1" t="str">
        <f t="shared" si="32"/>
        <v>1</v>
      </c>
      <c r="U433" s="1">
        <v>-29.425605000000001</v>
      </c>
      <c r="V433" s="3">
        <v>153.24029899999999</v>
      </c>
    </row>
    <row r="434" spans="1:22" x14ac:dyDescent="0.35">
      <c r="A434" s="22" t="s">
        <v>1455</v>
      </c>
      <c r="B434" s="1" t="s">
        <v>1456</v>
      </c>
      <c r="C434" s="1" t="s">
        <v>1457</v>
      </c>
      <c r="D434" s="1" t="s">
        <v>1458</v>
      </c>
      <c r="E434" s="1" t="s">
        <v>96</v>
      </c>
      <c r="F434" s="1" t="s">
        <v>69</v>
      </c>
      <c r="G434" s="1">
        <f t="shared" si="30"/>
        <v>3</v>
      </c>
      <c r="H434" s="1" t="s">
        <v>70</v>
      </c>
      <c r="I434" s="1" t="s">
        <v>49</v>
      </c>
      <c r="J434" s="23" t="s">
        <v>50</v>
      </c>
      <c r="K434" s="2" t="s">
        <v>51</v>
      </c>
      <c r="L434" s="1">
        <v>216</v>
      </c>
      <c r="M434" s="1">
        <v>17</v>
      </c>
      <c r="N434" s="1" t="str">
        <f t="shared" si="33"/>
        <v>Published</v>
      </c>
      <c r="O434" s="1">
        <f t="shared" si="31"/>
        <v>36.720000000000006</v>
      </c>
      <c r="P434" s="1">
        <v>5</v>
      </c>
      <c r="Q434" s="1">
        <v>934</v>
      </c>
      <c r="R434" s="1" t="str">
        <f t="shared" si="34"/>
        <v>2</v>
      </c>
      <c r="S434" s="1">
        <v>119</v>
      </c>
      <c r="T434" s="1" t="str">
        <f t="shared" si="32"/>
        <v>2</v>
      </c>
      <c r="U434" s="1">
        <v>-34.506048</v>
      </c>
      <c r="V434" s="3">
        <v>144.84540999999999</v>
      </c>
    </row>
    <row r="435" spans="1:22" x14ac:dyDescent="0.35">
      <c r="A435" s="22" t="s">
        <v>1459</v>
      </c>
      <c r="B435" s="1" t="s">
        <v>1460</v>
      </c>
      <c r="C435" s="1" t="s">
        <v>1461</v>
      </c>
      <c r="D435" s="1" t="s">
        <v>737</v>
      </c>
      <c r="E435" s="1" t="s">
        <v>738</v>
      </c>
      <c r="F435" s="1" t="s">
        <v>47</v>
      </c>
      <c r="G435" s="1">
        <f t="shared" si="30"/>
        <v>1</v>
      </c>
      <c r="H435" s="1" t="s">
        <v>182</v>
      </c>
      <c r="I435" s="1" t="s">
        <v>49</v>
      </c>
      <c r="J435" s="23" t="s">
        <v>50</v>
      </c>
      <c r="K435" s="2" t="s">
        <v>51</v>
      </c>
      <c r="L435" s="1">
        <v>273</v>
      </c>
      <c r="M435" s="1">
        <v>4</v>
      </c>
      <c r="N435" s="1" t="str">
        <f t="shared" si="33"/>
        <v>Published</v>
      </c>
      <c r="O435" s="1">
        <f t="shared" si="31"/>
        <v>10.92</v>
      </c>
      <c r="P435" s="1">
        <v>9</v>
      </c>
      <c r="Q435" s="1">
        <v>1056</v>
      </c>
      <c r="R435" s="1" t="str">
        <f t="shared" si="34"/>
        <v>3</v>
      </c>
      <c r="S435" s="1">
        <v>62</v>
      </c>
      <c r="T435" s="1" t="str">
        <f t="shared" si="32"/>
        <v>2</v>
      </c>
      <c r="U435" s="1">
        <v>-34.086703999999997</v>
      </c>
      <c r="V435" s="3">
        <v>151.00732099999999</v>
      </c>
    </row>
    <row r="436" spans="1:22" x14ac:dyDescent="0.35">
      <c r="A436" s="22" t="s">
        <v>1462</v>
      </c>
      <c r="B436" s="1" t="s">
        <v>1463</v>
      </c>
      <c r="C436" s="1" t="s">
        <v>1464</v>
      </c>
      <c r="D436" s="1" t="s">
        <v>176</v>
      </c>
      <c r="E436" s="1" t="s">
        <v>85</v>
      </c>
      <c r="F436" s="1" t="s">
        <v>47</v>
      </c>
      <c r="G436" s="1">
        <f t="shared" si="30"/>
        <v>1</v>
      </c>
      <c r="H436" s="1" t="s">
        <v>86</v>
      </c>
      <c r="I436" s="1" t="s">
        <v>49</v>
      </c>
      <c r="J436" s="23" t="s">
        <v>50</v>
      </c>
      <c r="K436" s="2" t="s">
        <v>51</v>
      </c>
      <c r="L436" s="1">
        <v>460</v>
      </c>
      <c r="M436" s="1">
        <v>3</v>
      </c>
      <c r="N436" s="1" t="str">
        <f t="shared" si="33"/>
        <v>Published</v>
      </c>
      <c r="O436" s="1">
        <f t="shared" si="31"/>
        <v>13.799999999999999</v>
      </c>
      <c r="P436" s="1">
        <v>9</v>
      </c>
      <c r="Q436" s="1">
        <v>1057</v>
      </c>
      <c r="R436" s="1" t="str">
        <f t="shared" si="34"/>
        <v>3</v>
      </c>
      <c r="S436" s="1">
        <v>60</v>
      </c>
      <c r="T436" s="1" t="str">
        <f t="shared" si="32"/>
        <v>3</v>
      </c>
      <c r="U436" s="1">
        <v>-34.184207000000001</v>
      </c>
      <c r="V436" s="3">
        <v>150.988393</v>
      </c>
    </row>
    <row r="437" spans="1:22" x14ac:dyDescent="0.35">
      <c r="A437" s="22" t="s">
        <v>1465</v>
      </c>
      <c r="B437" s="1" t="s">
        <v>1466</v>
      </c>
      <c r="C437" s="1" t="s">
        <v>1467</v>
      </c>
      <c r="D437" s="1" t="s">
        <v>591</v>
      </c>
      <c r="E437" s="1" t="s">
        <v>96</v>
      </c>
      <c r="F437" s="1" t="s">
        <v>57</v>
      </c>
      <c r="G437" s="1">
        <f t="shared" si="30"/>
        <v>2</v>
      </c>
      <c r="H437" s="1" t="s">
        <v>70</v>
      </c>
      <c r="I437" s="1" t="s">
        <v>49</v>
      </c>
      <c r="J437" s="23" t="s">
        <v>50</v>
      </c>
      <c r="K437" s="2" t="s">
        <v>51</v>
      </c>
      <c r="L437" s="1">
        <v>70</v>
      </c>
      <c r="M437" s="1">
        <v>14</v>
      </c>
      <c r="N437" s="1" t="str">
        <f t="shared" si="33"/>
        <v>Published</v>
      </c>
      <c r="O437" s="1">
        <f t="shared" si="31"/>
        <v>9.8000000000000007</v>
      </c>
      <c r="P437" s="1">
        <v>13</v>
      </c>
      <c r="Q437" s="1">
        <v>961</v>
      </c>
      <c r="R437" s="1" t="str">
        <f t="shared" si="34"/>
        <v>2</v>
      </c>
      <c r="S437" s="1">
        <v>118</v>
      </c>
      <c r="T437" s="1" t="str">
        <f t="shared" si="32"/>
        <v>1</v>
      </c>
      <c r="U437" s="1">
        <v>-35.517474</v>
      </c>
      <c r="V437" s="3">
        <v>147.03124800000001</v>
      </c>
    </row>
    <row r="438" spans="1:22" x14ac:dyDescent="0.35">
      <c r="A438" s="22" t="s">
        <v>1468</v>
      </c>
      <c r="B438" s="1" t="s">
        <v>1469</v>
      </c>
      <c r="C438" s="1" t="s">
        <v>1470</v>
      </c>
      <c r="D438" s="1" t="s">
        <v>1274</v>
      </c>
      <c r="E438" s="1" t="s">
        <v>102</v>
      </c>
      <c r="F438" s="1" t="s">
        <v>241</v>
      </c>
      <c r="G438" s="1">
        <f t="shared" si="30"/>
        <v>4</v>
      </c>
      <c r="H438" s="1" t="s">
        <v>70</v>
      </c>
      <c r="I438" s="1" t="s">
        <v>49</v>
      </c>
      <c r="J438" s="23" t="s">
        <v>50</v>
      </c>
      <c r="K438" s="2" t="s">
        <v>51</v>
      </c>
      <c r="L438" s="1">
        <v>13</v>
      </c>
      <c r="M438" s="1"/>
      <c r="N438" s="1" t="str">
        <f t="shared" si="33"/>
        <v>Suppressed</v>
      </c>
      <c r="O438" s="1" t="str">
        <f t="shared" si="31"/>
        <v/>
      </c>
      <c r="P438" s="1">
        <v>0</v>
      </c>
      <c r="Q438" s="1">
        <v>874</v>
      </c>
      <c r="R438" s="1" t="str">
        <f t="shared" si="34"/>
        <v>1</v>
      </c>
      <c r="S438" s="1">
        <v>162</v>
      </c>
      <c r="T438" s="1" t="str">
        <f t="shared" si="32"/>
        <v>1</v>
      </c>
      <c r="U438" s="1">
        <v>-31.551165000000001</v>
      </c>
      <c r="V438" s="3">
        <v>146.72337300000001</v>
      </c>
    </row>
    <row r="439" spans="1:22" x14ac:dyDescent="0.35">
      <c r="A439" s="22" t="s">
        <v>1471</v>
      </c>
      <c r="B439" s="1" t="s">
        <v>1472</v>
      </c>
      <c r="C439" s="1" t="s">
        <v>1473</v>
      </c>
      <c r="D439" s="1" t="s">
        <v>280</v>
      </c>
      <c r="E439" s="1" t="s">
        <v>281</v>
      </c>
      <c r="F439" s="1" t="s">
        <v>69</v>
      </c>
      <c r="G439" s="1">
        <f t="shared" si="30"/>
        <v>3</v>
      </c>
      <c r="H439" s="1" t="s">
        <v>58</v>
      </c>
      <c r="I439" s="1" t="s">
        <v>49</v>
      </c>
      <c r="J439" s="23" t="s">
        <v>50</v>
      </c>
      <c r="K439" s="2" t="s">
        <v>51</v>
      </c>
      <c r="L439" s="1">
        <v>14</v>
      </c>
      <c r="M439" s="1">
        <v>0</v>
      </c>
      <c r="N439" s="1" t="str">
        <f t="shared" si="33"/>
        <v>Published</v>
      </c>
      <c r="O439" s="1">
        <f t="shared" si="31"/>
        <v>0</v>
      </c>
      <c r="P439" s="1"/>
      <c r="Q439" s="1">
        <v>1049</v>
      </c>
      <c r="R439" s="1" t="str">
        <f t="shared" si="34"/>
        <v>3</v>
      </c>
      <c r="S439" s="1">
        <v>33</v>
      </c>
      <c r="T439" s="1" t="str">
        <f t="shared" si="32"/>
        <v>1</v>
      </c>
      <c r="U439" s="1">
        <v>-30.294513999999999</v>
      </c>
      <c r="V439" s="3">
        <v>152.42272700000001</v>
      </c>
    </row>
    <row r="440" spans="1:22" x14ac:dyDescent="0.35">
      <c r="A440" s="22" t="s">
        <v>1474</v>
      </c>
      <c r="B440" s="1" t="s">
        <v>1475</v>
      </c>
      <c r="C440" s="1" t="s">
        <v>1476</v>
      </c>
      <c r="D440" s="1" t="s">
        <v>302</v>
      </c>
      <c r="E440" s="1" t="s">
        <v>276</v>
      </c>
      <c r="F440" s="1" t="s">
        <v>57</v>
      </c>
      <c r="G440" s="1">
        <f t="shared" si="30"/>
        <v>2</v>
      </c>
      <c r="H440" s="1" t="s">
        <v>58</v>
      </c>
      <c r="I440" s="1" t="s">
        <v>49</v>
      </c>
      <c r="J440" s="23" t="s">
        <v>50</v>
      </c>
      <c r="K440" s="2" t="s">
        <v>51</v>
      </c>
      <c r="L440" s="1">
        <v>25</v>
      </c>
      <c r="M440" s="1">
        <v>32</v>
      </c>
      <c r="N440" s="1" t="str">
        <f t="shared" si="33"/>
        <v>Published</v>
      </c>
      <c r="O440" s="1">
        <f t="shared" si="31"/>
        <v>8</v>
      </c>
      <c r="P440" s="1"/>
      <c r="Q440" s="1">
        <v>919</v>
      </c>
      <c r="R440" s="1" t="str">
        <f t="shared" si="34"/>
        <v>2</v>
      </c>
      <c r="S440" s="1">
        <v>106</v>
      </c>
      <c r="T440" s="1" t="str">
        <f t="shared" si="32"/>
        <v>1</v>
      </c>
      <c r="U440" s="1">
        <v>-31.580393999999998</v>
      </c>
      <c r="V440" s="3">
        <v>152.72998799999999</v>
      </c>
    </row>
    <row r="441" spans="1:22" x14ac:dyDescent="0.35">
      <c r="A441" s="22" t="s">
        <v>1477</v>
      </c>
      <c r="B441" s="1" t="s">
        <v>1478</v>
      </c>
      <c r="C441" s="1" t="s">
        <v>1479</v>
      </c>
      <c r="D441" s="1" t="s">
        <v>291</v>
      </c>
      <c r="E441" s="1" t="s">
        <v>261</v>
      </c>
      <c r="F441" s="1" t="s">
        <v>69</v>
      </c>
      <c r="G441" s="1">
        <f t="shared" si="30"/>
        <v>3</v>
      </c>
      <c r="H441" s="1" t="s">
        <v>58</v>
      </c>
      <c r="I441" s="1" t="s">
        <v>49</v>
      </c>
      <c r="J441" s="23" t="s">
        <v>50</v>
      </c>
      <c r="K441" s="2" t="s">
        <v>51</v>
      </c>
      <c r="L441" s="1">
        <v>14</v>
      </c>
      <c r="M441" s="1"/>
      <c r="N441" s="1" t="str">
        <f t="shared" si="33"/>
        <v>Suppressed</v>
      </c>
      <c r="O441" s="1" t="str">
        <f t="shared" si="31"/>
        <v/>
      </c>
      <c r="P441" s="1">
        <v>0</v>
      </c>
      <c r="Q441" s="1">
        <v>972</v>
      </c>
      <c r="R441" s="1" t="str">
        <f t="shared" si="34"/>
        <v>2</v>
      </c>
      <c r="S441" s="1">
        <v>85</v>
      </c>
      <c r="T441" s="1" t="str">
        <f t="shared" si="32"/>
        <v>1</v>
      </c>
      <c r="U441" s="1">
        <v>-33.034573000000002</v>
      </c>
      <c r="V441" s="3">
        <v>149.415886</v>
      </c>
    </row>
    <row r="442" spans="1:22" x14ac:dyDescent="0.35">
      <c r="A442" s="22" t="s">
        <v>1480</v>
      </c>
      <c r="B442" s="1" t="s">
        <v>1481</v>
      </c>
      <c r="C442" s="1" t="s">
        <v>1304</v>
      </c>
      <c r="D442" s="1" t="s">
        <v>761</v>
      </c>
      <c r="E442" s="1" t="s">
        <v>127</v>
      </c>
      <c r="F442" s="1" t="s">
        <v>57</v>
      </c>
      <c r="G442" s="1">
        <f t="shared" si="30"/>
        <v>2</v>
      </c>
      <c r="H442" s="1" t="s">
        <v>63</v>
      </c>
      <c r="I442" s="1" t="s">
        <v>49</v>
      </c>
      <c r="J442" s="23" t="s">
        <v>50</v>
      </c>
      <c r="K442" s="2" t="s">
        <v>51</v>
      </c>
      <c r="L442" s="1">
        <v>25</v>
      </c>
      <c r="M442" s="1">
        <v>0</v>
      </c>
      <c r="N442" s="1" t="str">
        <f t="shared" si="33"/>
        <v>Published</v>
      </c>
      <c r="O442" s="1">
        <f t="shared" si="31"/>
        <v>0</v>
      </c>
      <c r="P442" s="1">
        <v>37</v>
      </c>
      <c r="Q442" s="1">
        <v>1041</v>
      </c>
      <c r="R442" s="1" t="str">
        <f t="shared" si="34"/>
        <v>3</v>
      </c>
      <c r="S442" s="1">
        <v>67</v>
      </c>
      <c r="T442" s="1" t="str">
        <f t="shared" si="32"/>
        <v>1</v>
      </c>
      <c r="U442" s="1">
        <v>-33.601784000000002</v>
      </c>
      <c r="V442" s="3">
        <v>150.97615099999999</v>
      </c>
    </row>
    <row r="443" spans="1:22" x14ac:dyDescent="0.35">
      <c r="A443" s="22" t="s">
        <v>1482</v>
      </c>
      <c r="B443" s="1" t="s">
        <v>1483</v>
      </c>
      <c r="C443" s="1" t="s">
        <v>1484</v>
      </c>
      <c r="D443" s="1" t="s">
        <v>1326</v>
      </c>
      <c r="E443" s="1" t="s">
        <v>80</v>
      </c>
      <c r="F443" s="1" t="s">
        <v>241</v>
      </c>
      <c r="G443" s="1">
        <f t="shared" si="30"/>
        <v>4</v>
      </c>
      <c r="H443" s="1" t="s">
        <v>70</v>
      </c>
      <c r="I443" s="1" t="s">
        <v>132</v>
      </c>
      <c r="J443" s="23" t="s">
        <v>50</v>
      </c>
      <c r="K443" s="2" t="s">
        <v>51</v>
      </c>
      <c r="L443" s="1">
        <v>211.2</v>
      </c>
      <c r="M443" s="1">
        <v>22</v>
      </c>
      <c r="N443" s="1" t="str">
        <f t="shared" si="33"/>
        <v>Published</v>
      </c>
      <c r="O443" s="1">
        <f t="shared" si="31"/>
        <v>46.463999999999999</v>
      </c>
      <c r="P443" s="1">
        <v>15</v>
      </c>
      <c r="Q443" s="1">
        <v>911</v>
      </c>
      <c r="R443" s="1" t="str">
        <f t="shared" si="34"/>
        <v>2</v>
      </c>
      <c r="S443" s="1">
        <v>118</v>
      </c>
      <c r="T443" s="1" t="str">
        <f t="shared" si="32"/>
        <v>2</v>
      </c>
      <c r="U443" s="1">
        <v>-33.479903999999998</v>
      </c>
      <c r="V443" s="3">
        <v>145.54025999999999</v>
      </c>
    </row>
    <row r="444" spans="1:22" x14ac:dyDescent="0.35">
      <c r="A444" s="22" t="s">
        <v>1485</v>
      </c>
      <c r="B444" s="1" t="s">
        <v>1486</v>
      </c>
      <c r="C444" s="1" t="s">
        <v>1487</v>
      </c>
      <c r="D444" s="1" t="s">
        <v>195</v>
      </c>
      <c r="E444" s="1" t="s">
        <v>196</v>
      </c>
      <c r="F444" s="1" t="s">
        <v>57</v>
      </c>
      <c r="G444" s="1">
        <f t="shared" si="30"/>
        <v>2</v>
      </c>
      <c r="H444" s="1" t="s">
        <v>86</v>
      </c>
      <c r="I444" s="1" t="s">
        <v>49</v>
      </c>
      <c r="J444" s="23" t="s">
        <v>50</v>
      </c>
      <c r="K444" s="2" t="s">
        <v>51</v>
      </c>
      <c r="L444" s="1">
        <v>120</v>
      </c>
      <c r="M444" s="1">
        <v>16</v>
      </c>
      <c r="N444" s="1" t="str">
        <f t="shared" si="33"/>
        <v>Published</v>
      </c>
      <c r="O444" s="1">
        <f t="shared" si="31"/>
        <v>19.2</v>
      </c>
      <c r="P444" s="1"/>
      <c r="Q444" s="1">
        <v>935</v>
      </c>
      <c r="R444" s="1" t="str">
        <f t="shared" si="34"/>
        <v>2</v>
      </c>
      <c r="S444" s="1">
        <v>134</v>
      </c>
      <c r="T444" s="1" t="str">
        <f t="shared" si="32"/>
        <v>2</v>
      </c>
      <c r="U444" s="1">
        <v>-34.354826000000003</v>
      </c>
      <c r="V444" s="3">
        <v>150.49139600000001</v>
      </c>
    </row>
    <row r="445" spans="1:22" x14ac:dyDescent="0.35">
      <c r="A445" s="22" t="s">
        <v>1488</v>
      </c>
      <c r="B445" s="1" t="s">
        <v>1489</v>
      </c>
      <c r="C445" s="1" t="s">
        <v>1490</v>
      </c>
      <c r="D445" s="1" t="s">
        <v>111</v>
      </c>
      <c r="E445" s="1" t="s">
        <v>56</v>
      </c>
      <c r="F445" s="1" t="s">
        <v>47</v>
      </c>
      <c r="G445" s="1">
        <f t="shared" si="30"/>
        <v>1</v>
      </c>
      <c r="H445" s="1" t="s">
        <v>58</v>
      </c>
      <c r="I445" s="1" t="s">
        <v>49</v>
      </c>
      <c r="J445" s="23" t="s">
        <v>50</v>
      </c>
      <c r="K445" s="2" t="s">
        <v>51</v>
      </c>
      <c r="L445" s="1">
        <v>99</v>
      </c>
      <c r="M445" s="1">
        <v>8</v>
      </c>
      <c r="N445" s="1" t="str">
        <f t="shared" si="33"/>
        <v>Published</v>
      </c>
      <c r="O445" s="1">
        <f t="shared" si="31"/>
        <v>7.92</v>
      </c>
      <c r="P445" s="1"/>
      <c r="Q445" s="1">
        <v>1009</v>
      </c>
      <c r="R445" s="1" t="str">
        <f t="shared" si="34"/>
        <v>3</v>
      </c>
      <c r="S445" s="1">
        <v>112</v>
      </c>
      <c r="T445" s="1" t="str">
        <f t="shared" si="32"/>
        <v>1</v>
      </c>
      <c r="U445" s="1">
        <v>-32.716732999999998</v>
      </c>
      <c r="V445" s="3">
        <v>151.65067400000001</v>
      </c>
    </row>
    <row r="446" spans="1:22" x14ac:dyDescent="0.35">
      <c r="A446" s="22" t="s">
        <v>1491</v>
      </c>
      <c r="B446" s="1" t="s">
        <v>1492</v>
      </c>
      <c r="C446" s="1" t="s">
        <v>1493</v>
      </c>
      <c r="D446" s="1" t="s">
        <v>591</v>
      </c>
      <c r="E446" s="1" t="s">
        <v>96</v>
      </c>
      <c r="F446" s="1" t="s">
        <v>57</v>
      </c>
      <c r="G446" s="1">
        <f t="shared" si="30"/>
        <v>2</v>
      </c>
      <c r="H446" s="1" t="s">
        <v>70</v>
      </c>
      <c r="I446" s="1" t="s">
        <v>49</v>
      </c>
      <c r="J446" s="23" t="s">
        <v>50</v>
      </c>
      <c r="K446" s="2" t="s">
        <v>51</v>
      </c>
      <c r="L446" s="1">
        <v>121</v>
      </c>
      <c r="M446" s="1">
        <v>5</v>
      </c>
      <c r="N446" s="1" t="str">
        <f t="shared" si="33"/>
        <v>Published</v>
      </c>
      <c r="O446" s="1">
        <f t="shared" si="31"/>
        <v>6.0500000000000007</v>
      </c>
      <c r="P446" s="1"/>
      <c r="Q446" s="1">
        <v>1003</v>
      </c>
      <c r="R446" s="1" t="str">
        <f t="shared" si="34"/>
        <v>3</v>
      </c>
      <c r="S446" s="1">
        <v>95</v>
      </c>
      <c r="T446" s="1" t="str">
        <f t="shared" si="32"/>
        <v>2</v>
      </c>
      <c r="U446" s="1">
        <v>-35.717852999999998</v>
      </c>
      <c r="V446" s="3">
        <v>147.31895299999999</v>
      </c>
    </row>
    <row r="447" spans="1:22" x14ac:dyDescent="0.35">
      <c r="A447" s="22" t="s">
        <v>1494</v>
      </c>
      <c r="B447" s="1" t="s">
        <v>1495</v>
      </c>
      <c r="C447" s="1" t="s">
        <v>1496</v>
      </c>
      <c r="D447" s="1" t="s">
        <v>186</v>
      </c>
      <c r="E447" s="1" t="s">
        <v>187</v>
      </c>
      <c r="F447" s="1" t="s">
        <v>47</v>
      </c>
      <c r="G447" s="1">
        <f t="shared" si="30"/>
        <v>1</v>
      </c>
      <c r="H447" s="1" t="s">
        <v>63</v>
      </c>
      <c r="I447" s="1" t="s">
        <v>49</v>
      </c>
      <c r="J447" s="23" t="s">
        <v>50</v>
      </c>
      <c r="K447" s="2" t="s">
        <v>51</v>
      </c>
      <c r="L447" s="1">
        <v>95</v>
      </c>
      <c r="M447" s="1">
        <v>9</v>
      </c>
      <c r="N447" s="1" t="str">
        <f t="shared" si="33"/>
        <v>Published</v>
      </c>
      <c r="O447" s="1">
        <f t="shared" si="31"/>
        <v>8.5499999999999989</v>
      </c>
      <c r="P447" s="1">
        <v>13</v>
      </c>
      <c r="Q447" s="1">
        <v>1047</v>
      </c>
      <c r="R447" s="1" t="str">
        <f t="shared" si="34"/>
        <v>3</v>
      </c>
      <c r="S447" s="1">
        <v>48</v>
      </c>
      <c r="T447" s="1" t="str">
        <f t="shared" si="32"/>
        <v>1</v>
      </c>
      <c r="U447" s="1">
        <v>-33.405106000000004</v>
      </c>
      <c r="V447" s="3">
        <v>151.40772200000001</v>
      </c>
    </row>
    <row r="448" spans="1:22" x14ac:dyDescent="0.35">
      <c r="A448" s="22" t="s">
        <v>1497</v>
      </c>
      <c r="B448" s="1" t="s">
        <v>1498</v>
      </c>
      <c r="C448" s="1" t="s">
        <v>944</v>
      </c>
      <c r="D448" s="1" t="s">
        <v>944</v>
      </c>
      <c r="E448" s="1" t="s">
        <v>261</v>
      </c>
      <c r="F448" s="1" t="s">
        <v>57</v>
      </c>
      <c r="G448" s="1">
        <f t="shared" si="30"/>
        <v>2</v>
      </c>
      <c r="H448" s="1" t="s">
        <v>70</v>
      </c>
      <c r="I448" s="1" t="s">
        <v>49</v>
      </c>
      <c r="J448" s="23" t="s">
        <v>50</v>
      </c>
      <c r="K448" s="2" t="s">
        <v>51</v>
      </c>
      <c r="L448" s="1">
        <v>26</v>
      </c>
      <c r="M448" s="1">
        <v>27</v>
      </c>
      <c r="N448" s="1" t="str">
        <f t="shared" si="33"/>
        <v>Published</v>
      </c>
      <c r="O448" s="1">
        <f t="shared" si="31"/>
        <v>7.0200000000000005</v>
      </c>
      <c r="P448" s="1">
        <v>0</v>
      </c>
      <c r="Q448" s="1">
        <v>920</v>
      </c>
      <c r="R448" s="1" t="str">
        <f t="shared" si="34"/>
        <v>2</v>
      </c>
      <c r="S448" s="1">
        <v>119</v>
      </c>
      <c r="T448" s="1" t="str">
        <f t="shared" si="32"/>
        <v>1</v>
      </c>
      <c r="U448" s="1">
        <v>-33.810597000000001</v>
      </c>
      <c r="V448" s="3">
        <v>148.756777</v>
      </c>
    </row>
    <row r="449" spans="1:22" x14ac:dyDescent="0.35">
      <c r="A449" s="22" t="s">
        <v>1499</v>
      </c>
      <c r="B449" s="1" t="s">
        <v>1500</v>
      </c>
      <c r="C449" s="1" t="s">
        <v>1501</v>
      </c>
      <c r="D449" s="1" t="s">
        <v>1502</v>
      </c>
      <c r="E449" s="1" t="s">
        <v>46</v>
      </c>
      <c r="F449" s="1" t="s">
        <v>47</v>
      </c>
      <c r="G449" s="1">
        <f t="shared" si="30"/>
        <v>1</v>
      </c>
      <c r="H449" s="1" t="s">
        <v>48</v>
      </c>
      <c r="I449" s="1" t="s">
        <v>49</v>
      </c>
      <c r="J449" s="23" t="s">
        <v>50</v>
      </c>
      <c r="K449" s="2" t="s">
        <v>51</v>
      </c>
      <c r="L449" s="1">
        <v>368</v>
      </c>
      <c r="M449" s="1"/>
      <c r="N449" s="1" t="str">
        <f t="shared" si="33"/>
        <v>Suppressed</v>
      </c>
      <c r="O449" s="1" t="str">
        <f t="shared" si="31"/>
        <v/>
      </c>
      <c r="P449" s="1">
        <v>94</v>
      </c>
      <c r="Q449" s="1">
        <v>1094</v>
      </c>
      <c r="R449" s="1" t="str">
        <f t="shared" si="34"/>
        <v>3</v>
      </c>
      <c r="S449" s="1">
        <v>23</v>
      </c>
      <c r="T449" s="1" t="str">
        <f t="shared" si="32"/>
        <v>3</v>
      </c>
      <c r="U449" s="1">
        <v>-33.867319000000002</v>
      </c>
      <c r="V449" s="3">
        <v>151.08523</v>
      </c>
    </row>
    <row r="450" spans="1:22" x14ac:dyDescent="0.35">
      <c r="A450" s="22" t="s">
        <v>1503</v>
      </c>
      <c r="B450" s="1" t="s">
        <v>1504</v>
      </c>
      <c r="C450" s="1" t="s">
        <v>489</v>
      </c>
      <c r="D450" s="1" t="s">
        <v>489</v>
      </c>
      <c r="E450" s="1" t="s">
        <v>56</v>
      </c>
      <c r="F450" s="1" t="s">
        <v>47</v>
      </c>
      <c r="G450" s="1">
        <f t="shared" ref="G450:G513" si="35">IF(F450="Major Cities of Australia",1,IF(F450="Inner Regional Australia",2,IF(F450="Outer Regional Australia",3,IF(F450="Remote Australia",4,IF(F450="Very Remote Australia",5,6)))))</f>
        <v>1</v>
      </c>
      <c r="H450" s="1" t="s">
        <v>58</v>
      </c>
      <c r="I450" s="1" t="s">
        <v>49</v>
      </c>
      <c r="J450" s="23" t="s">
        <v>50</v>
      </c>
      <c r="K450" s="2" t="s">
        <v>51</v>
      </c>
      <c r="L450" s="1">
        <v>519</v>
      </c>
      <c r="M450" s="1">
        <v>35</v>
      </c>
      <c r="N450" s="1" t="str">
        <f t="shared" si="33"/>
        <v>Published</v>
      </c>
      <c r="O450" s="1">
        <f t="shared" ref="O450:O513" si="36">IF(OR(M450="",L450=""),"",M450/100*L450)</f>
        <v>181.64999999999998</v>
      </c>
      <c r="P450" s="1">
        <v>6</v>
      </c>
      <c r="Q450" s="1">
        <v>879</v>
      </c>
      <c r="R450" s="1" t="str">
        <f t="shared" si="34"/>
        <v>1</v>
      </c>
      <c r="S450" s="1">
        <v>140</v>
      </c>
      <c r="T450" s="1" t="str">
        <f t="shared" ref="T450:T513" si="37">IF(L450="","No enrolment",IF(L450&lt;100,"1",IF(L450&lt;300,"2",IF(L450&lt;600,"3",IF(L450&lt;1000,"4","5")))))</f>
        <v>3</v>
      </c>
      <c r="U450" s="1">
        <v>-32.725200000000001</v>
      </c>
      <c r="V450" s="3">
        <v>151.53237899999999</v>
      </c>
    </row>
    <row r="451" spans="1:22" x14ac:dyDescent="0.35">
      <c r="A451" s="22" t="s">
        <v>1505</v>
      </c>
      <c r="B451" s="1" t="s">
        <v>1506</v>
      </c>
      <c r="C451" s="1" t="s">
        <v>1507</v>
      </c>
      <c r="D451" s="1" t="s">
        <v>537</v>
      </c>
      <c r="E451" s="1" t="s">
        <v>181</v>
      </c>
      <c r="F451" s="1" t="s">
        <v>47</v>
      </c>
      <c r="G451" s="1">
        <f t="shared" si="35"/>
        <v>1</v>
      </c>
      <c r="H451" s="1" t="s">
        <v>182</v>
      </c>
      <c r="I451" s="1" t="s">
        <v>49</v>
      </c>
      <c r="J451" s="23" t="s">
        <v>50</v>
      </c>
      <c r="K451" s="2" t="s">
        <v>51</v>
      </c>
      <c r="L451" s="1">
        <v>84</v>
      </c>
      <c r="M451" s="1">
        <v>7</v>
      </c>
      <c r="N451" s="1" t="str">
        <f t="shared" ref="N451:N514" si="38">IF(M451="","Suppressed","Published")</f>
        <v>Published</v>
      </c>
      <c r="O451" s="1">
        <f t="shared" si="36"/>
        <v>5.8800000000000008</v>
      </c>
      <c r="P451" s="1">
        <v>65</v>
      </c>
      <c r="Q451" s="1">
        <v>932</v>
      </c>
      <c r="R451" s="1" t="str">
        <f t="shared" ref="R451:R514" si="39">IF(Q451="","No ICSEA",IF(Q451&lt;900,"1",IF(Q451&lt;1000,"2",IF(Q451&lt;1100,"3","4"))))</f>
        <v>2</v>
      </c>
      <c r="S451" s="1">
        <v>140</v>
      </c>
      <c r="T451" s="1" t="str">
        <f t="shared" si="37"/>
        <v>1</v>
      </c>
      <c r="U451" s="1">
        <v>-33.840414000000003</v>
      </c>
      <c r="V451" s="3">
        <v>150.85268300000001</v>
      </c>
    </row>
    <row r="452" spans="1:22" x14ac:dyDescent="0.35">
      <c r="A452" s="22" t="s">
        <v>1508</v>
      </c>
      <c r="B452" s="1" t="s">
        <v>1509</v>
      </c>
      <c r="C452" s="1" t="s">
        <v>1510</v>
      </c>
      <c r="D452" s="1" t="s">
        <v>529</v>
      </c>
      <c r="E452" s="1" t="s">
        <v>96</v>
      </c>
      <c r="F452" s="1" t="s">
        <v>57</v>
      </c>
      <c r="G452" s="1">
        <f t="shared" si="35"/>
        <v>2</v>
      </c>
      <c r="H452" s="1" t="s">
        <v>70</v>
      </c>
      <c r="I452" s="1" t="s">
        <v>49</v>
      </c>
      <c r="J452" s="23" t="s">
        <v>50</v>
      </c>
      <c r="K452" s="2" t="s">
        <v>51</v>
      </c>
      <c r="L452" s="1">
        <v>151</v>
      </c>
      <c r="M452" s="1">
        <v>7</v>
      </c>
      <c r="N452" s="1" t="str">
        <f t="shared" si="38"/>
        <v>Published</v>
      </c>
      <c r="O452" s="1">
        <f t="shared" si="36"/>
        <v>10.57</v>
      </c>
      <c r="P452" s="1"/>
      <c r="Q452" s="1">
        <v>982</v>
      </c>
      <c r="R452" s="1" t="str">
        <f t="shared" si="39"/>
        <v>2</v>
      </c>
      <c r="S452" s="1">
        <v>97</v>
      </c>
      <c r="T452" s="1" t="str">
        <f t="shared" si="37"/>
        <v>2</v>
      </c>
      <c r="U452" s="1">
        <v>-35.979939000000002</v>
      </c>
      <c r="V452" s="3">
        <v>146.636764</v>
      </c>
    </row>
    <row r="453" spans="1:22" x14ac:dyDescent="0.35">
      <c r="A453" s="22" t="s">
        <v>1511</v>
      </c>
      <c r="B453" s="1" t="s">
        <v>1512</v>
      </c>
      <c r="C453" s="1" t="s">
        <v>1513</v>
      </c>
      <c r="D453" s="1" t="s">
        <v>180</v>
      </c>
      <c r="E453" s="1" t="s">
        <v>181</v>
      </c>
      <c r="F453" s="1" t="s">
        <v>47</v>
      </c>
      <c r="G453" s="1">
        <f t="shared" si="35"/>
        <v>1</v>
      </c>
      <c r="H453" s="1" t="s">
        <v>182</v>
      </c>
      <c r="I453" s="1" t="s">
        <v>49</v>
      </c>
      <c r="J453" s="23" t="s">
        <v>50</v>
      </c>
      <c r="K453" s="2" t="s">
        <v>51</v>
      </c>
      <c r="L453" s="1">
        <v>531</v>
      </c>
      <c r="M453" s="1">
        <v>3</v>
      </c>
      <c r="N453" s="1" t="str">
        <f t="shared" si="38"/>
        <v>Published</v>
      </c>
      <c r="O453" s="1">
        <f t="shared" si="36"/>
        <v>15.93</v>
      </c>
      <c r="P453" s="1">
        <v>72</v>
      </c>
      <c r="Q453" s="1">
        <v>985</v>
      </c>
      <c r="R453" s="1" t="str">
        <f t="shared" si="39"/>
        <v>2</v>
      </c>
      <c r="S453" s="1">
        <v>113</v>
      </c>
      <c r="T453" s="1" t="str">
        <f t="shared" si="37"/>
        <v>3</v>
      </c>
      <c r="U453" s="1">
        <v>-33.931880999999997</v>
      </c>
      <c r="V453" s="3">
        <v>150.849626</v>
      </c>
    </row>
    <row r="454" spans="1:22" x14ac:dyDescent="0.35">
      <c r="A454" s="22" t="s">
        <v>1514</v>
      </c>
      <c r="B454" s="1" t="s">
        <v>1515</v>
      </c>
      <c r="C454" s="1" t="s">
        <v>1516</v>
      </c>
      <c r="D454" s="1" t="s">
        <v>713</v>
      </c>
      <c r="E454" s="1" t="s">
        <v>80</v>
      </c>
      <c r="F454" s="1" t="s">
        <v>69</v>
      </c>
      <c r="G454" s="1">
        <f t="shared" si="35"/>
        <v>3</v>
      </c>
      <c r="H454" s="1" t="s">
        <v>70</v>
      </c>
      <c r="I454" s="1" t="s">
        <v>49</v>
      </c>
      <c r="J454" s="23" t="s">
        <v>50</v>
      </c>
      <c r="K454" s="2" t="s">
        <v>51</v>
      </c>
      <c r="L454" s="1">
        <v>8</v>
      </c>
      <c r="M454" s="1">
        <v>0</v>
      </c>
      <c r="N454" s="1" t="str">
        <f t="shared" si="38"/>
        <v>Published</v>
      </c>
      <c r="O454" s="1">
        <f t="shared" si="36"/>
        <v>0</v>
      </c>
      <c r="P454" s="1"/>
      <c r="Q454" s="1">
        <v>1004</v>
      </c>
      <c r="R454" s="1" t="str">
        <f t="shared" si="39"/>
        <v>3</v>
      </c>
      <c r="S454" s="1">
        <v>96</v>
      </c>
      <c r="T454" s="1" t="str">
        <f t="shared" si="37"/>
        <v>1</v>
      </c>
      <c r="U454" s="1">
        <v>-35.483339000000001</v>
      </c>
      <c r="V454" s="3">
        <v>147.760583</v>
      </c>
    </row>
    <row r="455" spans="1:22" x14ac:dyDescent="0.35">
      <c r="A455" s="22" t="s">
        <v>1517</v>
      </c>
      <c r="B455" s="1" t="s">
        <v>1518</v>
      </c>
      <c r="C455" s="1" t="s">
        <v>533</v>
      </c>
      <c r="D455" s="1" t="s">
        <v>533</v>
      </c>
      <c r="E455" s="1" t="s">
        <v>306</v>
      </c>
      <c r="F455" s="1" t="s">
        <v>47</v>
      </c>
      <c r="G455" s="1">
        <f t="shared" si="35"/>
        <v>1</v>
      </c>
      <c r="H455" s="1" t="s">
        <v>148</v>
      </c>
      <c r="I455" s="1" t="s">
        <v>49</v>
      </c>
      <c r="J455" s="23" t="s">
        <v>50</v>
      </c>
      <c r="K455" s="2" t="s">
        <v>51</v>
      </c>
      <c r="L455" s="1">
        <v>228</v>
      </c>
      <c r="M455" s="1">
        <v>0</v>
      </c>
      <c r="N455" s="1" t="str">
        <f t="shared" si="38"/>
        <v>Published</v>
      </c>
      <c r="O455" s="1">
        <f t="shared" si="36"/>
        <v>0</v>
      </c>
      <c r="P455" s="1">
        <v>40</v>
      </c>
      <c r="Q455" s="1">
        <v>1149</v>
      </c>
      <c r="R455" s="1" t="str">
        <f t="shared" si="39"/>
        <v>4</v>
      </c>
      <c r="S455" s="1">
        <v>6</v>
      </c>
      <c r="T455" s="1" t="str">
        <f t="shared" si="37"/>
        <v>2</v>
      </c>
      <c r="U455" s="1">
        <v>-33.835121000000001</v>
      </c>
      <c r="V455" s="3">
        <v>151.15125399999999</v>
      </c>
    </row>
    <row r="456" spans="1:22" x14ac:dyDescent="0.35">
      <c r="A456" s="22" t="s">
        <v>1519</v>
      </c>
      <c r="B456" s="1" t="s">
        <v>1520</v>
      </c>
      <c r="C456" s="1" t="s">
        <v>301</v>
      </c>
      <c r="D456" s="1" t="s">
        <v>302</v>
      </c>
      <c r="E456" s="1" t="s">
        <v>276</v>
      </c>
      <c r="F456" s="1" t="s">
        <v>57</v>
      </c>
      <c r="G456" s="1">
        <f t="shared" si="35"/>
        <v>2</v>
      </c>
      <c r="H456" s="1" t="s">
        <v>58</v>
      </c>
      <c r="I456" s="1" t="s">
        <v>49</v>
      </c>
      <c r="J456" s="23" t="s">
        <v>50</v>
      </c>
      <c r="K456" s="2" t="s">
        <v>51</v>
      </c>
      <c r="L456" s="1">
        <v>22</v>
      </c>
      <c r="M456" s="1">
        <v>41</v>
      </c>
      <c r="N456" s="1" t="str">
        <f t="shared" si="38"/>
        <v>Published</v>
      </c>
      <c r="O456" s="1">
        <f t="shared" si="36"/>
        <v>9.02</v>
      </c>
      <c r="P456" s="1"/>
      <c r="Q456" s="1">
        <v>838</v>
      </c>
      <c r="R456" s="1" t="str">
        <f t="shared" si="39"/>
        <v>1</v>
      </c>
      <c r="S456" s="1">
        <v>149</v>
      </c>
      <c r="T456" s="1" t="str">
        <f t="shared" si="37"/>
        <v>1</v>
      </c>
      <c r="U456" s="1">
        <v>-31.478214000000001</v>
      </c>
      <c r="V456" s="3">
        <v>152.660607</v>
      </c>
    </row>
    <row r="457" spans="1:22" x14ac:dyDescent="0.35">
      <c r="A457" s="22" t="s">
        <v>1521</v>
      </c>
      <c r="B457" s="1" t="s">
        <v>1522</v>
      </c>
      <c r="C457" s="1" t="s">
        <v>1523</v>
      </c>
      <c r="D457" s="1" t="s">
        <v>191</v>
      </c>
      <c r="E457" s="1" t="s">
        <v>75</v>
      </c>
      <c r="F457" s="1" t="s">
        <v>47</v>
      </c>
      <c r="G457" s="1">
        <f t="shared" si="35"/>
        <v>1</v>
      </c>
      <c r="H457" s="1" t="s">
        <v>63</v>
      </c>
      <c r="I457" s="1" t="s">
        <v>49</v>
      </c>
      <c r="J457" s="23" t="s">
        <v>50</v>
      </c>
      <c r="K457" s="2" t="s">
        <v>51</v>
      </c>
      <c r="L457" s="1">
        <v>311</v>
      </c>
      <c r="M457" s="1">
        <v>13</v>
      </c>
      <c r="N457" s="1" t="str">
        <f t="shared" si="38"/>
        <v>Published</v>
      </c>
      <c r="O457" s="1">
        <f t="shared" si="36"/>
        <v>40.43</v>
      </c>
      <c r="P457" s="1">
        <v>10</v>
      </c>
      <c r="Q457" s="1">
        <v>996</v>
      </c>
      <c r="R457" s="1" t="str">
        <f t="shared" si="39"/>
        <v>2</v>
      </c>
      <c r="S457" s="1">
        <v>89</v>
      </c>
      <c r="T457" s="1" t="str">
        <f t="shared" si="37"/>
        <v>3</v>
      </c>
      <c r="U457" s="1">
        <v>-33.042628000000001</v>
      </c>
      <c r="V457" s="3">
        <v>151.5899</v>
      </c>
    </row>
    <row r="458" spans="1:22" x14ac:dyDescent="0.35">
      <c r="A458" s="22" t="s">
        <v>1524</v>
      </c>
      <c r="B458" s="1" t="s">
        <v>1525</v>
      </c>
      <c r="C458" s="1" t="s">
        <v>1526</v>
      </c>
      <c r="D458" s="1" t="s">
        <v>386</v>
      </c>
      <c r="E458" s="1" t="s">
        <v>229</v>
      </c>
      <c r="F458" s="1" t="s">
        <v>47</v>
      </c>
      <c r="G458" s="1">
        <f t="shared" si="35"/>
        <v>1</v>
      </c>
      <c r="H458" s="1" t="s">
        <v>48</v>
      </c>
      <c r="I458" s="1" t="s">
        <v>49</v>
      </c>
      <c r="J458" s="23" t="s">
        <v>50</v>
      </c>
      <c r="K458" s="2" t="s">
        <v>51</v>
      </c>
      <c r="L458" s="1">
        <v>1048</v>
      </c>
      <c r="M458" s="1">
        <v>1</v>
      </c>
      <c r="N458" s="1" t="str">
        <f t="shared" si="38"/>
        <v>Published</v>
      </c>
      <c r="O458" s="1">
        <f t="shared" si="36"/>
        <v>10.48</v>
      </c>
      <c r="P458" s="1">
        <v>99</v>
      </c>
      <c r="Q458" s="1">
        <v>1102</v>
      </c>
      <c r="R458" s="1" t="str">
        <f t="shared" si="39"/>
        <v>4</v>
      </c>
      <c r="S458" s="1">
        <v>30</v>
      </c>
      <c r="T458" s="1" t="str">
        <f t="shared" si="37"/>
        <v>5</v>
      </c>
      <c r="U458" s="1">
        <v>-33.964694999999999</v>
      </c>
      <c r="V458" s="3">
        <v>151.11072799999999</v>
      </c>
    </row>
    <row r="459" spans="1:22" x14ac:dyDescent="0.35">
      <c r="A459" s="22" t="s">
        <v>1527</v>
      </c>
      <c r="B459" s="1" t="s">
        <v>1528</v>
      </c>
      <c r="C459" s="1" t="s">
        <v>1529</v>
      </c>
      <c r="D459" s="1" t="s">
        <v>386</v>
      </c>
      <c r="E459" s="1" t="s">
        <v>229</v>
      </c>
      <c r="F459" s="1" t="s">
        <v>47</v>
      </c>
      <c r="G459" s="1">
        <f t="shared" si="35"/>
        <v>1</v>
      </c>
      <c r="H459" s="1" t="s">
        <v>48</v>
      </c>
      <c r="I459" s="1" t="s">
        <v>49</v>
      </c>
      <c r="J459" s="23" t="s">
        <v>50</v>
      </c>
      <c r="K459" s="2" t="s">
        <v>51</v>
      </c>
      <c r="L459" s="1">
        <v>453</v>
      </c>
      <c r="M459" s="1"/>
      <c r="N459" s="1" t="str">
        <f t="shared" si="38"/>
        <v>Suppressed</v>
      </c>
      <c r="O459" s="1" t="str">
        <f t="shared" si="36"/>
        <v/>
      </c>
      <c r="P459" s="1">
        <v>92</v>
      </c>
      <c r="Q459" s="1">
        <v>1077</v>
      </c>
      <c r="R459" s="1" t="str">
        <f t="shared" si="39"/>
        <v>3</v>
      </c>
      <c r="S459" s="1">
        <v>45</v>
      </c>
      <c r="T459" s="1" t="str">
        <f t="shared" si="37"/>
        <v>3</v>
      </c>
      <c r="U459" s="1">
        <v>-33.972515999999999</v>
      </c>
      <c r="V459" s="3">
        <v>151.09925200000001</v>
      </c>
    </row>
    <row r="460" spans="1:22" x14ac:dyDescent="0.35">
      <c r="A460" s="22" t="s">
        <v>1530</v>
      </c>
      <c r="B460" s="1" t="s">
        <v>1531</v>
      </c>
      <c r="C460" s="1" t="s">
        <v>1532</v>
      </c>
      <c r="D460" s="1" t="s">
        <v>382</v>
      </c>
      <c r="E460" s="1" t="s">
        <v>196</v>
      </c>
      <c r="F460" s="1" t="s">
        <v>57</v>
      </c>
      <c r="G460" s="1">
        <f t="shared" si="35"/>
        <v>2</v>
      </c>
      <c r="H460" s="1" t="s">
        <v>86</v>
      </c>
      <c r="I460" s="1" t="s">
        <v>49</v>
      </c>
      <c r="J460" s="23" t="s">
        <v>50</v>
      </c>
      <c r="K460" s="2" t="s">
        <v>51</v>
      </c>
      <c r="L460" s="1">
        <v>163</v>
      </c>
      <c r="M460" s="1">
        <v>13</v>
      </c>
      <c r="N460" s="1" t="str">
        <f t="shared" si="38"/>
        <v>Published</v>
      </c>
      <c r="O460" s="1">
        <f t="shared" si="36"/>
        <v>21.19</v>
      </c>
      <c r="P460" s="1">
        <v>16</v>
      </c>
      <c r="Q460" s="1">
        <v>1004</v>
      </c>
      <c r="R460" s="1" t="str">
        <f t="shared" si="39"/>
        <v>3</v>
      </c>
      <c r="S460" s="1">
        <v>82</v>
      </c>
      <c r="T460" s="1" t="str">
        <f t="shared" si="37"/>
        <v>2</v>
      </c>
      <c r="U460" s="1">
        <v>-35.036821000000003</v>
      </c>
      <c r="V460" s="3">
        <v>150.668104</v>
      </c>
    </row>
    <row r="461" spans="1:22" x14ac:dyDescent="0.35">
      <c r="A461" s="22" t="s">
        <v>1533</v>
      </c>
      <c r="B461" s="1" t="s">
        <v>1534</v>
      </c>
      <c r="C461" s="1" t="s">
        <v>1535</v>
      </c>
      <c r="D461" s="1" t="s">
        <v>1399</v>
      </c>
      <c r="E461" s="1" t="s">
        <v>261</v>
      </c>
      <c r="F461" s="1" t="s">
        <v>69</v>
      </c>
      <c r="G461" s="1">
        <f t="shared" si="35"/>
        <v>3</v>
      </c>
      <c r="H461" s="1" t="s">
        <v>58</v>
      </c>
      <c r="I461" s="1" t="s">
        <v>49</v>
      </c>
      <c r="J461" s="23" t="s">
        <v>50</v>
      </c>
      <c r="K461" s="2" t="s">
        <v>51</v>
      </c>
      <c r="L461" s="1">
        <v>18</v>
      </c>
      <c r="M461" s="1"/>
      <c r="N461" s="1" t="str">
        <f t="shared" si="38"/>
        <v>Suppressed</v>
      </c>
      <c r="O461" s="1" t="str">
        <f t="shared" si="36"/>
        <v/>
      </c>
      <c r="P461" s="1">
        <v>0</v>
      </c>
      <c r="Q461" s="1">
        <v>964</v>
      </c>
      <c r="R461" s="1" t="str">
        <f t="shared" si="39"/>
        <v>2</v>
      </c>
      <c r="S461" s="1">
        <v>119</v>
      </c>
      <c r="T461" s="1" t="str">
        <f t="shared" si="37"/>
        <v>1</v>
      </c>
      <c r="U461" s="1">
        <v>-32.966701999999998</v>
      </c>
      <c r="V461" s="3">
        <v>149.85547800000001</v>
      </c>
    </row>
    <row r="462" spans="1:22" x14ac:dyDescent="0.35">
      <c r="A462" s="22" t="s">
        <v>1536</v>
      </c>
      <c r="B462" s="1" t="s">
        <v>1537</v>
      </c>
      <c r="C462" s="1" t="s">
        <v>1538</v>
      </c>
      <c r="D462" s="1" t="s">
        <v>1177</v>
      </c>
      <c r="E462" s="1" t="s">
        <v>80</v>
      </c>
      <c r="F462" s="1" t="s">
        <v>69</v>
      </c>
      <c r="G462" s="1">
        <f t="shared" si="35"/>
        <v>3</v>
      </c>
      <c r="H462" s="1" t="s">
        <v>70</v>
      </c>
      <c r="I462" s="1" t="s">
        <v>49</v>
      </c>
      <c r="J462" s="23" t="s">
        <v>50</v>
      </c>
      <c r="K462" s="2" t="s">
        <v>51</v>
      </c>
      <c r="L462" s="1">
        <v>12</v>
      </c>
      <c r="M462" s="1"/>
      <c r="N462" s="1" t="str">
        <f t="shared" si="38"/>
        <v>Suppressed</v>
      </c>
      <c r="O462" s="1" t="str">
        <f t="shared" si="36"/>
        <v/>
      </c>
      <c r="P462" s="1">
        <v>0</v>
      </c>
      <c r="Q462" s="1">
        <v>995</v>
      </c>
      <c r="R462" s="1" t="str">
        <f t="shared" si="39"/>
        <v>2</v>
      </c>
      <c r="S462" s="1">
        <v>43</v>
      </c>
      <c r="T462" s="1" t="str">
        <f t="shared" si="37"/>
        <v>1</v>
      </c>
      <c r="U462" s="1">
        <v>-34.814002000000002</v>
      </c>
      <c r="V462" s="3">
        <v>147.741165</v>
      </c>
    </row>
    <row r="463" spans="1:22" x14ac:dyDescent="0.35">
      <c r="A463" s="22" t="s">
        <v>1539</v>
      </c>
      <c r="B463" s="1" t="s">
        <v>1540</v>
      </c>
      <c r="C463" s="1" t="s">
        <v>1541</v>
      </c>
      <c r="D463" s="1" t="s">
        <v>280</v>
      </c>
      <c r="E463" s="1" t="s">
        <v>281</v>
      </c>
      <c r="F463" s="1" t="s">
        <v>57</v>
      </c>
      <c r="G463" s="1">
        <f t="shared" si="35"/>
        <v>2</v>
      </c>
      <c r="H463" s="1" t="s">
        <v>92</v>
      </c>
      <c r="I463" s="1" t="s">
        <v>49</v>
      </c>
      <c r="J463" s="23" t="s">
        <v>50</v>
      </c>
      <c r="K463" s="2" t="s">
        <v>51</v>
      </c>
      <c r="L463" s="1">
        <v>96</v>
      </c>
      <c r="M463" s="1">
        <v>10</v>
      </c>
      <c r="N463" s="1" t="str">
        <f t="shared" si="38"/>
        <v>Published</v>
      </c>
      <c r="O463" s="1">
        <f t="shared" si="36"/>
        <v>9.6000000000000014</v>
      </c>
      <c r="P463" s="1">
        <v>9</v>
      </c>
      <c r="Q463" s="1">
        <v>996</v>
      </c>
      <c r="R463" s="1" t="str">
        <f t="shared" si="39"/>
        <v>2</v>
      </c>
      <c r="S463" s="1">
        <v>96</v>
      </c>
      <c r="T463" s="1" t="str">
        <f t="shared" si="37"/>
        <v>1</v>
      </c>
      <c r="U463" s="1">
        <v>-29.404675999999998</v>
      </c>
      <c r="V463" s="3">
        <v>153.348938</v>
      </c>
    </row>
    <row r="464" spans="1:22" x14ac:dyDescent="0.35">
      <c r="A464" s="22" t="s">
        <v>1542</v>
      </c>
      <c r="B464" s="1" t="s">
        <v>1543</v>
      </c>
      <c r="C464" s="1" t="s">
        <v>1544</v>
      </c>
      <c r="D464" s="1" t="s">
        <v>689</v>
      </c>
      <c r="E464" s="1" t="s">
        <v>122</v>
      </c>
      <c r="F464" s="1" t="s">
        <v>47</v>
      </c>
      <c r="G464" s="1">
        <f t="shared" si="35"/>
        <v>1</v>
      </c>
      <c r="H464" s="1" t="s">
        <v>182</v>
      </c>
      <c r="I464" s="1" t="s">
        <v>49</v>
      </c>
      <c r="J464" s="23" t="s">
        <v>50</v>
      </c>
      <c r="K464" s="2" t="s">
        <v>51</v>
      </c>
      <c r="L464" s="1">
        <v>424</v>
      </c>
      <c r="M464" s="1">
        <v>7</v>
      </c>
      <c r="N464" s="1" t="str">
        <f t="shared" si="38"/>
        <v>Published</v>
      </c>
      <c r="O464" s="1">
        <f t="shared" si="36"/>
        <v>29.680000000000003</v>
      </c>
      <c r="P464" s="1">
        <v>65</v>
      </c>
      <c r="Q464" s="1">
        <v>985</v>
      </c>
      <c r="R464" s="1" t="str">
        <f t="shared" si="39"/>
        <v>2</v>
      </c>
      <c r="S464" s="1">
        <v>95</v>
      </c>
      <c r="T464" s="1" t="str">
        <f t="shared" si="37"/>
        <v>3</v>
      </c>
      <c r="U464" s="1">
        <v>-34.000332</v>
      </c>
      <c r="V464" s="3">
        <v>150.866612</v>
      </c>
    </row>
    <row r="465" spans="1:22" x14ac:dyDescent="0.35">
      <c r="A465" s="22" t="s">
        <v>1545</v>
      </c>
      <c r="B465" s="1" t="s">
        <v>1546</v>
      </c>
      <c r="C465" s="1" t="s">
        <v>159</v>
      </c>
      <c r="D465" s="1" t="s">
        <v>159</v>
      </c>
      <c r="E465" s="1" t="s">
        <v>91</v>
      </c>
      <c r="F465" s="1" t="s">
        <v>69</v>
      </c>
      <c r="G465" s="1">
        <f t="shared" si="35"/>
        <v>3</v>
      </c>
      <c r="H465" s="1" t="s">
        <v>92</v>
      </c>
      <c r="I465" s="1" t="s">
        <v>49</v>
      </c>
      <c r="J465" s="23" t="s">
        <v>50</v>
      </c>
      <c r="K465" s="2" t="s">
        <v>51</v>
      </c>
      <c r="L465" s="1">
        <v>498</v>
      </c>
      <c r="M465" s="1">
        <v>28</v>
      </c>
      <c r="N465" s="1" t="str">
        <f t="shared" si="38"/>
        <v>Published</v>
      </c>
      <c r="O465" s="1">
        <f t="shared" si="36"/>
        <v>139.44000000000003</v>
      </c>
      <c r="P465" s="1">
        <v>4</v>
      </c>
      <c r="Q465" s="1">
        <v>899</v>
      </c>
      <c r="R465" s="1" t="str">
        <f t="shared" si="39"/>
        <v>1</v>
      </c>
      <c r="S465" s="1">
        <v>128</v>
      </c>
      <c r="T465" s="1" t="str">
        <f t="shared" si="37"/>
        <v>3</v>
      </c>
      <c r="U465" s="1">
        <v>-29.773135</v>
      </c>
      <c r="V465" s="3">
        <v>151.12301600000001</v>
      </c>
    </row>
    <row r="466" spans="1:22" x14ac:dyDescent="0.35">
      <c r="A466" s="22" t="s">
        <v>1547</v>
      </c>
      <c r="B466" s="1" t="s">
        <v>1548</v>
      </c>
      <c r="C466" s="1" t="s">
        <v>1549</v>
      </c>
      <c r="D466" s="1" t="s">
        <v>111</v>
      </c>
      <c r="E466" s="1" t="s">
        <v>56</v>
      </c>
      <c r="F466" s="1" t="s">
        <v>57</v>
      </c>
      <c r="G466" s="1">
        <f t="shared" si="35"/>
        <v>2</v>
      </c>
      <c r="H466" s="1" t="s">
        <v>58</v>
      </c>
      <c r="I466" s="1" t="s">
        <v>49</v>
      </c>
      <c r="J466" s="23" t="s">
        <v>50</v>
      </c>
      <c r="K466" s="2" t="s">
        <v>51</v>
      </c>
      <c r="L466" s="1">
        <v>47</v>
      </c>
      <c r="M466" s="1">
        <v>19</v>
      </c>
      <c r="N466" s="1" t="str">
        <f t="shared" si="38"/>
        <v>Published</v>
      </c>
      <c r="O466" s="1">
        <f t="shared" si="36"/>
        <v>8.93</v>
      </c>
      <c r="P466" s="1"/>
      <c r="Q466" s="1">
        <v>992</v>
      </c>
      <c r="R466" s="1" t="str">
        <f t="shared" si="39"/>
        <v>2</v>
      </c>
      <c r="S466" s="1">
        <v>87</v>
      </c>
      <c r="T466" s="1" t="str">
        <f t="shared" si="37"/>
        <v>1</v>
      </c>
      <c r="U466" s="1">
        <v>-32.665063000000004</v>
      </c>
      <c r="V466" s="3">
        <v>151.604218</v>
      </c>
    </row>
    <row r="467" spans="1:22" x14ac:dyDescent="0.35">
      <c r="A467" s="22" t="s">
        <v>1550</v>
      </c>
      <c r="B467" s="1" t="s">
        <v>1551</v>
      </c>
      <c r="C467" s="1" t="s">
        <v>1552</v>
      </c>
      <c r="D467" s="1" t="s">
        <v>74</v>
      </c>
      <c r="E467" s="1" t="s">
        <v>75</v>
      </c>
      <c r="F467" s="1" t="s">
        <v>47</v>
      </c>
      <c r="G467" s="1">
        <f t="shared" si="35"/>
        <v>1</v>
      </c>
      <c r="H467" s="1" t="s">
        <v>63</v>
      </c>
      <c r="I467" s="1" t="s">
        <v>49</v>
      </c>
      <c r="J467" s="23" t="s">
        <v>50</v>
      </c>
      <c r="K467" s="2" t="s">
        <v>51</v>
      </c>
      <c r="L467" s="1">
        <v>159</v>
      </c>
      <c r="M467" s="1">
        <v>4</v>
      </c>
      <c r="N467" s="1" t="str">
        <f t="shared" si="38"/>
        <v>Published</v>
      </c>
      <c r="O467" s="1">
        <f t="shared" si="36"/>
        <v>6.36</v>
      </c>
      <c r="P467" s="1">
        <v>11</v>
      </c>
      <c r="Q467" s="1">
        <v>1090</v>
      </c>
      <c r="R467" s="1" t="str">
        <f t="shared" si="39"/>
        <v>3</v>
      </c>
      <c r="S467" s="1">
        <v>39</v>
      </c>
      <c r="T467" s="1" t="str">
        <f t="shared" si="37"/>
        <v>2</v>
      </c>
      <c r="U467" s="1">
        <v>-32.911411999999999</v>
      </c>
      <c r="V467" s="3">
        <v>151.744091</v>
      </c>
    </row>
    <row r="468" spans="1:22" x14ac:dyDescent="0.35">
      <c r="A468" s="22" t="s">
        <v>1553</v>
      </c>
      <c r="B468" s="1" t="s">
        <v>1554</v>
      </c>
      <c r="C468" s="1" t="s">
        <v>1555</v>
      </c>
      <c r="D468" s="1" t="s">
        <v>1556</v>
      </c>
      <c r="E468" s="1" t="s">
        <v>102</v>
      </c>
      <c r="F468" s="1" t="s">
        <v>544</v>
      </c>
      <c r="G468" s="1">
        <f t="shared" si="35"/>
        <v>5</v>
      </c>
      <c r="H468" s="1" t="s">
        <v>70</v>
      </c>
      <c r="I468" s="1" t="s">
        <v>132</v>
      </c>
      <c r="J468" s="23" t="s">
        <v>50</v>
      </c>
      <c r="K468" s="2" t="s">
        <v>51</v>
      </c>
      <c r="L468" s="1">
        <v>29</v>
      </c>
      <c r="M468" s="1">
        <v>62</v>
      </c>
      <c r="N468" s="1" t="str">
        <f t="shared" si="38"/>
        <v>Published</v>
      </c>
      <c r="O468" s="1">
        <f t="shared" si="36"/>
        <v>17.98</v>
      </c>
      <c r="P468" s="1"/>
      <c r="Q468" s="1">
        <v>747</v>
      </c>
      <c r="R468" s="1" t="str">
        <f t="shared" si="39"/>
        <v>1</v>
      </c>
      <c r="S468" s="1">
        <v>169</v>
      </c>
      <c r="T468" s="1" t="str">
        <f t="shared" si="37"/>
        <v>1</v>
      </c>
      <c r="U468" s="1">
        <v>-32.898530999999998</v>
      </c>
      <c r="V468" s="3">
        <v>144.30097799999999</v>
      </c>
    </row>
    <row r="469" spans="1:22" x14ac:dyDescent="0.35">
      <c r="A469" s="22" t="s">
        <v>1557</v>
      </c>
      <c r="B469" s="1" t="s">
        <v>1558</v>
      </c>
      <c r="C469" s="1" t="s">
        <v>1559</v>
      </c>
      <c r="D469" s="1" t="s">
        <v>106</v>
      </c>
      <c r="E469" s="1" t="s">
        <v>107</v>
      </c>
      <c r="F469" s="1" t="s">
        <v>57</v>
      </c>
      <c r="G469" s="1">
        <f t="shared" si="35"/>
        <v>2</v>
      </c>
      <c r="H469" s="1" t="s">
        <v>92</v>
      </c>
      <c r="I469" s="1" t="s">
        <v>49</v>
      </c>
      <c r="J469" s="23" t="s">
        <v>50</v>
      </c>
      <c r="K469" s="2" t="s">
        <v>51</v>
      </c>
      <c r="L469" s="1">
        <v>33</v>
      </c>
      <c r="M469" s="1"/>
      <c r="N469" s="1" t="str">
        <f t="shared" si="38"/>
        <v>Suppressed</v>
      </c>
      <c r="O469" s="1" t="str">
        <f t="shared" si="36"/>
        <v/>
      </c>
      <c r="P469" s="1"/>
      <c r="Q469" s="1">
        <v>1032</v>
      </c>
      <c r="R469" s="1" t="str">
        <f t="shared" si="39"/>
        <v>3</v>
      </c>
      <c r="S469" s="1">
        <v>78</v>
      </c>
      <c r="T469" s="1" t="str">
        <f t="shared" si="37"/>
        <v>1</v>
      </c>
      <c r="U469" s="1">
        <v>-28.76765</v>
      </c>
      <c r="V469" s="3">
        <v>153.49839900000001</v>
      </c>
    </row>
    <row r="470" spans="1:22" x14ac:dyDescent="0.35">
      <c r="A470" s="22" t="s">
        <v>1560</v>
      </c>
      <c r="B470" s="1" t="s">
        <v>1561</v>
      </c>
      <c r="C470" s="1" t="s">
        <v>1562</v>
      </c>
      <c r="D470" s="1" t="s">
        <v>1255</v>
      </c>
      <c r="E470" s="1" t="s">
        <v>85</v>
      </c>
      <c r="F470" s="1" t="s">
        <v>57</v>
      </c>
      <c r="G470" s="1">
        <f t="shared" si="35"/>
        <v>2</v>
      </c>
      <c r="H470" s="1" t="s">
        <v>86</v>
      </c>
      <c r="I470" s="1" t="s">
        <v>49</v>
      </c>
      <c r="J470" s="23" t="s">
        <v>50</v>
      </c>
      <c r="K470" s="2" t="s">
        <v>51</v>
      </c>
      <c r="L470" s="1">
        <v>131</v>
      </c>
      <c r="M470" s="1"/>
      <c r="N470" s="1" t="str">
        <f t="shared" si="38"/>
        <v>Suppressed</v>
      </c>
      <c r="O470" s="1" t="str">
        <f t="shared" si="36"/>
        <v/>
      </c>
      <c r="P470" s="1">
        <v>6</v>
      </c>
      <c r="Q470" s="1">
        <v>1045</v>
      </c>
      <c r="R470" s="1" t="str">
        <f t="shared" si="39"/>
        <v>3</v>
      </c>
      <c r="S470" s="1">
        <v>67</v>
      </c>
      <c r="T470" s="1" t="str">
        <f t="shared" si="37"/>
        <v>2</v>
      </c>
      <c r="U470" s="1">
        <v>-34.644621999999998</v>
      </c>
      <c r="V470" s="3">
        <v>150.77300299999999</v>
      </c>
    </row>
    <row r="471" spans="1:22" x14ac:dyDescent="0.35">
      <c r="A471" s="22" t="s">
        <v>1563</v>
      </c>
      <c r="B471" s="1" t="s">
        <v>1564</v>
      </c>
      <c r="C471" s="1" t="s">
        <v>1565</v>
      </c>
      <c r="D471" s="1" t="s">
        <v>1043</v>
      </c>
      <c r="E471" s="1" t="s">
        <v>91</v>
      </c>
      <c r="F471" s="1" t="s">
        <v>69</v>
      </c>
      <c r="G471" s="1">
        <f t="shared" si="35"/>
        <v>3</v>
      </c>
      <c r="H471" s="1" t="s">
        <v>92</v>
      </c>
      <c r="I471" s="1" t="s">
        <v>49</v>
      </c>
      <c r="J471" s="23" t="s">
        <v>50</v>
      </c>
      <c r="K471" s="2" t="s">
        <v>51</v>
      </c>
      <c r="L471" s="1">
        <v>10</v>
      </c>
      <c r="M471" s="1">
        <v>60</v>
      </c>
      <c r="N471" s="1" t="str">
        <f t="shared" si="38"/>
        <v>Published</v>
      </c>
      <c r="O471" s="1">
        <f t="shared" si="36"/>
        <v>6</v>
      </c>
      <c r="P471" s="1">
        <v>0</v>
      </c>
      <c r="Q471" s="1">
        <v>795</v>
      </c>
      <c r="R471" s="1" t="str">
        <f t="shared" si="39"/>
        <v>1</v>
      </c>
      <c r="S471" s="1">
        <v>123</v>
      </c>
      <c r="T471" s="1" t="str">
        <f t="shared" si="37"/>
        <v>1</v>
      </c>
      <c r="U471" s="1">
        <v>-28.927243000000001</v>
      </c>
      <c r="V471" s="3">
        <v>151.93435700000001</v>
      </c>
    </row>
    <row r="472" spans="1:22" x14ac:dyDescent="0.35">
      <c r="A472" s="22" t="s">
        <v>1566</v>
      </c>
      <c r="B472" s="1" t="s">
        <v>1567</v>
      </c>
      <c r="C472" s="1" t="s">
        <v>1568</v>
      </c>
      <c r="D472" s="1" t="s">
        <v>1007</v>
      </c>
      <c r="E472" s="1" t="s">
        <v>96</v>
      </c>
      <c r="F472" s="1" t="s">
        <v>69</v>
      </c>
      <c r="G472" s="1">
        <f t="shared" si="35"/>
        <v>3</v>
      </c>
      <c r="H472" s="1" t="s">
        <v>70</v>
      </c>
      <c r="I472" s="1" t="s">
        <v>49</v>
      </c>
      <c r="J472" s="23" t="s">
        <v>50</v>
      </c>
      <c r="K472" s="2" t="s">
        <v>51</v>
      </c>
      <c r="L472" s="1">
        <v>14</v>
      </c>
      <c r="M472" s="1"/>
      <c r="N472" s="1" t="str">
        <f t="shared" si="38"/>
        <v>Suppressed</v>
      </c>
      <c r="O472" s="1" t="str">
        <f t="shared" si="36"/>
        <v/>
      </c>
      <c r="P472" s="1"/>
      <c r="Q472" s="1">
        <v>954</v>
      </c>
      <c r="R472" s="1" t="str">
        <f t="shared" si="39"/>
        <v>2</v>
      </c>
      <c r="S472" s="1">
        <v>125</v>
      </c>
      <c r="T472" s="1" t="str">
        <f t="shared" si="37"/>
        <v>1</v>
      </c>
      <c r="U472" s="1">
        <v>-35.354598000000003</v>
      </c>
      <c r="V472" s="3">
        <v>145.72886500000001</v>
      </c>
    </row>
    <row r="473" spans="1:22" x14ac:dyDescent="0.35">
      <c r="A473" s="22" t="s">
        <v>1569</v>
      </c>
      <c r="B473" s="1" t="s">
        <v>1570</v>
      </c>
      <c r="C473" s="1" t="s">
        <v>1571</v>
      </c>
      <c r="D473" s="1" t="s">
        <v>595</v>
      </c>
      <c r="E473" s="1" t="s">
        <v>56</v>
      </c>
      <c r="F473" s="1" t="s">
        <v>69</v>
      </c>
      <c r="G473" s="1">
        <f t="shared" si="35"/>
        <v>3</v>
      </c>
      <c r="H473" s="1" t="s">
        <v>58</v>
      </c>
      <c r="I473" s="1" t="s">
        <v>49</v>
      </c>
      <c r="J473" s="23" t="s">
        <v>50</v>
      </c>
      <c r="K473" s="2" t="s">
        <v>51</v>
      </c>
      <c r="L473" s="1">
        <v>15</v>
      </c>
      <c r="M473" s="1"/>
      <c r="N473" s="1" t="str">
        <f t="shared" si="38"/>
        <v>Suppressed</v>
      </c>
      <c r="O473" s="1" t="str">
        <f t="shared" si="36"/>
        <v/>
      </c>
      <c r="P473" s="1">
        <v>0</v>
      </c>
      <c r="Q473" s="1">
        <v>877</v>
      </c>
      <c r="R473" s="1" t="str">
        <f t="shared" si="39"/>
        <v>1</v>
      </c>
      <c r="S473" s="1">
        <v>173</v>
      </c>
      <c r="T473" s="1" t="str">
        <f t="shared" si="37"/>
        <v>1</v>
      </c>
      <c r="U473" s="1">
        <v>-32.497230000000002</v>
      </c>
      <c r="V473" s="3">
        <v>150.90594400000001</v>
      </c>
    </row>
    <row r="474" spans="1:22" x14ac:dyDescent="0.35">
      <c r="A474" s="22" t="s">
        <v>1572</v>
      </c>
      <c r="B474" s="1" t="s">
        <v>1573</v>
      </c>
      <c r="C474" s="1" t="s">
        <v>1574</v>
      </c>
      <c r="D474" s="1" t="s">
        <v>74</v>
      </c>
      <c r="E474" s="1" t="s">
        <v>75</v>
      </c>
      <c r="F474" s="1" t="s">
        <v>47</v>
      </c>
      <c r="G474" s="1">
        <f t="shared" si="35"/>
        <v>1</v>
      </c>
      <c r="H474" s="1" t="s">
        <v>63</v>
      </c>
      <c r="I474" s="1" t="s">
        <v>49</v>
      </c>
      <c r="J474" s="23" t="s">
        <v>50</v>
      </c>
      <c r="K474" s="2" t="s">
        <v>51</v>
      </c>
      <c r="L474" s="1">
        <v>216</v>
      </c>
      <c r="M474" s="1">
        <v>10</v>
      </c>
      <c r="N474" s="1" t="str">
        <f t="shared" si="38"/>
        <v>Published</v>
      </c>
      <c r="O474" s="1">
        <f t="shared" si="36"/>
        <v>21.6</v>
      </c>
      <c r="P474" s="1">
        <v>76</v>
      </c>
      <c r="Q474" s="1">
        <v>923</v>
      </c>
      <c r="R474" s="1" t="str">
        <f t="shared" si="39"/>
        <v>2</v>
      </c>
      <c r="S474" s="1">
        <v>156</v>
      </c>
      <c r="T474" s="1" t="str">
        <f t="shared" si="37"/>
        <v>2</v>
      </c>
      <c r="U474" s="1">
        <v>-32.903841</v>
      </c>
      <c r="V474" s="3">
        <v>151.695427</v>
      </c>
    </row>
    <row r="475" spans="1:22" x14ac:dyDescent="0.35">
      <c r="A475" s="22" t="s">
        <v>1575</v>
      </c>
      <c r="B475" s="1" t="s">
        <v>1576</v>
      </c>
      <c r="C475" s="1" t="s">
        <v>1577</v>
      </c>
      <c r="D475" s="1" t="s">
        <v>390</v>
      </c>
      <c r="E475" s="1" t="s">
        <v>107</v>
      </c>
      <c r="F475" s="1" t="s">
        <v>57</v>
      </c>
      <c r="G475" s="1">
        <f t="shared" si="35"/>
        <v>2</v>
      </c>
      <c r="H475" s="1" t="s">
        <v>92</v>
      </c>
      <c r="I475" s="1" t="s">
        <v>49</v>
      </c>
      <c r="J475" s="23" t="s">
        <v>50</v>
      </c>
      <c r="K475" s="2" t="s">
        <v>51</v>
      </c>
      <c r="L475" s="1">
        <v>25</v>
      </c>
      <c r="M475" s="1"/>
      <c r="N475" s="1" t="str">
        <f t="shared" si="38"/>
        <v>Suppressed</v>
      </c>
      <c r="O475" s="1" t="str">
        <f t="shared" si="36"/>
        <v/>
      </c>
      <c r="P475" s="1"/>
      <c r="Q475" s="1">
        <v>1010</v>
      </c>
      <c r="R475" s="1" t="str">
        <f t="shared" si="39"/>
        <v>3</v>
      </c>
      <c r="S475" s="1">
        <v>83</v>
      </c>
      <c r="T475" s="1" t="str">
        <f t="shared" si="37"/>
        <v>1</v>
      </c>
      <c r="U475" s="1">
        <v>-28.677986000000001</v>
      </c>
      <c r="V475" s="3">
        <v>153.18136799999999</v>
      </c>
    </row>
    <row r="476" spans="1:22" x14ac:dyDescent="0.35">
      <c r="A476" s="22" t="s">
        <v>1578</v>
      </c>
      <c r="B476" s="1" t="s">
        <v>1579</v>
      </c>
      <c r="C476" s="1" t="s">
        <v>1580</v>
      </c>
      <c r="D476" s="1" t="s">
        <v>186</v>
      </c>
      <c r="E476" s="1" t="s">
        <v>187</v>
      </c>
      <c r="F476" s="1" t="s">
        <v>57</v>
      </c>
      <c r="G476" s="1">
        <f t="shared" si="35"/>
        <v>2</v>
      </c>
      <c r="H476" s="1" t="s">
        <v>63</v>
      </c>
      <c r="I476" s="1" t="s">
        <v>49</v>
      </c>
      <c r="J476" s="23" t="s">
        <v>50</v>
      </c>
      <c r="K476" s="2" t="s">
        <v>51</v>
      </c>
      <c r="L476" s="1">
        <v>60</v>
      </c>
      <c r="M476" s="1">
        <v>13</v>
      </c>
      <c r="N476" s="1" t="str">
        <f t="shared" si="38"/>
        <v>Published</v>
      </c>
      <c r="O476" s="1">
        <f t="shared" si="36"/>
        <v>7.8000000000000007</v>
      </c>
      <c r="P476" s="1"/>
      <c r="Q476" s="1">
        <v>989</v>
      </c>
      <c r="R476" s="1" t="str">
        <f t="shared" si="39"/>
        <v>2</v>
      </c>
      <c r="S476" s="1">
        <v>81</v>
      </c>
      <c r="T476" s="1" t="str">
        <f t="shared" si="37"/>
        <v>1</v>
      </c>
      <c r="U476" s="1">
        <v>-33.239936999999998</v>
      </c>
      <c r="V476" s="3">
        <v>151.38005200000001</v>
      </c>
    </row>
    <row r="477" spans="1:22" x14ac:dyDescent="0.35">
      <c r="A477" s="22" t="s">
        <v>1581</v>
      </c>
      <c r="B477" s="1" t="s">
        <v>1582</v>
      </c>
      <c r="C477" s="1" t="s">
        <v>1583</v>
      </c>
      <c r="D477" s="1" t="s">
        <v>591</v>
      </c>
      <c r="E477" s="1" t="s">
        <v>96</v>
      </c>
      <c r="F477" s="1" t="s">
        <v>57</v>
      </c>
      <c r="G477" s="1">
        <f t="shared" si="35"/>
        <v>2</v>
      </c>
      <c r="H477" s="1" t="s">
        <v>70</v>
      </c>
      <c r="I477" s="1" t="s">
        <v>49</v>
      </c>
      <c r="J477" s="23" t="s">
        <v>50</v>
      </c>
      <c r="K477" s="2" t="s">
        <v>51</v>
      </c>
      <c r="L477" s="1">
        <v>164</v>
      </c>
      <c r="M477" s="1">
        <v>15</v>
      </c>
      <c r="N477" s="1" t="str">
        <f t="shared" si="38"/>
        <v>Published</v>
      </c>
      <c r="O477" s="1">
        <f t="shared" si="36"/>
        <v>24.599999999999998</v>
      </c>
      <c r="P477" s="1"/>
      <c r="Q477" s="1">
        <v>969</v>
      </c>
      <c r="R477" s="1" t="str">
        <f t="shared" si="39"/>
        <v>2</v>
      </c>
      <c r="S477" s="1">
        <v>119</v>
      </c>
      <c r="T477" s="1" t="str">
        <f t="shared" si="37"/>
        <v>2</v>
      </c>
      <c r="U477" s="1">
        <v>-35.959035999999998</v>
      </c>
      <c r="V477" s="3">
        <v>146.886741</v>
      </c>
    </row>
    <row r="478" spans="1:22" x14ac:dyDescent="0.35">
      <c r="A478" s="22" t="s">
        <v>1584</v>
      </c>
      <c r="B478" s="1" t="s">
        <v>1585</v>
      </c>
      <c r="C478" s="1" t="s">
        <v>1586</v>
      </c>
      <c r="D478" s="1" t="s">
        <v>525</v>
      </c>
      <c r="E478" s="1" t="s">
        <v>68</v>
      </c>
      <c r="F478" s="1" t="s">
        <v>69</v>
      </c>
      <c r="G478" s="1">
        <f t="shared" si="35"/>
        <v>3</v>
      </c>
      <c r="H478" s="1" t="s">
        <v>70</v>
      </c>
      <c r="I478" s="1" t="s">
        <v>49</v>
      </c>
      <c r="J478" s="23" t="s">
        <v>50</v>
      </c>
      <c r="K478" s="2" t="s">
        <v>51</v>
      </c>
      <c r="L478" s="1">
        <v>22</v>
      </c>
      <c r="M478" s="1">
        <v>0</v>
      </c>
      <c r="N478" s="1" t="str">
        <f t="shared" si="38"/>
        <v>Published</v>
      </c>
      <c r="O478" s="1">
        <f t="shared" si="36"/>
        <v>0</v>
      </c>
      <c r="P478" s="1">
        <v>0</v>
      </c>
      <c r="Q478" s="1">
        <v>994</v>
      </c>
      <c r="R478" s="1" t="str">
        <f t="shared" si="39"/>
        <v>2</v>
      </c>
      <c r="S478" s="1">
        <v>80</v>
      </c>
      <c r="T478" s="1" t="str">
        <f t="shared" si="37"/>
        <v>1</v>
      </c>
      <c r="U478" s="1">
        <v>-34.820202999999999</v>
      </c>
      <c r="V478" s="3">
        <v>148.33544699999999</v>
      </c>
    </row>
    <row r="479" spans="1:22" x14ac:dyDescent="0.35">
      <c r="A479" s="22" t="s">
        <v>1587</v>
      </c>
      <c r="B479" s="1" t="s">
        <v>1588</v>
      </c>
      <c r="C479" s="1" t="s">
        <v>1589</v>
      </c>
      <c r="D479" s="1" t="s">
        <v>74</v>
      </c>
      <c r="E479" s="1" t="s">
        <v>75</v>
      </c>
      <c r="F479" s="1" t="s">
        <v>47</v>
      </c>
      <c r="G479" s="1">
        <f t="shared" si="35"/>
        <v>1</v>
      </c>
      <c r="H479" s="1" t="s">
        <v>63</v>
      </c>
      <c r="I479" s="1" t="s">
        <v>49</v>
      </c>
      <c r="J479" s="23" t="s">
        <v>50</v>
      </c>
      <c r="K479" s="2" t="s">
        <v>51</v>
      </c>
      <c r="L479" s="1">
        <v>450</v>
      </c>
      <c r="M479" s="1">
        <v>6</v>
      </c>
      <c r="N479" s="1" t="str">
        <f t="shared" si="38"/>
        <v>Published</v>
      </c>
      <c r="O479" s="1">
        <f t="shared" si="36"/>
        <v>27</v>
      </c>
      <c r="P479" s="1">
        <v>19</v>
      </c>
      <c r="Q479" s="1">
        <v>1115</v>
      </c>
      <c r="R479" s="1" t="str">
        <f t="shared" si="39"/>
        <v>4</v>
      </c>
      <c r="S479" s="1">
        <v>33</v>
      </c>
      <c r="T479" s="1" t="str">
        <f t="shared" si="37"/>
        <v>3</v>
      </c>
      <c r="U479" s="1">
        <v>-32.939964000000003</v>
      </c>
      <c r="V479" s="3">
        <v>151.758644</v>
      </c>
    </row>
    <row r="480" spans="1:22" x14ac:dyDescent="0.35">
      <c r="A480" s="22" t="s">
        <v>1590</v>
      </c>
      <c r="B480" s="1" t="s">
        <v>1591</v>
      </c>
      <c r="C480" s="1" t="s">
        <v>1177</v>
      </c>
      <c r="D480" s="1" t="s">
        <v>1177</v>
      </c>
      <c r="E480" s="1" t="s">
        <v>80</v>
      </c>
      <c r="F480" s="1" t="s">
        <v>57</v>
      </c>
      <c r="G480" s="1">
        <f t="shared" si="35"/>
        <v>2</v>
      </c>
      <c r="H480" s="1" t="s">
        <v>70</v>
      </c>
      <c r="I480" s="1" t="s">
        <v>49</v>
      </c>
      <c r="J480" s="23" t="s">
        <v>50</v>
      </c>
      <c r="K480" s="2" t="s">
        <v>51</v>
      </c>
      <c r="L480" s="1">
        <v>118</v>
      </c>
      <c r="M480" s="1">
        <v>23</v>
      </c>
      <c r="N480" s="1" t="str">
        <f t="shared" si="38"/>
        <v>Published</v>
      </c>
      <c r="O480" s="1">
        <f t="shared" si="36"/>
        <v>27.14</v>
      </c>
      <c r="P480" s="1">
        <v>12</v>
      </c>
      <c r="Q480" s="1">
        <v>906</v>
      </c>
      <c r="R480" s="1" t="str">
        <f t="shared" si="39"/>
        <v>2</v>
      </c>
      <c r="S480" s="1">
        <v>131</v>
      </c>
      <c r="T480" s="1" t="str">
        <f t="shared" si="37"/>
        <v>2</v>
      </c>
      <c r="U480" s="1">
        <v>-34.873488000000002</v>
      </c>
      <c r="V480" s="3">
        <v>147.584901</v>
      </c>
    </row>
    <row r="481" spans="1:22" x14ac:dyDescent="0.35">
      <c r="A481" s="22" t="s">
        <v>1592</v>
      </c>
      <c r="B481" s="1" t="s">
        <v>1593</v>
      </c>
      <c r="C481" s="1" t="s">
        <v>1177</v>
      </c>
      <c r="D481" s="1" t="s">
        <v>1177</v>
      </c>
      <c r="E481" s="1" t="s">
        <v>80</v>
      </c>
      <c r="F481" s="1" t="s">
        <v>57</v>
      </c>
      <c r="G481" s="1">
        <f t="shared" si="35"/>
        <v>2</v>
      </c>
      <c r="H481" s="1" t="s">
        <v>70</v>
      </c>
      <c r="I481" s="1" t="s">
        <v>49</v>
      </c>
      <c r="J481" s="23" t="s">
        <v>50</v>
      </c>
      <c r="K481" s="2" t="s">
        <v>51</v>
      </c>
      <c r="L481" s="1">
        <v>111</v>
      </c>
      <c r="M481" s="1">
        <v>18</v>
      </c>
      <c r="N481" s="1" t="str">
        <f t="shared" si="38"/>
        <v>Published</v>
      </c>
      <c r="O481" s="1">
        <f t="shared" si="36"/>
        <v>19.98</v>
      </c>
      <c r="P481" s="1">
        <v>7</v>
      </c>
      <c r="Q481" s="1">
        <v>915</v>
      </c>
      <c r="R481" s="1" t="str">
        <f t="shared" si="39"/>
        <v>2</v>
      </c>
      <c r="S481" s="1">
        <v>140</v>
      </c>
      <c r="T481" s="1" t="str">
        <f t="shared" si="37"/>
        <v>2</v>
      </c>
      <c r="U481" s="1">
        <v>-34.855049000000001</v>
      </c>
      <c r="V481" s="3">
        <v>147.585376</v>
      </c>
    </row>
    <row r="482" spans="1:22" x14ac:dyDescent="0.35">
      <c r="A482" s="22" t="s">
        <v>1594</v>
      </c>
      <c r="B482" s="1" t="s">
        <v>1595</v>
      </c>
      <c r="C482" s="1" t="s">
        <v>1596</v>
      </c>
      <c r="D482" s="1" t="s">
        <v>1399</v>
      </c>
      <c r="E482" s="1" t="s">
        <v>261</v>
      </c>
      <c r="F482" s="1" t="s">
        <v>57</v>
      </c>
      <c r="G482" s="1">
        <f t="shared" si="35"/>
        <v>2</v>
      </c>
      <c r="H482" s="1" t="s">
        <v>58</v>
      </c>
      <c r="I482" s="1" t="s">
        <v>49</v>
      </c>
      <c r="J482" s="23" t="s">
        <v>50</v>
      </c>
      <c r="K482" s="2" t="s">
        <v>51</v>
      </c>
      <c r="L482" s="1">
        <v>95</v>
      </c>
      <c r="M482" s="1">
        <v>34</v>
      </c>
      <c r="N482" s="1" t="str">
        <f t="shared" si="38"/>
        <v>Published</v>
      </c>
      <c r="O482" s="1">
        <f t="shared" si="36"/>
        <v>32.300000000000004</v>
      </c>
      <c r="P482" s="1"/>
      <c r="Q482" s="1">
        <v>837</v>
      </c>
      <c r="R482" s="1" t="str">
        <f t="shared" si="39"/>
        <v>1</v>
      </c>
      <c r="S482" s="1">
        <v>178</v>
      </c>
      <c r="T482" s="1" t="str">
        <f t="shared" si="37"/>
        <v>1</v>
      </c>
      <c r="U482" s="1">
        <v>-32.856242000000002</v>
      </c>
      <c r="V482" s="3">
        <v>149.97481300000001</v>
      </c>
    </row>
    <row r="483" spans="1:22" x14ac:dyDescent="0.35">
      <c r="A483" s="22" t="s">
        <v>1597</v>
      </c>
      <c r="B483" s="1" t="s">
        <v>1598</v>
      </c>
      <c r="C483" s="1" t="s">
        <v>1599</v>
      </c>
      <c r="D483" s="1" t="s">
        <v>195</v>
      </c>
      <c r="E483" s="1" t="s">
        <v>196</v>
      </c>
      <c r="F483" s="1" t="s">
        <v>57</v>
      </c>
      <c r="G483" s="1">
        <f t="shared" si="35"/>
        <v>2</v>
      </c>
      <c r="H483" s="1" t="s">
        <v>86</v>
      </c>
      <c r="I483" s="1" t="s">
        <v>49</v>
      </c>
      <c r="J483" s="23" t="s">
        <v>50</v>
      </c>
      <c r="K483" s="2" t="s">
        <v>51</v>
      </c>
      <c r="L483" s="1">
        <v>20</v>
      </c>
      <c r="M483" s="1">
        <v>0</v>
      </c>
      <c r="N483" s="1" t="str">
        <f t="shared" si="38"/>
        <v>Published</v>
      </c>
      <c r="O483" s="1">
        <f t="shared" si="36"/>
        <v>0</v>
      </c>
      <c r="P483" s="1">
        <v>30</v>
      </c>
      <c r="Q483" s="1">
        <v>1074</v>
      </c>
      <c r="R483" s="1" t="str">
        <f t="shared" si="39"/>
        <v>3</v>
      </c>
      <c r="S483" s="1">
        <v>46</v>
      </c>
      <c r="T483" s="1" t="str">
        <f t="shared" si="37"/>
        <v>1</v>
      </c>
      <c r="U483" s="1">
        <v>-34.552607000000002</v>
      </c>
      <c r="V483" s="3">
        <v>150.52955499999999</v>
      </c>
    </row>
    <row r="484" spans="1:22" x14ac:dyDescent="0.35">
      <c r="A484" s="22" t="s">
        <v>1600</v>
      </c>
      <c r="B484" s="1" t="s">
        <v>1601</v>
      </c>
      <c r="C484" s="1" t="s">
        <v>1602</v>
      </c>
      <c r="D484" s="1" t="s">
        <v>382</v>
      </c>
      <c r="E484" s="1" t="s">
        <v>196</v>
      </c>
      <c r="F484" s="1" t="s">
        <v>57</v>
      </c>
      <c r="G484" s="1">
        <f t="shared" si="35"/>
        <v>2</v>
      </c>
      <c r="H484" s="1" t="s">
        <v>86</v>
      </c>
      <c r="I484" s="1" t="s">
        <v>49</v>
      </c>
      <c r="J484" s="23" t="s">
        <v>50</v>
      </c>
      <c r="K484" s="2" t="s">
        <v>51</v>
      </c>
      <c r="L484" s="1">
        <v>83</v>
      </c>
      <c r="M484" s="1"/>
      <c r="N484" s="1" t="str">
        <f t="shared" si="38"/>
        <v>Suppressed</v>
      </c>
      <c r="O484" s="1" t="str">
        <f t="shared" si="36"/>
        <v/>
      </c>
      <c r="P484" s="1">
        <v>8</v>
      </c>
      <c r="Q484" s="1">
        <v>1073</v>
      </c>
      <c r="R484" s="1" t="str">
        <f t="shared" si="39"/>
        <v>3</v>
      </c>
      <c r="S484" s="1">
        <v>56</v>
      </c>
      <c r="T484" s="1" t="str">
        <f t="shared" si="37"/>
        <v>1</v>
      </c>
      <c r="U484" s="1">
        <v>-34.736519999999999</v>
      </c>
      <c r="V484" s="3">
        <v>150.53199599999999</v>
      </c>
    </row>
    <row r="485" spans="1:22" x14ac:dyDescent="0.35">
      <c r="A485" s="22" t="s">
        <v>1603</v>
      </c>
      <c r="B485" s="1" t="s">
        <v>1604</v>
      </c>
      <c r="C485" s="1" t="s">
        <v>1605</v>
      </c>
      <c r="D485" s="1" t="s">
        <v>186</v>
      </c>
      <c r="E485" s="1" t="s">
        <v>187</v>
      </c>
      <c r="F485" s="1" t="s">
        <v>47</v>
      </c>
      <c r="G485" s="1">
        <f t="shared" si="35"/>
        <v>1</v>
      </c>
      <c r="H485" s="1" t="s">
        <v>63</v>
      </c>
      <c r="I485" s="1" t="s">
        <v>49</v>
      </c>
      <c r="J485" s="23" t="s">
        <v>50</v>
      </c>
      <c r="K485" s="2" t="s">
        <v>51</v>
      </c>
      <c r="L485" s="1">
        <v>500</v>
      </c>
      <c r="M485" s="1">
        <v>19</v>
      </c>
      <c r="N485" s="1" t="str">
        <f t="shared" si="38"/>
        <v>Published</v>
      </c>
      <c r="O485" s="1">
        <f t="shared" si="36"/>
        <v>95</v>
      </c>
      <c r="P485" s="1">
        <v>9</v>
      </c>
      <c r="Q485" s="1">
        <v>942</v>
      </c>
      <c r="R485" s="1" t="str">
        <f t="shared" si="39"/>
        <v>2</v>
      </c>
      <c r="S485" s="1">
        <v>123</v>
      </c>
      <c r="T485" s="1" t="str">
        <f t="shared" si="37"/>
        <v>3</v>
      </c>
      <c r="U485" s="1">
        <v>-33.262456</v>
      </c>
      <c r="V485" s="3">
        <v>151.48488399999999</v>
      </c>
    </row>
    <row r="486" spans="1:22" x14ac:dyDescent="0.35">
      <c r="A486" s="22" t="s">
        <v>1606</v>
      </c>
      <c r="B486" s="1" t="s">
        <v>1607</v>
      </c>
      <c r="C486" s="1" t="s">
        <v>1608</v>
      </c>
      <c r="D486" s="1" t="s">
        <v>465</v>
      </c>
      <c r="E486" s="1" t="s">
        <v>281</v>
      </c>
      <c r="F486" s="1" t="s">
        <v>57</v>
      </c>
      <c r="G486" s="1">
        <f t="shared" si="35"/>
        <v>2</v>
      </c>
      <c r="H486" s="1" t="s">
        <v>58</v>
      </c>
      <c r="I486" s="1" t="s">
        <v>49</v>
      </c>
      <c r="J486" s="23" t="s">
        <v>50</v>
      </c>
      <c r="K486" s="2" t="s">
        <v>51</v>
      </c>
      <c r="L486" s="1">
        <v>29</v>
      </c>
      <c r="M486" s="1">
        <v>28</v>
      </c>
      <c r="N486" s="1" t="str">
        <f t="shared" si="38"/>
        <v>Published</v>
      </c>
      <c r="O486" s="1">
        <f t="shared" si="36"/>
        <v>8.120000000000001</v>
      </c>
      <c r="P486" s="1"/>
      <c r="Q486" s="1">
        <v>957</v>
      </c>
      <c r="R486" s="1" t="str">
        <f t="shared" si="39"/>
        <v>2</v>
      </c>
      <c r="S486" s="1">
        <v>96</v>
      </c>
      <c r="T486" s="1" t="str">
        <f t="shared" si="37"/>
        <v>1</v>
      </c>
      <c r="U486" s="1">
        <v>-30.252410999999999</v>
      </c>
      <c r="V486" s="3">
        <v>153.04776699999999</v>
      </c>
    </row>
    <row r="487" spans="1:22" x14ac:dyDescent="0.35">
      <c r="A487" s="22" t="s">
        <v>1609</v>
      </c>
      <c r="B487" s="1" t="s">
        <v>1610</v>
      </c>
      <c r="C487" s="1" t="s">
        <v>1611</v>
      </c>
      <c r="D487" s="1" t="s">
        <v>111</v>
      </c>
      <c r="E487" s="1" t="s">
        <v>56</v>
      </c>
      <c r="F487" s="1" t="s">
        <v>57</v>
      </c>
      <c r="G487" s="1">
        <f t="shared" si="35"/>
        <v>2</v>
      </c>
      <c r="H487" s="1" t="s">
        <v>63</v>
      </c>
      <c r="I487" s="1" t="s">
        <v>49</v>
      </c>
      <c r="J487" s="23" t="s">
        <v>50</v>
      </c>
      <c r="K487" s="2" t="s">
        <v>51</v>
      </c>
      <c r="L487" s="1">
        <v>157</v>
      </c>
      <c r="M487" s="1">
        <v>39</v>
      </c>
      <c r="N487" s="1" t="str">
        <f t="shared" si="38"/>
        <v>Published</v>
      </c>
      <c r="O487" s="1">
        <f t="shared" si="36"/>
        <v>61.230000000000004</v>
      </c>
      <c r="P487" s="1">
        <v>7</v>
      </c>
      <c r="Q487" s="1">
        <v>875</v>
      </c>
      <c r="R487" s="1" t="str">
        <f t="shared" si="39"/>
        <v>1</v>
      </c>
      <c r="S487" s="1">
        <v>141</v>
      </c>
      <c r="T487" s="1" t="str">
        <f t="shared" si="37"/>
        <v>2</v>
      </c>
      <c r="U487" s="1">
        <v>-32.654344000000002</v>
      </c>
      <c r="V487" s="3">
        <v>151.96659500000001</v>
      </c>
    </row>
    <row r="488" spans="1:22" x14ac:dyDescent="0.35">
      <c r="A488" s="22" t="s">
        <v>1612</v>
      </c>
      <c r="B488" s="1" t="s">
        <v>1613</v>
      </c>
      <c r="C488" s="1" t="s">
        <v>1614</v>
      </c>
      <c r="D488" s="1" t="s">
        <v>62</v>
      </c>
      <c r="E488" s="1" t="s">
        <v>56</v>
      </c>
      <c r="F488" s="1" t="s">
        <v>47</v>
      </c>
      <c r="G488" s="1">
        <f t="shared" si="35"/>
        <v>1</v>
      </c>
      <c r="H488" s="1" t="s">
        <v>63</v>
      </c>
      <c r="I488" s="1" t="s">
        <v>49</v>
      </c>
      <c r="J488" s="23" t="s">
        <v>50</v>
      </c>
      <c r="K488" s="2" t="s">
        <v>51</v>
      </c>
      <c r="L488" s="1">
        <v>114</v>
      </c>
      <c r="M488" s="1">
        <v>35</v>
      </c>
      <c r="N488" s="1" t="str">
        <f t="shared" si="38"/>
        <v>Published</v>
      </c>
      <c r="O488" s="1">
        <f t="shared" si="36"/>
        <v>39.9</v>
      </c>
      <c r="P488" s="1"/>
      <c r="Q488" s="1">
        <v>897</v>
      </c>
      <c r="R488" s="1" t="str">
        <f t="shared" si="39"/>
        <v>1</v>
      </c>
      <c r="S488" s="1">
        <v>138</v>
      </c>
      <c r="T488" s="1" t="str">
        <f t="shared" si="37"/>
        <v>2</v>
      </c>
      <c r="U488" s="1">
        <v>-32.857249000000003</v>
      </c>
      <c r="V488" s="3">
        <v>151.39592099999999</v>
      </c>
    </row>
    <row r="489" spans="1:22" x14ac:dyDescent="0.35">
      <c r="A489" s="22" t="s">
        <v>1615</v>
      </c>
      <c r="B489" s="1" t="s">
        <v>1616</v>
      </c>
      <c r="C489" s="1" t="s">
        <v>1617</v>
      </c>
      <c r="D489" s="1" t="s">
        <v>115</v>
      </c>
      <c r="E489" s="1" t="s">
        <v>46</v>
      </c>
      <c r="F489" s="1" t="s">
        <v>47</v>
      </c>
      <c r="G489" s="1">
        <f t="shared" si="35"/>
        <v>1</v>
      </c>
      <c r="H489" s="1" t="s">
        <v>48</v>
      </c>
      <c r="I489" s="1" t="s">
        <v>49</v>
      </c>
      <c r="J489" s="23" t="s">
        <v>50</v>
      </c>
      <c r="K489" s="2" t="s">
        <v>51</v>
      </c>
      <c r="L489" s="1">
        <v>252</v>
      </c>
      <c r="M489" s="1">
        <v>4</v>
      </c>
      <c r="N489" s="1" t="str">
        <f t="shared" si="38"/>
        <v>Published</v>
      </c>
      <c r="O489" s="1">
        <f t="shared" si="36"/>
        <v>10.08</v>
      </c>
      <c r="P489" s="1">
        <v>30</v>
      </c>
      <c r="Q489" s="1">
        <v>1117</v>
      </c>
      <c r="R489" s="1" t="str">
        <f t="shared" si="39"/>
        <v>4</v>
      </c>
      <c r="S489" s="1">
        <v>25</v>
      </c>
      <c r="T489" s="1" t="str">
        <f t="shared" si="37"/>
        <v>2</v>
      </c>
      <c r="U489" s="1">
        <v>-33.886513999999998</v>
      </c>
      <c r="V489" s="3">
        <v>151.14693</v>
      </c>
    </row>
    <row r="490" spans="1:22" x14ac:dyDescent="0.35">
      <c r="A490" s="22" t="s">
        <v>1618</v>
      </c>
      <c r="B490" s="1" t="s">
        <v>1619</v>
      </c>
      <c r="C490" s="1" t="s">
        <v>1620</v>
      </c>
      <c r="D490" s="1" t="s">
        <v>176</v>
      </c>
      <c r="E490" s="1" t="s">
        <v>85</v>
      </c>
      <c r="F490" s="1" t="s">
        <v>47</v>
      </c>
      <c r="G490" s="1">
        <f t="shared" si="35"/>
        <v>1</v>
      </c>
      <c r="H490" s="1" t="s">
        <v>86</v>
      </c>
      <c r="I490" s="1" t="s">
        <v>49</v>
      </c>
      <c r="J490" s="23" t="s">
        <v>50</v>
      </c>
      <c r="K490" s="2" t="s">
        <v>51</v>
      </c>
      <c r="L490" s="1">
        <v>297</v>
      </c>
      <c r="M490" s="1">
        <v>4</v>
      </c>
      <c r="N490" s="1" t="str">
        <f t="shared" si="38"/>
        <v>Published</v>
      </c>
      <c r="O490" s="1">
        <f t="shared" si="36"/>
        <v>11.88</v>
      </c>
      <c r="P490" s="1">
        <v>46</v>
      </c>
      <c r="Q490" s="1">
        <v>1103</v>
      </c>
      <c r="R490" s="1" t="str">
        <f t="shared" si="39"/>
        <v>4</v>
      </c>
      <c r="S490" s="1">
        <v>34</v>
      </c>
      <c r="T490" s="1" t="str">
        <f t="shared" si="37"/>
        <v>2</v>
      </c>
      <c r="U490" s="1">
        <v>-34.414113999999998</v>
      </c>
      <c r="V490" s="3">
        <v>150.87336400000001</v>
      </c>
    </row>
    <row r="491" spans="1:22" x14ac:dyDescent="0.35">
      <c r="A491" s="22" t="s">
        <v>1621</v>
      </c>
      <c r="B491" s="1" t="s">
        <v>1622</v>
      </c>
      <c r="C491" s="1" t="s">
        <v>139</v>
      </c>
      <c r="D491" s="1" t="s">
        <v>139</v>
      </c>
      <c r="E491" s="1" t="s">
        <v>91</v>
      </c>
      <c r="F491" s="1" t="s">
        <v>57</v>
      </c>
      <c r="G491" s="1">
        <f t="shared" si="35"/>
        <v>2</v>
      </c>
      <c r="H491" s="1" t="s">
        <v>92</v>
      </c>
      <c r="I491" s="1" t="s">
        <v>49</v>
      </c>
      <c r="J491" s="23" t="s">
        <v>50</v>
      </c>
      <c r="K491" s="2" t="s">
        <v>51</v>
      </c>
      <c r="L491" s="1">
        <v>27</v>
      </c>
      <c r="M491" s="1"/>
      <c r="N491" s="1" t="str">
        <f t="shared" si="38"/>
        <v>Suppressed</v>
      </c>
      <c r="O491" s="1" t="str">
        <f t="shared" si="36"/>
        <v/>
      </c>
      <c r="P491" s="1"/>
      <c r="Q491" s="1">
        <v>1054</v>
      </c>
      <c r="R491" s="1" t="str">
        <f t="shared" si="39"/>
        <v>3</v>
      </c>
      <c r="S491" s="1">
        <v>79</v>
      </c>
      <c r="T491" s="1" t="str">
        <f t="shared" si="37"/>
        <v>1</v>
      </c>
      <c r="U491" s="1">
        <v>-30.571911</v>
      </c>
      <c r="V491" s="3">
        <v>151.636504</v>
      </c>
    </row>
    <row r="492" spans="1:22" x14ac:dyDescent="0.35">
      <c r="A492" s="22" t="s">
        <v>1623</v>
      </c>
      <c r="B492" s="1" t="s">
        <v>1624</v>
      </c>
      <c r="C492" s="1" t="s">
        <v>1625</v>
      </c>
      <c r="D492" s="1" t="s">
        <v>761</v>
      </c>
      <c r="E492" s="1" t="s">
        <v>127</v>
      </c>
      <c r="F492" s="1" t="s">
        <v>47</v>
      </c>
      <c r="G492" s="1">
        <f t="shared" si="35"/>
        <v>1</v>
      </c>
      <c r="H492" s="1" t="s">
        <v>148</v>
      </c>
      <c r="I492" s="1" t="s">
        <v>49</v>
      </c>
      <c r="J492" s="23" t="s">
        <v>50</v>
      </c>
      <c r="K492" s="2" t="s">
        <v>51</v>
      </c>
      <c r="L492" s="1">
        <v>855</v>
      </c>
      <c r="M492" s="1"/>
      <c r="N492" s="1" t="str">
        <f t="shared" si="38"/>
        <v>Suppressed</v>
      </c>
      <c r="O492" s="1" t="str">
        <f t="shared" si="36"/>
        <v/>
      </c>
      <c r="P492" s="1">
        <v>68</v>
      </c>
      <c r="Q492" s="1">
        <v>1136</v>
      </c>
      <c r="R492" s="1" t="str">
        <f t="shared" si="39"/>
        <v>4</v>
      </c>
      <c r="S492" s="1">
        <v>17</v>
      </c>
      <c r="T492" s="1" t="str">
        <f t="shared" si="37"/>
        <v>4</v>
      </c>
      <c r="U492" s="1">
        <v>-33.711052000000002</v>
      </c>
      <c r="V492" s="3">
        <v>150.957887</v>
      </c>
    </row>
    <row r="493" spans="1:22" x14ac:dyDescent="0.35">
      <c r="A493" s="22" t="s">
        <v>1626</v>
      </c>
      <c r="B493" s="1" t="s">
        <v>1627</v>
      </c>
      <c r="C493" s="1" t="s">
        <v>1628</v>
      </c>
      <c r="D493" s="1" t="s">
        <v>291</v>
      </c>
      <c r="E493" s="1" t="s">
        <v>261</v>
      </c>
      <c r="F493" s="1" t="s">
        <v>57</v>
      </c>
      <c r="G493" s="1">
        <f t="shared" si="35"/>
        <v>2</v>
      </c>
      <c r="H493" s="1" t="s">
        <v>58</v>
      </c>
      <c r="I493" s="1" t="s">
        <v>49</v>
      </c>
      <c r="J493" s="23" t="s">
        <v>50</v>
      </c>
      <c r="K493" s="2" t="s">
        <v>51</v>
      </c>
      <c r="L493" s="1">
        <v>374</v>
      </c>
      <c r="M493" s="1">
        <v>40</v>
      </c>
      <c r="N493" s="1" t="str">
        <f t="shared" si="38"/>
        <v>Published</v>
      </c>
      <c r="O493" s="1">
        <f t="shared" si="36"/>
        <v>149.6</v>
      </c>
      <c r="P493" s="1">
        <v>5</v>
      </c>
      <c r="Q493" s="1">
        <v>859</v>
      </c>
      <c r="R493" s="1" t="str">
        <f t="shared" si="39"/>
        <v>1</v>
      </c>
      <c r="S493" s="1">
        <v>163</v>
      </c>
      <c r="T493" s="1" t="str">
        <f t="shared" si="37"/>
        <v>3</v>
      </c>
      <c r="U493" s="1">
        <v>-33.416969000000002</v>
      </c>
      <c r="V493" s="3">
        <v>149.60515599999999</v>
      </c>
    </row>
    <row r="494" spans="1:22" x14ac:dyDescent="0.35">
      <c r="A494" s="22" t="s">
        <v>1629</v>
      </c>
      <c r="B494" s="1" t="s">
        <v>1630</v>
      </c>
      <c r="C494" s="1" t="s">
        <v>325</v>
      </c>
      <c r="D494" s="1" t="s">
        <v>325</v>
      </c>
      <c r="E494" s="1" t="s">
        <v>276</v>
      </c>
      <c r="F494" s="1" t="s">
        <v>57</v>
      </c>
      <c r="G494" s="1">
        <f t="shared" si="35"/>
        <v>2</v>
      </c>
      <c r="H494" s="1" t="s">
        <v>58</v>
      </c>
      <c r="I494" s="1" t="s">
        <v>49</v>
      </c>
      <c r="J494" s="23" t="s">
        <v>50</v>
      </c>
      <c r="K494" s="2" t="s">
        <v>51</v>
      </c>
      <c r="L494" s="1">
        <v>180</v>
      </c>
      <c r="M494" s="1">
        <v>41</v>
      </c>
      <c r="N494" s="1" t="str">
        <f t="shared" si="38"/>
        <v>Published</v>
      </c>
      <c r="O494" s="1">
        <f t="shared" si="36"/>
        <v>73.8</v>
      </c>
      <c r="P494" s="1">
        <v>3</v>
      </c>
      <c r="Q494" s="1">
        <v>875</v>
      </c>
      <c r="R494" s="1" t="str">
        <f t="shared" si="39"/>
        <v>1</v>
      </c>
      <c r="S494" s="1">
        <v>147</v>
      </c>
      <c r="T494" s="1" t="str">
        <f t="shared" si="37"/>
        <v>2</v>
      </c>
      <c r="U494" s="1">
        <v>-31.083703</v>
      </c>
      <c r="V494" s="3">
        <v>152.84686099999999</v>
      </c>
    </row>
    <row r="495" spans="1:22" x14ac:dyDescent="0.35">
      <c r="A495" s="22" t="s">
        <v>1631</v>
      </c>
      <c r="B495" s="1" t="s">
        <v>1632</v>
      </c>
      <c r="C495" s="1" t="s">
        <v>1633</v>
      </c>
      <c r="D495" s="1" t="s">
        <v>325</v>
      </c>
      <c r="E495" s="1" t="s">
        <v>276</v>
      </c>
      <c r="F495" s="1" t="s">
        <v>57</v>
      </c>
      <c r="G495" s="1">
        <f t="shared" si="35"/>
        <v>2</v>
      </c>
      <c r="H495" s="1" t="s">
        <v>86</v>
      </c>
      <c r="I495" s="1" t="s">
        <v>49</v>
      </c>
      <c r="J495" s="23" t="s">
        <v>50</v>
      </c>
      <c r="K495" s="2" t="s">
        <v>51</v>
      </c>
      <c r="L495" s="1">
        <v>422</v>
      </c>
      <c r="M495" s="1">
        <v>57</v>
      </c>
      <c r="N495" s="1" t="str">
        <f t="shared" si="38"/>
        <v>Published</v>
      </c>
      <c r="O495" s="1">
        <f t="shared" si="36"/>
        <v>240.54</v>
      </c>
      <c r="P495" s="1">
        <v>3</v>
      </c>
      <c r="Q495" s="1">
        <v>794</v>
      </c>
      <c r="R495" s="1" t="str">
        <f t="shared" si="39"/>
        <v>1</v>
      </c>
      <c r="S495" s="1">
        <v>181</v>
      </c>
      <c r="T495" s="1" t="str">
        <f t="shared" si="37"/>
        <v>3</v>
      </c>
      <c r="U495" s="1">
        <v>-31.078377</v>
      </c>
      <c r="V495" s="3">
        <v>152.83009999999999</v>
      </c>
    </row>
    <row r="496" spans="1:22" x14ac:dyDescent="0.35">
      <c r="A496" s="22" t="s">
        <v>1634</v>
      </c>
      <c r="B496" s="1" t="s">
        <v>1635</v>
      </c>
      <c r="C496" s="1" t="s">
        <v>1636</v>
      </c>
      <c r="D496" s="1" t="s">
        <v>302</v>
      </c>
      <c r="E496" s="1" t="s">
        <v>276</v>
      </c>
      <c r="F496" s="1" t="s">
        <v>57</v>
      </c>
      <c r="G496" s="1">
        <f t="shared" si="35"/>
        <v>2</v>
      </c>
      <c r="H496" s="1" t="s">
        <v>58</v>
      </c>
      <c r="I496" s="1" t="s">
        <v>49</v>
      </c>
      <c r="J496" s="23" t="s">
        <v>50</v>
      </c>
      <c r="K496" s="2" t="s">
        <v>51</v>
      </c>
      <c r="L496" s="1">
        <v>206</v>
      </c>
      <c r="M496" s="1">
        <v>24</v>
      </c>
      <c r="N496" s="1" t="str">
        <f t="shared" si="38"/>
        <v>Published</v>
      </c>
      <c r="O496" s="1">
        <f t="shared" si="36"/>
        <v>49.44</v>
      </c>
      <c r="P496" s="1">
        <v>7</v>
      </c>
      <c r="Q496" s="1">
        <v>936</v>
      </c>
      <c r="R496" s="1" t="str">
        <f t="shared" si="39"/>
        <v>2</v>
      </c>
      <c r="S496" s="1">
        <v>113</v>
      </c>
      <c r="T496" s="1" t="str">
        <f t="shared" si="37"/>
        <v>2</v>
      </c>
      <c r="U496" s="1">
        <v>-31.627392</v>
      </c>
      <c r="V496" s="3">
        <v>152.70275599999999</v>
      </c>
    </row>
    <row r="497" spans="1:22" x14ac:dyDescent="0.35">
      <c r="A497" s="22" t="s">
        <v>1637</v>
      </c>
      <c r="B497" s="1" t="s">
        <v>1638</v>
      </c>
      <c r="C497" s="1" t="s">
        <v>1639</v>
      </c>
      <c r="D497" s="1" t="s">
        <v>876</v>
      </c>
      <c r="E497" s="1" t="s">
        <v>330</v>
      </c>
      <c r="F497" s="1" t="s">
        <v>47</v>
      </c>
      <c r="G497" s="1">
        <f t="shared" si="35"/>
        <v>1</v>
      </c>
      <c r="H497" s="1" t="s">
        <v>48</v>
      </c>
      <c r="I497" s="1" t="s">
        <v>49</v>
      </c>
      <c r="J497" s="23" t="s">
        <v>50</v>
      </c>
      <c r="K497" s="2" t="s">
        <v>51</v>
      </c>
      <c r="L497" s="1">
        <v>381</v>
      </c>
      <c r="M497" s="1"/>
      <c r="N497" s="1" t="str">
        <f t="shared" si="38"/>
        <v>Suppressed</v>
      </c>
      <c r="O497" s="1" t="str">
        <f t="shared" si="36"/>
        <v/>
      </c>
      <c r="P497" s="1">
        <v>68</v>
      </c>
      <c r="Q497" s="1">
        <v>1120</v>
      </c>
      <c r="R497" s="1" t="str">
        <f t="shared" si="39"/>
        <v>4</v>
      </c>
      <c r="S497" s="1">
        <v>21</v>
      </c>
      <c r="T497" s="1" t="str">
        <f t="shared" si="37"/>
        <v>3</v>
      </c>
      <c r="U497" s="1">
        <v>-33.909604000000002</v>
      </c>
      <c r="V497" s="3">
        <v>151.224965</v>
      </c>
    </row>
    <row r="498" spans="1:22" x14ac:dyDescent="0.35">
      <c r="A498" s="22" t="s">
        <v>1640</v>
      </c>
      <c r="B498" s="1" t="s">
        <v>1641</v>
      </c>
      <c r="C498" s="1" t="s">
        <v>1642</v>
      </c>
      <c r="D498" s="1" t="s">
        <v>761</v>
      </c>
      <c r="E498" s="1" t="s">
        <v>127</v>
      </c>
      <c r="F498" s="1" t="s">
        <v>47</v>
      </c>
      <c r="G498" s="1">
        <f t="shared" si="35"/>
        <v>1</v>
      </c>
      <c r="H498" s="1" t="s">
        <v>63</v>
      </c>
      <c r="I498" s="1" t="s">
        <v>49</v>
      </c>
      <c r="J498" s="23" t="s">
        <v>50</v>
      </c>
      <c r="K498" s="2" t="s">
        <v>51</v>
      </c>
      <c r="L498" s="1">
        <v>187</v>
      </c>
      <c r="M498" s="1">
        <v>6</v>
      </c>
      <c r="N498" s="1" t="str">
        <f t="shared" si="38"/>
        <v>Published</v>
      </c>
      <c r="O498" s="1">
        <f t="shared" si="36"/>
        <v>11.219999999999999</v>
      </c>
      <c r="P498" s="1">
        <v>19</v>
      </c>
      <c r="Q498" s="1">
        <v>1040</v>
      </c>
      <c r="R498" s="1" t="str">
        <f t="shared" si="39"/>
        <v>3</v>
      </c>
      <c r="S498" s="1">
        <v>69</v>
      </c>
      <c r="T498" s="1" t="str">
        <f t="shared" si="37"/>
        <v>2</v>
      </c>
      <c r="U498" s="1">
        <v>-33.665602999999997</v>
      </c>
      <c r="V498" s="3">
        <v>151.00457499999999</v>
      </c>
    </row>
    <row r="499" spans="1:22" x14ac:dyDescent="0.35">
      <c r="A499" s="22" t="s">
        <v>1643</v>
      </c>
      <c r="B499" s="1" t="s">
        <v>1644</v>
      </c>
      <c r="C499" s="1" t="s">
        <v>688</v>
      </c>
      <c r="D499" s="1" t="s">
        <v>689</v>
      </c>
      <c r="E499" s="1" t="s">
        <v>122</v>
      </c>
      <c r="F499" s="1" t="s">
        <v>47</v>
      </c>
      <c r="G499" s="1">
        <f t="shared" si="35"/>
        <v>1</v>
      </c>
      <c r="H499" s="1" t="s">
        <v>86</v>
      </c>
      <c r="I499" s="1" t="s">
        <v>49</v>
      </c>
      <c r="J499" s="23" t="s">
        <v>50</v>
      </c>
      <c r="K499" s="2" t="s">
        <v>51</v>
      </c>
      <c r="L499" s="1">
        <v>120</v>
      </c>
      <c r="M499" s="1">
        <v>9</v>
      </c>
      <c r="N499" s="1" t="str">
        <f t="shared" si="38"/>
        <v>Published</v>
      </c>
      <c r="O499" s="1">
        <f t="shared" si="36"/>
        <v>10.799999999999999</v>
      </c>
      <c r="P499" s="1">
        <v>47</v>
      </c>
      <c r="Q499" s="1">
        <v>990</v>
      </c>
      <c r="R499" s="1" t="str">
        <f t="shared" si="39"/>
        <v>2</v>
      </c>
      <c r="S499" s="1">
        <v>103</v>
      </c>
      <c r="T499" s="1" t="str">
        <f t="shared" si="37"/>
        <v>2</v>
      </c>
      <c r="U499" s="1">
        <v>-34.073132000000001</v>
      </c>
      <c r="V499" s="3">
        <v>150.858576</v>
      </c>
    </row>
    <row r="500" spans="1:22" x14ac:dyDescent="0.35">
      <c r="A500" s="22" t="s">
        <v>1645</v>
      </c>
      <c r="B500" s="1" t="s">
        <v>1646</v>
      </c>
      <c r="C500" s="1" t="s">
        <v>1647</v>
      </c>
      <c r="D500" s="1" t="s">
        <v>627</v>
      </c>
      <c r="E500" s="1" t="s">
        <v>91</v>
      </c>
      <c r="F500" s="1" t="s">
        <v>69</v>
      </c>
      <c r="G500" s="1">
        <f t="shared" si="35"/>
        <v>3</v>
      </c>
      <c r="H500" s="1" t="s">
        <v>92</v>
      </c>
      <c r="I500" s="1" t="s">
        <v>49</v>
      </c>
      <c r="J500" s="23" t="s">
        <v>50</v>
      </c>
      <c r="K500" s="2" t="s">
        <v>51</v>
      </c>
      <c r="L500" s="1">
        <v>28</v>
      </c>
      <c r="M500" s="1">
        <v>0</v>
      </c>
      <c r="N500" s="1" t="str">
        <f t="shared" si="38"/>
        <v>Published</v>
      </c>
      <c r="O500" s="1">
        <f t="shared" si="36"/>
        <v>0</v>
      </c>
      <c r="P500" s="1">
        <v>0</v>
      </c>
      <c r="Q500" s="1">
        <v>1002</v>
      </c>
      <c r="R500" s="1" t="str">
        <f t="shared" si="39"/>
        <v>3</v>
      </c>
      <c r="S500" s="1">
        <v>75</v>
      </c>
      <c r="T500" s="1" t="str">
        <f t="shared" si="37"/>
        <v>1</v>
      </c>
      <c r="U500" s="1">
        <v>-30.759618</v>
      </c>
      <c r="V500" s="3">
        <v>151.449162</v>
      </c>
    </row>
    <row r="501" spans="1:22" x14ac:dyDescent="0.35">
      <c r="A501" s="22" t="s">
        <v>1648</v>
      </c>
      <c r="B501" s="1" t="s">
        <v>1649</v>
      </c>
      <c r="C501" s="1" t="s">
        <v>1650</v>
      </c>
      <c r="D501" s="1" t="s">
        <v>1255</v>
      </c>
      <c r="E501" s="1" t="s">
        <v>85</v>
      </c>
      <c r="F501" s="1" t="s">
        <v>47</v>
      </c>
      <c r="G501" s="1">
        <f t="shared" si="35"/>
        <v>1</v>
      </c>
      <c r="H501" s="1" t="s">
        <v>86</v>
      </c>
      <c r="I501" s="1" t="s">
        <v>49</v>
      </c>
      <c r="J501" s="23" t="s">
        <v>50</v>
      </c>
      <c r="K501" s="2" t="s">
        <v>51</v>
      </c>
      <c r="L501" s="1">
        <v>347</v>
      </c>
      <c r="M501" s="1">
        <v>5</v>
      </c>
      <c r="N501" s="1" t="str">
        <f t="shared" si="38"/>
        <v>Published</v>
      </c>
      <c r="O501" s="1">
        <f t="shared" si="36"/>
        <v>17.350000000000001</v>
      </c>
      <c r="P501" s="1">
        <v>18</v>
      </c>
      <c r="Q501" s="1">
        <v>1064</v>
      </c>
      <c r="R501" s="1" t="str">
        <f t="shared" si="39"/>
        <v>3</v>
      </c>
      <c r="S501" s="1">
        <v>59</v>
      </c>
      <c r="T501" s="1" t="str">
        <f t="shared" si="37"/>
        <v>3</v>
      </c>
      <c r="U501" s="1">
        <v>-34.669659000000003</v>
      </c>
      <c r="V501" s="3">
        <v>150.85056700000001</v>
      </c>
    </row>
    <row r="502" spans="1:22" x14ac:dyDescent="0.35">
      <c r="A502" s="22" t="s">
        <v>1651</v>
      </c>
      <c r="B502" s="1" t="s">
        <v>1652</v>
      </c>
      <c r="C502" s="1" t="s">
        <v>1653</v>
      </c>
      <c r="D502" s="1" t="s">
        <v>325</v>
      </c>
      <c r="E502" s="1" t="s">
        <v>276</v>
      </c>
      <c r="F502" s="1" t="s">
        <v>57</v>
      </c>
      <c r="G502" s="1">
        <f t="shared" si="35"/>
        <v>2</v>
      </c>
      <c r="H502" s="1" t="s">
        <v>58</v>
      </c>
      <c r="I502" s="1" t="s">
        <v>49</v>
      </c>
      <c r="J502" s="23" t="s">
        <v>50</v>
      </c>
      <c r="K502" s="2" t="s">
        <v>51</v>
      </c>
      <c r="L502" s="1">
        <v>27</v>
      </c>
      <c r="M502" s="1"/>
      <c r="N502" s="1" t="str">
        <f t="shared" si="38"/>
        <v>Suppressed</v>
      </c>
      <c r="O502" s="1" t="str">
        <f t="shared" si="36"/>
        <v/>
      </c>
      <c r="P502" s="1"/>
      <c r="Q502" s="1">
        <v>951</v>
      </c>
      <c r="R502" s="1" t="str">
        <f t="shared" si="39"/>
        <v>2</v>
      </c>
      <c r="S502" s="1">
        <v>120</v>
      </c>
      <c r="T502" s="1" t="str">
        <f t="shared" si="37"/>
        <v>1</v>
      </c>
      <c r="U502" s="1">
        <v>-30.991064000000001</v>
      </c>
      <c r="V502" s="3">
        <v>152.99506299999999</v>
      </c>
    </row>
    <row r="503" spans="1:22" x14ac:dyDescent="0.35">
      <c r="A503" s="22" t="s">
        <v>1654</v>
      </c>
      <c r="B503" s="1" t="s">
        <v>1655</v>
      </c>
      <c r="C503" s="1" t="s">
        <v>1656</v>
      </c>
      <c r="D503" s="1" t="s">
        <v>186</v>
      </c>
      <c r="E503" s="1" t="s">
        <v>187</v>
      </c>
      <c r="F503" s="1" t="s">
        <v>47</v>
      </c>
      <c r="G503" s="1">
        <f t="shared" si="35"/>
        <v>1</v>
      </c>
      <c r="H503" s="1" t="s">
        <v>63</v>
      </c>
      <c r="I503" s="1" t="s">
        <v>49</v>
      </c>
      <c r="J503" s="23" t="s">
        <v>50</v>
      </c>
      <c r="K503" s="2" t="s">
        <v>51</v>
      </c>
      <c r="L503" s="1">
        <v>364</v>
      </c>
      <c r="M503" s="1">
        <v>12</v>
      </c>
      <c r="N503" s="1" t="str">
        <f t="shared" si="38"/>
        <v>Published</v>
      </c>
      <c r="O503" s="1">
        <f t="shared" si="36"/>
        <v>43.68</v>
      </c>
      <c r="P503" s="1">
        <v>8</v>
      </c>
      <c r="Q503" s="1">
        <v>1004</v>
      </c>
      <c r="R503" s="1" t="str">
        <f t="shared" si="39"/>
        <v>3</v>
      </c>
      <c r="S503" s="1">
        <v>89</v>
      </c>
      <c r="T503" s="1" t="str">
        <f t="shared" si="37"/>
        <v>3</v>
      </c>
      <c r="U503" s="1">
        <v>-33.468184000000001</v>
      </c>
      <c r="V503" s="3">
        <v>151.39435499999999</v>
      </c>
    </row>
    <row r="504" spans="1:22" x14ac:dyDescent="0.35">
      <c r="A504" s="22" t="s">
        <v>1657</v>
      </c>
      <c r="B504" s="1" t="s">
        <v>1658</v>
      </c>
      <c r="C504" s="1" t="s">
        <v>1659</v>
      </c>
      <c r="D504" s="1" t="s">
        <v>386</v>
      </c>
      <c r="E504" s="1" t="s">
        <v>229</v>
      </c>
      <c r="F504" s="1" t="s">
        <v>47</v>
      </c>
      <c r="G504" s="1">
        <f t="shared" si="35"/>
        <v>1</v>
      </c>
      <c r="H504" s="1" t="s">
        <v>48</v>
      </c>
      <c r="I504" s="1" t="s">
        <v>49</v>
      </c>
      <c r="J504" s="23" t="s">
        <v>50</v>
      </c>
      <c r="K504" s="2" t="s">
        <v>51</v>
      </c>
      <c r="L504" s="1">
        <v>268</v>
      </c>
      <c r="M504" s="1">
        <v>3</v>
      </c>
      <c r="N504" s="1" t="str">
        <f t="shared" si="38"/>
        <v>Published</v>
      </c>
      <c r="O504" s="1">
        <f t="shared" si="36"/>
        <v>8.0399999999999991</v>
      </c>
      <c r="P504" s="1">
        <v>77</v>
      </c>
      <c r="Q504" s="1">
        <v>1010</v>
      </c>
      <c r="R504" s="1" t="str">
        <f t="shared" si="39"/>
        <v>3</v>
      </c>
      <c r="S504" s="1">
        <v>94</v>
      </c>
      <c r="T504" s="1" t="str">
        <f t="shared" si="37"/>
        <v>2</v>
      </c>
      <c r="U504" s="1">
        <v>-33.947822000000002</v>
      </c>
      <c r="V504" s="3">
        <v>151.10156000000001</v>
      </c>
    </row>
    <row r="505" spans="1:22" x14ac:dyDescent="0.35">
      <c r="A505" s="22" t="s">
        <v>1660</v>
      </c>
      <c r="B505" s="1" t="s">
        <v>1661</v>
      </c>
      <c r="C505" s="1" t="s">
        <v>741</v>
      </c>
      <c r="D505" s="1" t="s">
        <v>224</v>
      </c>
      <c r="E505" s="1" t="s">
        <v>229</v>
      </c>
      <c r="F505" s="1" t="s">
        <v>47</v>
      </c>
      <c r="G505" s="1">
        <f t="shared" si="35"/>
        <v>1</v>
      </c>
      <c r="H505" s="1" t="s">
        <v>48</v>
      </c>
      <c r="I505" s="1" t="s">
        <v>49</v>
      </c>
      <c r="J505" s="23" t="s">
        <v>50</v>
      </c>
      <c r="K505" s="2" t="s">
        <v>51</v>
      </c>
      <c r="L505" s="1">
        <v>340</v>
      </c>
      <c r="M505" s="1">
        <v>2</v>
      </c>
      <c r="N505" s="1" t="str">
        <f t="shared" si="38"/>
        <v>Published</v>
      </c>
      <c r="O505" s="1">
        <f t="shared" si="36"/>
        <v>6.8</v>
      </c>
      <c r="P505" s="1">
        <v>65</v>
      </c>
      <c r="Q505" s="1">
        <v>1071</v>
      </c>
      <c r="R505" s="1" t="str">
        <f t="shared" si="39"/>
        <v>3</v>
      </c>
      <c r="S505" s="1">
        <v>56</v>
      </c>
      <c r="T505" s="1" t="str">
        <f t="shared" si="37"/>
        <v>3</v>
      </c>
      <c r="U505" s="1">
        <v>-33.940837999999999</v>
      </c>
      <c r="V505" s="3">
        <v>151.120374</v>
      </c>
    </row>
    <row r="506" spans="1:22" x14ac:dyDescent="0.35">
      <c r="A506" s="22" t="s">
        <v>1662</v>
      </c>
      <c r="B506" s="1" t="s">
        <v>1663</v>
      </c>
      <c r="C506" s="1" t="s">
        <v>1664</v>
      </c>
      <c r="D506" s="1" t="s">
        <v>627</v>
      </c>
      <c r="E506" s="1" t="s">
        <v>91</v>
      </c>
      <c r="F506" s="1" t="s">
        <v>69</v>
      </c>
      <c r="G506" s="1">
        <f t="shared" si="35"/>
        <v>3</v>
      </c>
      <c r="H506" s="1" t="s">
        <v>92</v>
      </c>
      <c r="I506" s="1" t="s">
        <v>49</v>
      </c>
      <c r="J506" s="23" t="s">
        <v>50</v>
      </c>
      <c r="K506" s="2" t="s">
        <v>51</v>
      </c>
      <c r="L506" s="1">
        <v>10</v>
      </c>
      <c r="M506" s="1">
        <v>0</v>
      </c>
      <c r="N506" s="1" t="str">
        <f t="shared" si="38"/>
        <v>Published</v>
      </c>
      <c r="O506" s="1">
        <f t="shared" si="36"/>
        <v>0</v>
      </c>
      <c r="P506" s="1">
        <v>0</v>
      </c>
      <c r="Q506" s="1">
        <v>955</v>
      </c>
      <c r="R506" s="1" t="str">
        <f t="shared" si="39"/>
        <v>2</v>
      </c>
      <c r="S506" s="1">
        <v>96</v>
      </c>
      <c r="T506" s="1" t="str">
        <f t="shared" si="37"/>
        <v>1</v>
      </c>
      <c r="U506" s="1">
        <v>-30.506681</v>
      </c>
      <c r="V506" s="3">
        <v>151.11640499999999</v>
      </c>
    </row>
    <row r="507" spans="1:22" x14ac:dyDescent="0.35">
      <c r="A507" s="22" t="s">
        <v>1665</v>
      </c>
      <c r="B507" s="1" t="s">
        <v>1666</v>
      </c>
      <c r="C507" s="1" t="s">
        <v>1667</v>
      </c>
      <c r="D507" s="1" t="s">
        <v>1131</v>
      </c>
      <c r="E507" s="1" t="s">
        <v>429</v>
      </c>
      <c r="F507" s="1" t="s">
        <v>47</v>
      </c>
      <c r="G507" s="1">
        <f t="shared" si="35"/>
        <v>1</v>
      </c>
      <c r="H507" s="1" t="s">
        <v>148</v>
      </c>
      <c r="I507" s="1" t="s">
        <v>49</v>
      </c>
      <c r="J507" s="23" t="s">
        <v>50</v>
      </c>
      <c r="K507" s="2" t="s">
        <v>51</v>
      </c>
      <c r="L507" s="1">
        <v>499</v>
      </c>
      <c r="M507" s="1">
        <v>9</v>
      </c>
      <c r="N507" s="1" t="str">
        <f t="shared" si="38"/>
        <v>Published</v>
      </c>
      <c r="O507" s="1">
        <f t="shared" si="36"/>
        <v>44.91</v>
      </c>
      <c r="P507" s="1">
        <v>72</v>
      </c>
      <c r="Q507" s="1">
        <v>1048</v>
      </c>
      <c r="R507" s="1" t="str">
        <f t="shared" si="39"/>
        <v>3</v>
      </c>
      <c r="S507" s="1">
        <v>58</v>
      </c>
      <c r="T507" s="1" t="str">
        <f t="shared" si="37"/>
        <v>3</v>
      </c>
      <c r="U507" s="1">
        <v>-33.765884</v>
      </c>
      <c r="V507" s="3">
        <v>150.72650899999999</v>
      </c>
    </row>
    <row r="508" spans="1:22" x14ac:dyDescent="0.35">
      <c r="A508" s="22" t="s">
        <v>1668</v>
      </c>
      <c r="B508" s="1" t="s">
        <v>1669</v>
      </c>
      <c r="C508" s="1" t="s">
        <v>1670</v>
      </c>
      <c r="D508" s="1" t="s">
        <v>595</v>
      </c>
      <c r="E508" s="1" t="s">
        <v>56</v>
      </c>
      <c r="F508" s="1" t="s">
        <v>57</v>
      </c>
      <c r="G508" s="1">
        <f t="shared" si="35"/>
        <v>2</v>
      </c>
      <c r="H508" s="1" t="s">
        <v>58</v>
      </c>
      <c r="I508" s="1" t="s">
        <v>49</v>
      </c>
      <c r="J508" s="23" t="s">
        <v>50</v>
      </c>
      <c r="K508" s="2" t="s">
        <v>51</v>
      </c>
      <c r="L508" s="1">
        <v>45</v>
      </c>
      <c r="M508" s="1">
        <v>24</v>
      </c>
      <c r="N508" s="1" t="str">
        <f t="shared" si="38"/>
        <v>Published</v>
      </c>
      <c r="O508" s="1">
        <f t="shared" si="36"/>
        <v>10.799999999999999</v>
      </c>
      <c r="P508" s="1">
        <v>16</v>
      </c>
      <c r="Q508" s="1">
        <v>926</v>
      </c>
      <c r="R508" s="1" t="str">
        <f t="shared" si="39"/>
        <v>2</v>
      </c>
      <c r="S508" s="1">
        <v>141</v>
      </c>
      <c r="T508" s="1" t="str">
        <f t="shared" si="37"/>
        <v>1</v>
      </c>
      <c r="U508" s="1">
        <v>-32.609772999999997</v>
      </c>
      <c r="V508" s="3">
        <v>151.29009199999999</v>
      </c>
    </row>
    <row r="509" spans="1:22" x14ac:dyDescent="0.35">
      <c r="A509" s="22" t="s">
        <v>1671</v>
      </c>
      <c r="B509" s="1" t="s">
        <v>1672</v>
      </c>
      <c r="C509" s="1" t="s">
        <v>1673</v>
      </c>
      <c r="D509" s="1" t="s">
        <v>62</v>
      </c>
      <c r="E509" s="1" t="s">
        <v>56</v>
      </c>
      <c r="F509" s="1" t="s">
        <v>57</v>
      </c>
      <c r="G509" s="1">
        <f t="shared" si="35"/>
        <v>2</v>
      </c>
      <c r="H509" s="1" t="s">
        <v>63</v>
      </c>
      <c r="I509" s="1" t="s">
        <v>49</v>
      </c>
      <c r="J509" s="23" t="s">
        <v>50</v>
      </c>
      <c r="K509" s="2" t="s">
        <v>51</v>
      </c>
      <c r="L509" s="1">
        <v>113</v>
      </c>
      <c r="M509" s="1">
        <v>20</v>
      </c>
      <c r="N509" s="1" t="str">
        <f t="shared" si="38"/>
        <v>Published</v>
      </c>
      <c r="O509" s="1">
        <f t="shared" si="36"/>
        <v>22.6</v>
      </c>
      <c r="P509" s="1"/>
      <c r="Q509" s="1">
        <v>930</v>
      </c>
      <c r="R509" s="1" t="str">
        <f t="shared" si="39"/>
        <v>2</v>
      </c>
      <c r="S509" s="1">
        <v>139</v>
      </c>
      <c r="T509" s="1" t="str">
        <f t="shared" si="37"/>
        <v>2</v>
      </c>
      <c r="U509" s="1">
        <v>-32.87782</v>
      </c>
      <c r="V509" s="3">
        <v>151.36997700000001</v>
      </c>
    </row>
    <row r="510" spans="1:22" x14ac:dyDescent="0.35">
      <c r="A510" s="22" t="s">
        <v>1674</v>
      </c>
      <c r="B510" s="1" t="s">
        <v>1675</v>
      </c>
      <c r="C510" s="1" t="s">
        <v>1676</v>
      </c>
      <c r="D510" s="1" t="s">
        <v>386</v>
      </c>
      <c r="E510" s="1" t="s">
        <v>229</v>
      </c>
      <c r="F510" s="1" t="s">
        <v>47</v>
      </c>
      <c r="G510" s="1">
        <f t="shared" si="35"/>
        <v>1</v>
      </c>
      <c r="H510" s="1" t="s">
        <v>48</v>
      </c>
      <c r="I510" s="1" t="s">
        <v>49</v>
      </c>
      <c r="J510" s="23" t="s">
        <v>50</v>
      </c>
      <c r="K510" s="2" t="s">
        <v>51</v>
      </c>
      <c r="L510" s="1">
        <v>456</v>
      </c>
      <c r="M510" s="1"/>
      <c r="N510" s="1" t="str">
        <f t="shared" si="38"/>
        <v>Suppressed</v>
      </c>
      <c r="O510" s="1" t="str">
        <f t="shared" si="36"/>
        <v/>
      </c>
      <c r="P510" s="1">
        <v>94</v>
      </c>
      <c r="Q510" s="1">
        <v>1087</v>
      </c>
      <c r="R510" s="1" t="str">
        <f t="shared" si="39"/>
        <v>3</v>
      </c>
      <c r="S510" s="1">
        <v>38</v>
      </c>
      <c r="T510" s="1" t="str">
        <f t="shared" si="37"/>
        <v>3</v>
      </c>
      <c r="U510" s="1">
        <v>-33.962027999999997</v>
      </c>
      <c r="V510" s="3">
        <v>151.136618</v>
      </c>
    </row>
    <row r="511" spans="1:22" x14ac:dyDescent="0.35">
      <c r="A511" s="22" t="s">
        <v>1677</v>
      </c>
      <c r="B511" s="1" t="s">
        <v>1678</v>
      </c>
      <c r="C511" s="1" t="s">
        <v>1679</v>
      </c>
      <c r="D511" s="1" t="s">
        <v>90</v>
      </c>
      <c r="E511" s="1" t="s">
        <v>91</v>
      </c>
      <c r="F511" s="1" t="s">
        <v>57</v>
      </c>
      <c r="G511" s="1">
        <f t="shared" si="35"/>
        <v>2</v>
      </c>
      <c r="H511" s="1" t="s">
        <v>92</v>
      </c>
      <c r="I511" s="1" t="s">
        <v>49</v>
      </c>
      <c r="J511" s="23" t="s">
        <v>50</v>
      </c>
      <c r="K511" s="2" t="s">
        <v>51</v>
      </c>
      <c r="L511" s="1">
        <v>168</v>
      </c>
      <c r="M511" s="1">
        <v>26</v>
      </c>
      <c r="N511" s="1" t="str">
        <f t="shared" si="38"/>
        <v>Published</v>
      </c>
      <c r="O511" s="1">
        <f t="shared" si="36"/>
        <v>43.68</v>
      </c>
      <c r="P511" s="1">
        <v>3</v>
      </c>
      <c r="Q511" s="1">
        <v>928</v>
      </c>
      <c r="R511" s="1" t="str">
        <f t="shared" si="39"/>
        <v>2</v>
      </c>
      <c r="S511" s="1">
        <v>116</v>
      </c>
      <c r="T511" s="1" t="str">
        <f t="shared" si="37"/>
        <v>2</v>
      </c>
      <c r="U511" s="1">
        <v>-31.053487000000001</v>
      </c>
      <c r="V511" s="3">
        <v>151.05368200000001</v>
      </c>
    </row>
    <row r="512" spans="1:22" x14ac:dyDescent="0.35">
      <c r="A512" s="22" t="s">
        <v>1680</v>
      </c>
      <c r="B512" s="1" t="s">
        <v>1681</v>
      </c>
      <c r="C512" s="1" t="s">
        <v>1682</v>
      </c>
      <c r="D512" s="1" t="s">
        <v>465</v>
      </c>
      <c r="E512" s="1" t="s">
        <v>281</v>
      </c>
      <c r="F512" s="1" t="s">
        <v>57</v>
      </c>
      <c r="G512" s="1">
        <f t="shared" si="35"/>
        <v>2</v>
      </c>
      <c r="H512" s="1" t="s">
        <v>58</v>
      </c>
      <c r="I512" s="1" t="s">
        <v>49</v>
      </c>
      <c r="J512" s="23" t="s">
        <v>50</v>
      </c>
      <c r="K512" s="2" t="s">
        <v>51</v>
      </c>
      <c r="L512" s="1">
        <v>441</v>
      </c>
      <c r="M512" s="1">
        <v>7</v>
      </c>
      <c r="N512" s="1" t="str">
        <f t="shared" si="38"/>
        <v>Published</v>
      </c>
      <c r="O512" s="1">
        <f t="shared" si="36"/>
        <v>30.870000000000005</v>
      </c>
      <c r="P512" s="1">
        <v>13</v>
      </c>
      <c r="Q512" s="1">
        <v>1019</v>
      </c>
      <c r="R512" s="1" t="str">
        <f t="shared" si="39"/>
        <v>3</v>
      </c>
      <c r="S512" s="1">
        <v>82</v>
      </c>
      <c r="T512" s="1" t="str">
        <f t="shared" si="37"/>
        <v>3</v>
      </c>
      <c r="U512" s="1">
        <v>-30.254553000000001</v>
      </c>
      <c r="V512" s="3">
        <v>153.13192100000001</v>
      </c>
    </row>
    <row r="513" spans="1:22" x14ac:dyDescent="0.35">
      <c r="A513" s="22" t="s">
        <v>1683</v>
      </c>
      <c r="B513" s="1" t="s">
        <v>1684</v>
      </c>
      <c r="C513" s="1" t="s">
        <v>1685</v>
      </c>
      <c r="D513" s="1" t="s">
        <v>275</v>
      </c>
      <c r="E513" s="1" t="s">
        <v>276</v>
      </c>
      <c r="F513" s="1" t="s">
        <v>57</v>
      </c>
      <c r="G513" s="1">
        <f t="shared" si="35"/>
        <v>2</v>
      </c>
      <c r="H513" s="1" t="s">
        <v>58</v>
      </c>
      <c r="I513" s="1" t="s">
        <v>49</v>
      </c>
      <c r="J513" s="23" t="s">
        <v>50</v>
      </c>
      <c r="K513" s="2" t="s">
        <v>51</v>
      </c>
      <c r="L513" s="1">
        <v>40</v>
      </c>
      <c r="M513" s="1">
        <v>15</v>
      </c>
      <c r="N513" s="1" t="str">
        <f t="shared" si="38"/>
        <v>Published</v>
      </c>
      <c r="O513" s="1">
        <f t="shared" si="36"/>
        <v>6</v>
      </c>
      <c r="P513" s="1"/>
      <c r="Q513" s="1">
        <v>908</v>
      </c>
      <c r="R513" s="1" t="str">
        <f t="shared" si="39"/>
        <v>2</v>
      </c>
      <c r="S513" s="1">
        <v>154</v>
      </c>
      <c r="T513" s="1" t="str">
        <f t="shared" si="37"/>
        <v>1</v>
      </c>
      <c r="U513" s="1">
        <v>-32.046146</v>
      </c>
      <c r="V513" s="3">
        <v>152.27229299999999</v>
      </c>
    </row>
    <row r="514" spans="1:22" x14ac:dyDescent="0.35">
      <c r="A514" s="22" t="s">
        <v>1686</v>
      </c>
      <c r="B514" s="1" t="s">
        <v>1687</v>
      </c>
      <c r="C514" s="1" t="s">
        <v>1688</v>
      </c>
      <c r="D514" s="1" t="s">
        <v>186</v>
      </c>
      <c r="E514" s="1" t="s">
        <v>187</v>
      </c>
      <c r="F514" s="1" t="s">
        <v>57</v>
      </c>
      <c r="G514" s="1">
        <f t="shared" ref="G514:G577" si="40">IF(F514="Major Cities of Australia",1,IF(F514="Inner Regional Australia",2,IF(F514="Outer Regional Australia",3,IF(F514="Remote Australia",4,IF(F514="Very Remote Australia",5,6)))))</f>
        <v>2</v>
      </c>
      <c r="H514" s="1" t="s">
        <v>63</v>
      </c>
      <c r="I514" s="1" t="s">
        <v>49</v>
      </c>
      <c r="J514" s="23" t="s">
        <v>50</v>
      </c>
      <c r="K514" s="2" t="s">
        <v>51</v>
      </c>
      <c r="L514" s="1">
        <v>37</v>
      </c>
      <c r="M514" s="1"/>
      <c r="N514" s="1" t="str">
        <f t="shared" si="38"/>
        <v>Suppressed</v>
      </c>
      <c r="O514" s="1" t="str">
        <f t="shared" ref="O514:O577" si="41">IF(OR(M514="",L514=""),"",M514/100*L514)</f>
        <v/>
      </c>
      <c r="P514" s="1"/>
      <c r="Q514" s="1">
        <v>975</v>
      </c>
      <c r="R514" s="1" t="str">
        <f t="shared" si="39"/>
        <v>2</v>
      </c>
      <c r="S514" s="1">
        <v>87</v>
      </c>
      <c r="T514" s="1" t="str">
        <f t="shared" ref="T514:T577" si="42">IF(L514="","No enrolment",IF(L514&lt;100,"1",IF(L514&lt;300,"2",IF(L514&lt;600,"3",IF(L514&lt;1000,"4","5")))))</f>
        <v>1</v>
      </c>
      <c r="U514" s="1">
        <v>-33.232582000000001</v>
      </c>
      <c r="V514" s="3">
        <v>151.21601100000001</v>
      </c>
    </row>
    <row r="515" spans="1:22" x14ac:dyDescent="0.35">
      <c r="A515" s="22" t="s">
        <v>1689</v>
      </c>
      <c r="B515" s="1" t="s">
        <v>1690</v>
      </c>
      <c r="C515" s="1" t="s">
        <v>1691</v>
      </c>
      <c r="D515" s="1" t="s">
        <v>404</v>
      </c>
      <c r="E515" s="1" t="s">
        <v>127</v>
      </c>
      <c r="F515" s="1" t="s">
        <v>57</v>
      </c>
      <c r="G515" s="1">
        <f t="shared" si="40"/>
        <v>2</v>
      </c>
      <c r="H515" s="1" t="s">
        <v>63</v>
      </c>
      <c r="I515" s="1" t="s">
        <v>49</v>
      </c>
      <c r="J515" s="23" t="s">
        <v>50</v>
      </c>
      <c r="K515" s="2" t="s">
        <v>51</v>
      </c>
      <c r="L515" s="1">
        <v>125</v>
      </c>
      <c r="M515" s="1">
        <v>6</v>
      </c>
      <c r="N515" s="1" t="str">
        <f t="shared" ref="N515:N578" si="43">IF(M515="","Suppressed","Published")</f>
        <v>Published</v>
      </c>
      <c r="O515" s="1">
        <f t="shared" si="41"/>
        <v>7.5</v>
      </c>
      <c r="P515" s="1">
        <v>9</v>
      </c>
      <c r="Q515" s="1">
        <v>982</v>
      </c>
      <c r="R515" s="1" t="str">
        <f t="shared" ref="R515:R578" si="44">IF(Q515="","No ICSEA",IF(Q515&lt;900,"1",IF(Q515&lt;1000,"2",IF(Q515&lt;1100,"3","4"))))</f>
        <v>2</v>
      </c>
      <c r="S515" s="1">
        <v>102</v>
      </c>
      <c r="T515" s="1" t="str">
        <f t="shared" si="42"/>
        <v>2</v>
      </c>
      <c r="U515" s="1">
        <v>-33.549714999999999</v>
      </c>
      <c r="V515" s="3">
        <v>150.69230899999999</v>
      </c>
    </row>
    <row r="516" spans="1:22" x14ac:dyDescent="0.35">
      <c r="A516" s="22" t="s">
        <v>1692</v>
      </c>
      <c r="B516" s="1" t="s">
        <v>1693</v>
      </c>
      <c r="C516" s="1" t="s">
        <v>1694</v>
      </c>
      <c r="D516" s="1" t="s">
        <v>737</v>
      </c>
      <c r="E516" s="1" t="s">
        <v>738</v>
      </c>
      <c r="F516" s="1" t="s">
        <v>47</v>
      </c>
      <c r="G516" s="1">
        <f t="shared" si="40"/>
        <v>1</v>
      </c>
      <c r="H516" s="1" t="s">
        <v>182</v>
      </c>
      <c r="I516" s="1" t="s">
        <v>49</v>
      </c>
      <c r="J516" s="23" t="s">
        <v>50</v>
      </c>
      <c r="K516" s="2" t="s">
        <v>51</v>
      </c>
      <c r="L516" s="1">
        <v>211</v>
      </c>
      <c r="M516" s="1">
        <v>4</v>
      </c>
      <c r="N516" s="1" t="str">
        <f t="shared" si="43"/>
        <v>Published</v>
      </c>
      <c r="O516" s="1">
        <f t="shared" si="41"/>
        <v>8.44</v>
      </c>
      <c r="P516" s="1">
        <v>10</v>
      </c>
      <c r="Q516" s="1">
        <v>1030</v>
      </c>
      <c r="R516" s="1" t="str">
        <f t="shared" si="44"/>
        <v>3</v>
      </c>
      <c r="S516" s="1">
        <v>76</v>
      </c>
      <c r="T516" s="1" t="str">
        <f t="shared" si="42"/>
        <v>2</v>
      </c>
      <c r="U516" s="1">
        <v>-34.010156000000002</v>
      </c>
      <c r="V516" s="3">
        <v>151.20377300000001</v>
      </c>
    </row>
    <row r="517" spans="1:22" x14ac:dyDescent="0.35">
      <c r="A517" s="22" t="s">
        <v>1695</v>
      </c>
      <c r="B517" s="1" t="s">
        <v>1696</v>
      </c>
      <c r="C517" s="1" t="s">
        <v>844</v>
      </c>
      <c r="D517" s="1" t="s">
        <v>404</v>
      </c>
      <c r="E517" s="1" t="s">
        <v>127</v>
      </c>
      <c r="F517" s="1" t="s">
        <v>57</v>
      </c>
      <c r="G517" s="1">
        <f t="shared" si="40"/>
        <v>2</v>
      </c>
      <c r="H517" s="1" t="s">
        <v>63</v>
      </c>
      <c r="I517" s="1" t="s">
        <v>49</v>
      </c>
      <c r="J517" s="23" t="s">
        <v>50</v>
      </c>
      <c r="K517" s="2" t="s">
        <v>51</v>
      </c>
      <c r="L517" s="1">
        <v>139</v>
      </c>
      <c r="M517" s="1">
        <v>6</v>
      </c>
      <c r="N517" s="1" t="str">
        <f t="shared" si="43"/>
        <v>Published</v>
      </c>
      <c r="O517" s="1">
        <f t="shared" si="41"/>
        <v>8.34</v>
      </c>
      <c r="P517" s="1">
        <v>7</v>
      </c>
      <c r="Q517" s="1">
        <v>1051</v>
      </c>
      <c r="R517" s="1" t="str">
        <f t="shared" si="44"/>
        <v>3</v>
      </c>
      <c r="S517" s="1">
        <v>65</v>
      </c>
      <c r="T517" s="1" t="str">
        <f t="shared" si="42"/>
        <v>2</v>
      </c>
      <c r="U517" s="1">
        <v>-33.555196000000002</v>
      </c>
      <c r="V517" s="3">
        <v>150.66265300000001</v>
      </c>
    </row>
    <row r="518" spans="1:22" x14ac:dyDescent="0.35">
      <c r="A518" s="22" t="s">
        <v>1697</v>
      </c>
      <c r="B518" s="1" t="s">
        <v>1698</v>
      </c>
      <c r="C518" s="1" t="s">
        <v>1699</v>
      </c>
      <c r="D518" s="1" t="s">
        <v>404</v>
      </c>
      <c r="E518" s="1" t="s">
        <v>127</v>
      </c>
      <c r="F518" s="1" t="s">
        <v>57</v>
      </c>
      <c r="G518" s="1">
        <f t="shared" si="40"/>
        <v>2</v>
      </c>
      <c r="H518" s="1" t="s">
        <v>63</v>
      </c>
      <c r="I518" s="1" t="s">
        <v>49</v>
      </c>
      <c r="J518" s="23" t="s">
        <v>50</v>
      </c>
      <c r="K518" s="2" t="s">
        <v>51</v>
      </c>
      <c r="L518" s="1">
        <v>81</v>
      </c>
      <c r="M518" s="1">
        <v>7</v>
      </c>
      <c r="N518" s="1" t="str">
        <f t="shared" si="43"/>
        <v>Published</v>
      </c>
      <c r="O518" s="1">
        <f t="shared" si="41"/>
        <v>5.6700000000000008</v>
      </c>
      <c r="P518" s="1"/>
      <c r="Q518" s="1">
        <v>974</v>
      </c>
      <c r="R518" s="1" t="str">
        <f t="shared" si="44"/>
        <v>2</v>
      </c>
      <c r="S518" s="1">
        <v>108</v>
      </c>
      <c r="T518" s="1" t="str">
        <f t="shared" si="42"/>
        <v>1</v>
      </c>
      <c r="U518" s="1">
        <v>-33.511172000000002</v>
      </c>
      <c r="V518" s="3">
        <v>150.77726000000001</v>
      </c>
    </row>
    <row r="519" spans="1:22" x14ac:dyDescent="0.35">
      <c r="A519" s="22" t="s">
        <v>1700</v>
      </c>
      <c r="B519" s="1" t="s">
        <v>1701</v>
      </c>
      <c r="C519" s="1" t="s">
        <v>1702</v>
      </c>
      <c r="D519" s="1" t="s">
        <v>404</v>
      </c>
      <c r="E519" s="1" t="s">
        <v>127</v>
      </c>
      <c r="F519" s="1" t="s">
        <v>57</v>
      </c>
      <c r="G519" s="1">
        <f t="shared" si="40"/>
        <v>2</v>
      </c>
      <c r="H519" s="1" t="s">
        <v>63</v>
      </c>
      <c r="I519" s="1" t="s">
        <v>49</v>
      </c>
      <c r="J519" s="23" t="s">
        <v>50</v>
      </c>
      <c r="K519" s="2" t="s">
        <v>51</v>
      </c>
      <c r="L519" s="1">
        <v>67</v>
      </c>
      <c r="M519" s="1">
        <v>15</v>
      </c>
      <c r="N519" s="1" t="str">
        <f t="shared" si="43"/>
        <v>Published</v>
      </c>
      <c r="O519" s="1">
        <f t="shared" si="41"/>
        <v>10.049999999999999</v>
      </c>
      <c r="P519" s="1">
        <v>12</v>
      </c>
      <c r="Q519" s="1">
        <v>1018</v>
      </c>
      <c r="R519" s="1" t="str">
        <f t="shared" si="44"/>
        <v>3</v>
      </c>
      <c r="S519" s="1">
        <v>65</v>
      </c>
      <c r="T519" s="1" t="str">
        <f t="shared" si="42"/>
        <v>1</v>
      </c>
      <c r="U519" s="1">
        <v>-33.541815</v>
      </c>
      <c r="V519" s="3">
        <v>150.63944599999999</v>
      </c>
    </row>
    <row r="520" spans="1:22" x14ac:dyDescent="0.35">
      <c r="A520" s="22" t="s">
        <v>1703</v>
      </c>
      <c r="B520" s="1" t="s">
        <v>1704</v>
      </c>
      <c r="C520" s="1" t="s">
        <v>256</v>
      </c>
      <c r="D520" s="1" t="s">
        <v>256</v>
      </c>
      <c r="E520" s="1" t="s">
        <v>107</v>
      </c>
      <c r="F520" s="1" t="s">
        <v>57</v>
      </c>
      <c r="G520" s="1">
        <f t="shared" si="40"/>
        <v>2</v>
      </c>
      <c r="H520" s="1" t="s">
        <v>92</v>
      </c>
      <c r="I520" s="1" t="s">
        <v>49</v>
      </c>
      <c r="J520" s="23" t="s">
        <v>50</v>
      </c>
      <c r="K520" s="2" t="s">
        <v>51</v>
      </c>
      <c r="L520" s="1">
        <v>260</v>
      </c>
      <c r="M520" s="1">
        <v>18</v>
      </c>
      <c r="N520" s="1" t="str">
        <f t="shared" si="43"/>
        <v>Published</v>
      </c>
      <c r="O520" s="1">
        <f t="shared" si="41"/>
        <v>46.8</v>
      </c>
      <c r="P520" s="1">
        <v>6</v>
      </c>
      <c r="Q520" s="1">
        <v>938</v>
      </c>
      <c r="R520" s="1" t="str">
        <f t="shared" si="44"/>
        <v>2</v>
      </c>
      <c r="S520" s="1">
        <v>123</v>
      </c>
      <c r="T520" s="1" t="str">
        <f t="shared" si="42"/>
        <v>2</v>
      </c>
      <c r="U520" s="1">
        <v>-28.625164999999999</v>
      </c>
      <c r="V520" s="3">
        <v>153.003916</v>
      </c>
    </row>
    <row r="521" spans="1:22" x14ac:dyDescent="0.35">
      <c r="A521" s="22" t="s">
        <v>1705</v>
      </c>
      <c r="B521" s="1" t="s">
        <v>1706</v>
      </c>
      <c r="C521" s="1" t="s">
        <v>1707</v>
      </c>
      <c r="D521" s="1" t="s">
        <v>713</v>
      </c>
      <c r="E521" s="1" t="s">
        <v>80</v>
      </c>
      <c r="F521" s="1" t="s">
        <v>57</v>
      </c>
      <c r="G521" s="1">
        <f t="shared" si="40"/>
        <v>2</v>
      </c>
      <c r="H521" s="1" t="s">
        <v>70</v>
      </c>
      <c r="I521" s="1" t="s">
        <v>49</v>
      </c>
      <c r="J521" s="23" t="s">
        <v>50</v>
      </c>
      <c r="K521" s="2" t="s">
        <v>51</v>
      </c>
      <c r="L521" s="1">
        <v>33</v>
      </c>
      <c r="M521" s="1"/>
      <c r="N521" s="1" t="str">
        <f t="shared" si="43"/>
        <v>Suppressed</v>
      </c>
      <c r="O521" s="1" t="str">
        <f t="shared" si="41"/>
        <v/>
      </c>
      <c r="P521" s="1">
        <v>0</v>
      </c>
      <c r="Q521" s="1">
        <v>987</v>
      </c>
      <c r="R521" s="1" t="str">
        <f t="shared" si="44"/>
        <v>2</v>
      </c>
      <c r="S521" s="1">
        <v>82</v>
      </c>
      <c r="T521" s="1" t="str">
        <f t="shared" si="42"/>
        <v>1</v>
      </c>
      <c r="U521" s="1">
        <v>-35.208548999999998</v>
      </c>
      <c r="V521" s="3">
        <v>147.510963</v>
      </c>
    </row>
    <row r="522" spans="1:22" x14ac:dyDescent="0.35">
      <c r="A522" s="22" t="s">
        <v>1708</v>
      </c>
      <c r="B522" s="1" t="s">
        <v>1709</v>
      </c>
      <c r="C522" s="1" t="s">
        <v>1710</v>
      </c>
      <c r="D522" s="1" t="s">
        <v>394</v>
      </c>
      <c r="E522" s="1" t="s">
        <v>68</v>
      </c>
      <c r="F522" s="1" t="s">
        <v>57</v>
      </c>
      <c r="G522" s="1">
        <f t="shared" si="40"/>
        <v>2</v>
      </c>
      <c r="H522" s="1" t="s">
        <v>86</v>
      </c>
      <c r="I522" s="1" t="s">
        <v>49</v>
      </c>
      <c r="J522" s="23" t="s">
        <v>50</v>
      </c>
      <c r="K522" s="2" t="s">
        <v>51</v>
      </c>
      <c r="L522" s="1">
        <v>14</v>
      </c>
      <c r="M522" s="1">
        <v>0</v>
      </c>
      <c r="N522" s="1" t="str">
        <f t="shared" si="43"/>
        <v>Published</v>
      </c>
      <c r="O522" s="1">
        <f t="shared" si="41"/>
        <v>0</v>
      </c>
      <c r="P522" s="1">
        <v>0</v>
      </c>
      <c r="Q522" s="1">
        <v>1006</v>
      </c>
      <c r="R522" s="1" t="str">
        <f t="shared" si="44"/>
        <v>3</v>
      </c>
      <c r="S522" s="1">
        <v>105</v>
      </c>
      <c r="T522" s="1" t="str">
        <f t="shared" si="42"/>
        <v>1</v>
      </c>
      <c r="U522" s="1">
        <v>-34.406246000000003</v>
      </c>
      <c r="V522" s="3">
        <v>149.52772100000001</v>
      </c>
    </row>
    <row r="523" spans="1:22" x14ac:dyDescent="0.35">
      <c r="A523" s="22" t="s">
        <v>1711</v>
      </c>
      <c r="B523" s="1" t="s">
        <v>1712</v>
      </c>
      <c r="C523" s="1" t="s">
        <v>1713</v>
      </c>
      <c r="D523" s="1" t="s">
        <v>62</v>
      </c>
      <c r="E523" s="1" t="s">
        <v>56</v>
      </c>
      <c r="F523" s="1" t="s">
        <v>57</v>
      </c>
      <c r="G523" s="1">
        <f t="shared" si="40"/>
        <v>2</v>
      </c>
      <c r="H523" s="1" t="s">
        <v>63</v>
      </c>
      <c r="I523" s="1" t="s">
        <v>49</v>
      </c>
      <c r="J523" s="23" t="s">
        <v>50</v>
      </c>
      <c r="K523" s="2" t="s">
        <v>51</v>
      </c>
      <c r="L523" s="1">
        <v>52</v>
      </c>
      <c r="M523" s="1"/>
      <c r="N523" s="1" t="str">
        <f t="shared" si="43"/>
        <v>Suppressed</v>
      </c>
      <c r="O523" s="1" t="str">
        <f t="shared" si="41"/>
        <v/>
      </c>
      <c r="P523" s="1"/>
      <c r="Q523" s="1">
        <v>969</v>
      </c>
      <c r="R523" s="1" t="str">
        <f t="shared" si="44"/>
        <v>2</v>
      </c>
      <c r="S523" s="1">
        <v>109</v>
      </c>
      <c r="T523" s="1" t="str">
        <f t="shared" si="42"/>
        <v>1</v>
      </c>
      <c r="U523" s="1">
        <v>-32.992120999999997</v>
      </c>
      <c r="V523" s="3">
        <v>151.130526</v>
      </c>
    </row>
    <row r="524" spans="1:22" x14ac:dyDescent="0.35">
      <c r="A524" s="22" t="s">
        <v>1714</v>
      </c>
      <c r="B524" s="1" t="s">
        <v>1715</v>
      </c>
      <c r="C524" s="1" t="s">
        <v>1716</v>
      </c>
      <c r="D524" s="1" t="s">
        <v>713</v>
      </c>
      <c r="E524" s="1" t="s">
        <v>80</v>
      </c>
      <c r="F524" s="1" t="s">
        <v>57</v>
      </c>
      <c r="G524" s="1">
        <f t="shared" si="40"/>
        <v>2</v>
      </c>
      <c r="H524" s="1" t="s">
        <v>70</v>
      </c>
      <c r="I524" s="1" t="s">
        <v>49</v>
      </c>
      <c r="J524" s="23" t="s">
        <v>50</v>
      </c>
      <c r="K524" s="2" t="s">
        <v>51</v>
      </c>
      <c r="L524" s="1">
        <v>434</v>
      </c>
      <c r="M524" s="1">
        <v>15</v>
      </c>
      <c r="N524" s="1" t="str">
        <f t="shared" si="43"/>
        <v>Published</v>
      </c>
      <c r="O524" s="1">
        <f t="shared" si="41"/>
        <v>65.099999999999994</v>
      </c>
      <c r="P524" s="1">
        <v>5</v>
      </c>
      <c r="Q524" s="1">
        <v>963</v>
      </c>
      <c r="R524" s="1" t="str">
        <f t="shared" si="44"/>
        <v>2</v>
      </c>
      <c r="S524" s="1">
        <v>104</v>
      </c>
      <c r="T524" s="1" t="str">
        <f t="shared" si="42"/>
        <v>3</v>
      </c>
      <c r="U524" s="1">
        <v>-35.173563000000001</v>
      </c>
      <c r="V524" s="3">
        <v>147.37924000000001</v>
      </c>
    </row>
    <row r="525" spans="1:22" x14ac:dyDescent="0.35">
      <c r="A525" s="22" t="s">
        <v>1717</v>
      </c>
      <c r="B525" s="1" t="s">
        <v>1718</v>
      </c>
      <c r="C525" s="1" t="s">
        <v>1719</v>
      </c>
      <c r="D525" s="1" t="s">
        <v>860</v>
      </c>
      <c r="E525" s="1" t="s">
        <v>261</v>
      </c>
      <c r="F525" s="1" t="s">
        <v>241</v>
      </c>
      <c r="G525" s="1">
        <f t="shared" si="40"/>
        <v>4</v>
      </c>
      <c r="H525" s="1" t="s">
        <v>70</v>
      </c>
      <c r="I525" s="1" t="s">
        <v>132</v>
      </c>
      <c r="J525" s="23" t="s">
        <v>50</v>
      </c>
      <c r="K525" s="2" t="s">
        <v>51</v>
      </c>
      <c r="L525" s="1">
        <v>227</v>
      </c>
      <c r="M525" s="1">
        <v>37</v>
      </c>
      <c r="N525" s="1" t="str">
        <f t="shared" si="43"/>
        <v>Published</v>
      </c>
      <c r="O525" s="1">
        <f t="shared" si="41"/>
        <v>83.99</v>
      </c>
      <c r="P525" s="1">
        <v>7</v>
      </c>
      <c r="Q525" s="1">
        <v>858</v>
      </c>
      <c r="R525" s="1" t="str">
        <f t="shared" si="44"/>
        <v>1</v>
      </c>
      <c r="S525" s="1">
        <v>152</v>
      </c>
      <c r="T525" s="1" t="str">
        <f t="shared" si="42"/>
        <v>2</v>
      </c>
      <c r="U525" s="1">
        <v>-33.294835999999997</v>
      </c>
      <c r="V525" s="3">
        <v>146.373966</v>
      </c>
    </row>
    <row r="526" spans="1:22" x14ac:dyDescent="0.35">
      <c r="A526" s="22" t="s">
        <v>1720</v>
      </c>
      <c r="B526" s="1" t="s">
        <v>1721</v>
      </c>
      <c r="C526" s="1" t="s">
        <v>1722</v>
      </c>
      <c r="D526" s="1" t="s">
        <v>152</v>
      </c>
      <c r="E526" s="1" t="s">
        <v>229</v>
      </c>
      <c r="F526" s="1" t="s">
        <v>47</v>
      </c>
      <c r="G526" s="1">
        <f t="shared" si="40"/>
        <v>1</v>
      </c>
      <c r="H526" s="1" t="s">
        <v>48</v>
      </c>
      <c r="I526" s="1" t="s">
        <v>49</v>
      </c>
      <c r="J526" s="23" t="s">
        <v>50</v>
      </c>
      <c r="K526" s="2" t="s">
        <v>51</v>
      </c>
      <c r="L526" s="1">
        <v>428</v>
      </c>
      <c r="M526" s="1">
        <v>0</v>
      </c>
      <c r="N526" s="1" t="str">
        <f t="shared" si="43"/>
        <v>Published</v>
      </c>
      <c r="O526" s="1">
        <f t="shared" si="41"/>
        <v>0</v>
      </c>
      <c r="P526" s="1">
        <v>99</v>
      </c>
      <c r="Q526" s="1">
        <v>999</v>
      </c>
      <c r="R526" s="1" t="str">
        <f t="shared" si="44"/>
        <v>2</v>
      </c>
      <c r="S526" s="1">
        <v>102</v>
      </c>
      <c r="T526" s="1" t="str">
        <f t="shared" si="42"/>
        <v>3</v>
      </c>
      <c r="U526" s="1">
        <v>-33.923614999999998</v>
      </c>
      <c r="V526" s="3">
        <v>151.07004599999999</v>
      </c>
    </row>
    <row r="527" spans="1:22" x14ac:dyDescent="0.35">
      <c r="A527" s="22" t="s">
        <v>1723</v>
      </c>
      <c r="B527" s="1" t="s">
        <v>1724</v>
      </c>
      <c r="C527" s="1" t="s">
        <v>1725</v>
      </c>
      <c r="D527" s="1" t="s">
        <v>186</v>
      </c>
      <c r="E527" s="1" t="s">
        <v>187</v>
      </c>
      <c r="F527" s="1" t="s">
        <v>47</v>
      </c>
      <c r="G527" s="1">
        <f t="shared" si="40"/>
        <v>1</v>
      </c>
      <c r="H527" s="1" t="s">
        <v>63</v>
      </c>
      <c r="I527" s="1" t="s">
        <v>49</v>
      </c>
      <c r="J527" s="23" t="s">
        <v>50</v>
      </c>
      <c r="K527" s="2" t="s">
        <v>51</v>
      </c>
      <c r="L527" s="1">
        <v>384</v>
      </c>
      <c r="M527" s="1">
        <v>16</v>
      </c>
      <c r="N527" s="1" t="str">
        <f t="shared" si="43"/>
        <v>Published</v>
      </c>
      <c r="O527" s="1">
        <f t="shared" si="41"/>
        <v>61.44</v>
      </c>
      <c r="P527" s="1">
        <v>7</v>
      </c>
      <c r="Q527" s="1">
        <v>950</v>
      </c>
      <c r="R527" s="1" t="str">
        <f t="shared" si="44"/>
        <v>2</v>
      </c>
      <c r="S527" s="1">
        <v>132</v>
      </c>
      <c r="T527" s="1" t="str">
        <f t="shared" si="42"/>
        <v>3</v>
      </c>
      <c r="U527" s="1">
        <v>-33.188200000000002</v>
      </c>
      <c r="V527" s="3">
        <v>151.575559</v>
      </c>
    </row>
    <row r="528" spans="1:22" x14ac:dyDescent="0.35">
      <c r="A528" s="22" t="s">
        <v>1726</v>
      </c>
      <c r="B528" s="1" t="s">
        <v>1727</v>
      </c>
      <c r="C528" s="1" t="s">
        <v>1728</v>
      </c>
      <c r="D528" s="1" t="s">
        <v>310</v>
      </c>
      <c r="E528" s="1" t="s">
        <v>80</v>
      </c>
      <c r="F528" s="1" t="s">
        <v>69</v>
      </c>
      <c r="G528" s="1">
        <f t="shared" si="40"/>
        <v>3</v>
      </c>
      <c r="H528" s="1" t="s">
        <v>70</v>
      </c>
      <c r="I528" s="1" t="s">
        <v>49</v>
      </c>
      <c r="J528" s="23" t="s">
        <v>50</v>
      </c>
      <c r="K528" s="2" t="s">
        <v>51</v>
      </c>
      <c r="L528" s="1">
        <v>43</v>
      </c>
      <c r="M528" s="1">
        <v>21</v>
      </c>
      <c r="N528" s="1" t="str">
        <f t="shared" si="43"/>
        <v>Published</v>
      </c>
      <c r="O528" s="1">
        <f t="shared" si="41"/>
        <v>9.0299999999999994</v>
      </c>
      <c r="P528" s="1">
        <v>48</v>
      </c>
      <c r="Q528" s="1">
        <v>926</v>
      </c>
      <c r="R528" s="1" t="str">
        <f t="shared" si="44"/>
        <v>2</v>
      </c>
      <c r="S528" s="1">
        <v>135</v>
      </c>
      <c r="T528" s="1" t="str">
        <f t="shared" si="42"/>
        <v>1</v>
      </c>
      <c r="U528" s="1">
        <v>-34.248182999999997</v>
      </c>
      <c r="V528" s="3">
        <v>146.03423799999999</v>
      </c>
    </row>
    <row r="529" spans="1:22" x14ac:dyDescent="0.35">
      <c r="A529" s="22" t="s">
        <v>1729</v>
      </c>
      <c r="B529" s="1" t="s">
        <v>1730</v>
      </c>
      <c r="C529" s="1" t="s">
        <v>1731</v>
      </c>
      <c r="D529" s="1" t="s">
        <v>74</v>
      </c>
      <c r="E529" s="1" t="s">
        <v>75</v>
      </c>
      <c r="F529" s="1" t="s">
        <v>47</v>
      </c>
      <c r="G529" s="1">
        <f t="shared" si="40"/>
        <v>1</v>
      </c>
      <c r="H529" s="1" t="s">
        <v>63</v>
      </c>
      <c r="I529" s="1" t="s">
        <v>49</v>
      </c>
      <c r="J529" s="23" t="s">
        <v>50</v>
      </c>
      <c r="K529" s="2" t="s">
        <v>51</v>
      </c>
      <c r="L529" s="1">
        <v>339</v>
      </c>
      <c r="M529" s="1">
        <v>9</v>
      </c>
      <c r="N529" s="1" t="str">
        <f t="shared" si="43"/>
        <v>Published</v>
      </c>
      <c r="O529" s="1">
        <f t="shared" si="41"/>
        <v>30.509999999999998</v>
      </c>
      <c r="P529" s="1">
        <v>20</v>
      </c>
      <c r="Q529" s="1">
        <v>1065</v>
      </c>
      <c r="R529" s="1" t="str">
        <f t="shared" si="44"/>
        <v>3</v>
      </c>
      <c r="S529" s="1">
        <v>53</v>
      </c>
      <c r="T529" s="1" t="str">
        <f t="shared" si="42"/>
        <v>3</v>
      </c>
      <c r="U529" s="1">
        <v>-32.911704999999998</v>
      </c>
      <c r="V529" s="3">
        <v>151.70413400000001</v>
      </c>
    </row>
    <row r="530" spans="1:22" x14ac:dyDescent="0.35">
      <c r="A530" s="22" t="s">
        <v>1732</v>
      </c>
      <c r="B530" s="1" t="s">
        <v>1733</v>
      </c>
      <c r="C530" s="1" t="s">
        <v>1376</v>
      </c>
      <c r="D530" s="1" t="s">
        <v>1376</v>
      </c>
      <c r="E530" s="1" t="s">
        <v>147</v>
      </c>
      <c r="F530" s="1" t="s">
        <v>47</v>
      </c>
      <c r="G530" s="1">
        <f t="shared" si="40"/>
        <v>1</v>
      </c>
      <c r="H530" s="1" t="s">
        <v>148</v>
      </c>
      <c r="I530" s="1" t="s">
        <v>49</v>
      </c>
      <c r="J530" s="23" t="s">
        <v>50</v>
      </c>
      <c r="K530" s="2" t="s">
        <v>51</v>
      </c>
      <c r="L530" s="1">
        <v>688</v>
      </c>
      <c r="M530" s="1"/>
      <c r="N530" s="1" t="str">
        <f t="shared" si="43"/>
        <v>Suppressed</v>
      </c>
      <c r="O530" s="1" t="str">
        <f t="shared" si="41"/>
        <v/>
      </c>
      <c r="P530" s="1">
        <v>49</v>
      </c>
      <c r="Q530" s="1">
        <v>1178</v>
      </c>
      <c r="R530" s="1" t="str">
        <f t="shared" si="44"/>
        <v>4</v>
      </c>
      <c r="S530" s="1">
        <v>1</v>
      </c>
      <c r="T530" s="1" t="str">
        <f t="shared" si="42"/>
        <v>4</v>
      </c>
      <c r="U530" s="1">
        <v>-33.816513999999998</v>
      </c>
      <c r="V530" s="3">
        <v>151.16913400000001</v>
      </c>
    </row>
    <row r="531" spans="1:22" x14ac:dyDescent="0.35">
      <c r="A531" s="22" t="s">
        <v>1734</v>
      </c>
      <c r="B531" s="1" t="s">
        <v>1735</v>
      </c>
      <c r="C531" s="1" t="s">
        <v>1736</v>
      </c>
      <c r="D531" s="1" t="s">
        <v>275</v>
      </c>
      <c r="E531" s="1" t="s">
        <v>276</v>
      </c>
      <c r="F531" s="1" t="s">
        <v>57</v>
      </c>
      <c r="G531" s="1">
        <f t="shared" si="40"/>
        <v>2</v>
      </c>
      <c r="H531" s="1" t="s">
        <v>58</v>
      </c>
      <c r="I531" s="1" t="s">
        <v>49</v>
      </c>
      <c r="J531" s="23" t="s">
        <v>50</v>
      </c>
      <c r="K531" s="2" t="s">
        <v>51</v>
      </c>
      <c r="L531" s="1">
        <v>38</v>
      </c>
      <c r="M531" s="1"/>
      <c r="N531" s="1" t="str">
        <f t="shared" si="43"/>
        <v>Suppressed</v>
      </c>
      <c r="O531" s="1" t="str">
        <f t="shared" si="41"/>
        <v/>
      </c>
      <c r="P531" s="1">
        <v>0</v>
      </c>
      <c r="Q531" s="1">
        <v>907</v>
      </c>
      <c r="R531" s="1" t="str">
        <f t="shared" si="44"/>
        <v>2</v>
      </c>
      <c r="S531" s="1">
        <v>139</v>
      </c>
      <c r="T531" s="1" t="str">
        <f t="shared" si="42"/>
        <v>1</v>
      </c>
      <c r="U531" s="1">
        <v>-31.783944000000002</v>
      </c>
      <c r="V531" s="3">
        <v>152.53205600000001</v>
      </c>
    </row>
    <row r="532" spans="1:22" x14ac:dyDescent="0.35">
      <c r="A532" s="22" t="s">
        <v>1737</v>
      </c>
      <c r="B532" s="1" t="s">
        <v>1738</v>
      </c>
      <c r="C532" s="1" t="s">
        <v>1739</v>
      </c>
      <c r="D532" s="1" t="s">
        <v>275</v>
      </c>
      <c r="E532" s="1" t="s">
        <v>276</v>
      </c>
      <c r="F532" s="1" t="s">
        <v>57</v>
      </c>
      <c r="G532" s="1">
        <f t="shared" si="40"/>
        <v>2</v>
      </c>
      <c r="H532" s="1" t="s">
        <v>58</v>
      </c>
      <c r="I532" s="1" t="s">
        <v>49</v>
      </c>
      <c r="J532" s="23" t="s">
        <v>50</v>
      </c>
      <c r="K532" s="2" t="s">
        <v>51</v>
      </c>
      <c r="L532" s="1">
        <v>13</v>
      </c>
      <c r="M532" s="1"/>
      <c r="N532" s="1" t="str">
        <f t="shared" si="43"/>
        <v>Suppressed</v>
      </c>
      <c r="O532" s="1" t="str">
        <f t="shared" si="41"/>
        <v/>
      </c>
      <c r="P532" s="1"/>
      <c r="Q532" s="1">
        <v>979</v>
      </c>
      <c r="R532" s="1" t="str">
        <f t="shared" si="44"/>
        <v>2</v>
      </c>
      <c r="S532" s="1">
        <v>83</v>
      </c>
      <c r="T532" s="1" t="str">
        <f t="shared" si="42"/>
        <v>1</v>
      </c>
      <c r="U532" s="1">
        <v>-31.705206</v>
      </c>
      <c r="V532" s="3">
        <v>152.467389</v>
      </c>
    </row>
    <row r="533" spans="1:22" x14ac:dyDescent="0.35">
      <c r="A533" s="22" t="s">
        <v>1740</v>
      </c>
      <c r="B533" s="1" t="s">
        <v>1741</v>
      </c>
      <c r="C533" s="1" t="s">
        <v>1742</v>
      </c>
      <c r="D533" s="1" t="s">
        <v>876</v>
      </c>
      <c r="E533" s="1" t="s">
        <v>330</v>
      </c>
      <c r="F533" s="1" t="s">
        <v>47</v>
      </c>
      <c r="G533" s="1">
        <f t="shared" si="40"/>
        <v>1</v>
      </c>
      <c r="H533" s="1" t="s">
        <v>48</v>
      </c>
      <c r="I533" s="1" t="s">
        <v>49</v>
      </c>
      <c r="J533" s="23" t="s">
        <v>50</v>
      </c>
      <c r="K533" s="2" t="s">
        <v>51</v>
      </c>
      <c r="L533" s="1">
        <v>111</v>
      </c>
      <c r="M533" s="1">
        <v>50</v>
      </c>
      <c r="N533" s="1" t="str">
        <f t="shared" si="43"/>
        <v>Published</v>
      </c>
      <c r="O533" s="1">
        <f t="shared" si="41"/>
        <v>55.5</v>
      </c>
      <c r="P533" s="1">
        <v>55</v>
      </c>
      <c r="Q533" s="1">
        <v>920</v>
      </c>
      <c r="R533" s="1" t="str">
        <f t="shared" si="44"/>
        <v>2</v>
      </c>
      <c r="S533" s="1">
        <v>98</v>
      </c>
      <c r="T533" s="1" t="str">
        <f t="shared" si="42"/>
        <v>2</v>
      </c>
      <c r="U533" s="1">
        <v>-33.978352000000001</v>
      </c>
      <c r="V533" s="3">
        <v>151.235423</v>
      </c>
    </row>
    <row r="534" spans="1:22" x14ac:dyDescent="0.35">
      <c r="A534" s="22" t="s">
        <v>1743</v>
      </c>
      <c r="B534" s="1" t="s">
        <v>1744</v>
      </c>
      <c r="C534" s="1" t="s">
        <v>1745</v>
      </c>
      <c r="D534" s="1" t="s">
        <v>489</v>
      </c>
      <c r="E534" s="1" t="s">
        <v>56</v>
      </c>
      <c r="F534" s="1" t="s">
        <v>47</v>
      </c>
      <c r="G534" s="1">
        <f t="shared" si="40"/>
        <v>1</v>
      </c>
      <c r="H534" s="1" t="s">
        <v>58</v>
      </c>
      <c r="I534" s="1" t="s">
        <v>49</v>
      </c>
      <c r="J534" s="23" t="s">
        <v>50</v>
      </c>
      <c r="K534" s="2" t="s">
        <v>51</v>
      </c>
      <c r="L534" s="1">
        <v>155</v>
      </c>
      <c r="M534" s="1">
        <v>15</v>
      </c>
      <c r="N534" s="1" t="str">
        <f t="shared" si="43"/>
        <v>Published</v>
      </c>
      <c r="O534" s="1">
        <f t="shared" si="41"/>
        <v>23.25</v>
      </c>
      <c r="P534" s="1"/>
      <c r="Q534" s="1">
        <v>991</v>
      </c>
      <c r="R534" s="1" t="str">
        <f t="shared" si="44"/>
        <v>2</v>
      </c>
      <c r="S534" s="1">
        <v>92</v>
      </c>
      <c r="T534" s="1" t="str">
        <f t="shared" si="42"/>
        <v>2</v>
      </c>
      <c r="U534" s="1">
        <v>-32.700491</v>
      </c>
      <c r="V534" s="3">
        <v>151.60563999999999</v>
      </c>
    </row>
    <row r="535" spans="1:22" x14ac:dyDescent="0.35">
      <c r="A535" s="22" t="s">
        <v>1746</v>
      </c>
      <c r="B535" s="1" t="s">
        <v>1747</v>
      </c>
      <c r="C535" s="1" t="s">
        <v>1748</v>
      </c>
      <c r="D535" s="1" t="s">
        <v>390</v>
      </c>
      <c r="E535" s="1" t="s">
        <v>107</v>
      </c>
      <c r="F535" s="1" t="s">
        <v>57</v>
      </c>
      <c r="G535" s="1">
        <f t="shared" si="40"/>
        <v>2</v>
      </c>
      <c r="H535" s="1" t="s">
        <v>92</v>
      </c>
      <c r="I535" s="1" t="s">
        <v>49</v>
      </c>
      <c r="J535" s="23" t="s">
        <v>50</v>
      </c>
      <c r="K535" s="2" t="s">
        <v>51</v>
      </c>
      <c r="L535" s="1">
        <v>11</v>
      </c>
      <c r="M535" s="1"/>
      <c r="N535" s="1" t="str">
        <f t="shared" si="43"/>
        <v>Suppressed</v>
      </c>
      <c r="O535" s="1" t="str">
        <f t="shared" si="41"/>
        <v/>
      </c>
      <c r="P535" s="1">
        <v>0</v>
      </c>
      <c r="Q535" s="1">
        <v>886</v>
      </c>
      <c r="R535" s="1" t="str">
        <f t="shared" si="44"/>
        <v>1</v>
      </c>
      <c r="S535" s="1">
        <v>175</v>
      </c>
      <c r="T535" s="1" t="str">
        <f t="shared" si="42"/>
        <v>1</v>
      </c>
      <c r="U535" s="1">
        <v>-28.648612</v>
      </c>
      <c r="V535" s="3">
        <v>153.11476500000001</v>
      </c>
    </row>
    <row r="536" spans="1:22" x14ac:dyDescent="0.35">
      <c r="A536" s="22" t="s">
        <v>1749</v>
      </c>
      <c r="B536" s="1" t="s">
        <v>1750</v>
      </c>
      <c r="C536" s="1" t="s">
        <v>1751</v>
      </c>
      <c r="D536" s="1" t="s">
        <v>302</v>
      </c>
      <c r="E536" s="1" t="s">
        <v>276</v>
      </c>
      <c r="F536" s="1" t="s">
        <v>57</v>
      </c>
      <c r="G536" s="1">
        <f t="shared" si="40"/>
        <v>2</v>
      </c>
      <c r="H536" s="1" t="s">
        <v>58</v>
      </c>
      <c r="I536" s="1" t="s">
        <v>49</v>
      </c>
      <c r="J536" s="23" t="s">
        <v>50</v>
      </c>
      <c r="K536" s="2" t="s">
        <v>51</v>
      </c>
      <c r="L536" s="1">
        <v>151</v>
      </c>
      <c r="M536" s="1">
        <v>21</v>
      </c>
      <c r="N536" s="1" t="str">
        <f t="shared" si="43"/>
        <v>Published</v>
      </c>
      <c r="O536" s="1">
        <f t="shared" si="41"/>
        <v>31.709999999999997</v>
      </c>
      <c r="P536" s="1">
        <v>8</v>
      </c>
      <c r="Q536" s="1">
        <v>991</v>
      </c>
      <c r="R536" s="1" t="str">
        <f t="shared" si="44"/>
        <v>2</v>
      </c>
      <c r="S536" s="1">
        <v>93</v>
      </c>
      <c r="T536" s="1" t="str">
        <f t="shared" si="42"/>
        <v>2</v>
      </c>
      <c r="U536" s="1">
        <v>-31.651768000000001</v>
      </c>
      <c r="V536" s="3">
        <v>152.79749100000001</v>
      </c>
    </row>
    <row r="537" spans="1:22" x14ac:dyDescent="0.35">
      <c r="A537" s="22" t="s">
        <v>1752</v>
      </c>
      <c r="B537" s="1" t="s">
        <v>1753</v>
      </c>
      <c r="C537" s="1" t="s">
        <v>1754</v>
      </c>
      <c r="D537" s="1" t="s">
        <v>95</v>
      </c>
      <c r="E537" s="1" t="s">
        <v>96</v>
      </c>
      <c r="F537" s="1" t="s">
        <v>57</v>
      </c>
      <c r="G537" s="1">
        <f t="shared" si="40"/>
        <v>2</v>
      </c>
      <c r="H537" s="1" t="s">
        <v>70</v>
      </c>
      <c r="I537" s="1" t="s">
        <v>49</v>
      </c>
      <c r="J537" s="23" t="s">
        <v>50</v>
      </c>
      <c r="K537" s="2" t="s">
        <v>51</v>
      </c>
      <c r="L537" s="1">
        <v>409</v>
      </c>
      <c r="M537" s="1">
        <v>16</v>
      </c>
      <c r="N537" s="1" t="str">
        <f t="shared" si="43"/>
        <v>Published</v>
      </c>
      <c r="O537" s="1">
        <f t="shared" si="41"/>
        <v>65.44</v>
      </c>
      <c r="P537" s="1">
        <v>22</v>
      </c>
      <c r="Q537" s="1">
        <v>944</v>
      </c>
      <c r="R537" s="1" t="str">
        <f t="shared" si="44"/>
        <v>2</v>
      </c>
      <c r="S537" s="1">
        <v>121</v>
      </c>
      <c r="T537" s="1" t="str">
        <f t="shared" si="42"/>
        <v>3</v>
      </c>
      <c r="U537" s="1">
        <v>-36.037410999999999</v>
      </c>
      <c r="V537" s="3">
        <v>146.92826500000001</v>
      </c>
    </row>
    <row r="538" spans="1:22" x14ac:dyDescent="0.35">
      <c r="A538" s="22" t="s">
        <v>1755</v>
      </c>
      <c r="B538" s="1" t="s">
        <v>1756</v>
      </c>
      <c r="C538" s="1" t="s">
        <v>1757</v>
      </c>
      <c r="D538" s="1" t="s">
        <v>280</v>
      </c>
      <c r="E538" s="1" t="s">
        <v>281</v>
      </c>
      <c r="F538" s="1" t="s">
        <v>57</v>
      </c>
      <c r="G538" s="1">
        <f t="shared" si="40"/>
        <v>2</v>
      </c>
      <c r="H538" s="1" t="s">
        <v>92</v>
      </c>
      <c r="I538" s="1" t="s">
        <v>49</v>
      </c>
      <c r="J538" s="23" t="s">
        <v>50</v>
      </c>
      <c r="K538" s="2" t="s">
        <v>51</v>
      </c>
      <c r="L538" s="1">
        <v>52</v>
      </c>
      <c r="M538" s="1">
        <v>15</v>
      </c>
      <c r="N538" s="1" t="str">
        <f t="shared" si="43"/>
        <v>Published</v>
      </c>
      <c r="O538" s="1">
        <f t="shared" si="41"/>
        <v>7.8</v>
      </c>
      <c r="P538" s="1"/>
      <c r="Q538" s="1">
        <v>947</v>
      </c>
      <c r="R538" s="1" t="str">
        <f t="shared" si="44"/>
        <v>2</v>
      </c>
      <c r="S538" s="1">
        <v>119</v>
      </c>
      <c r="T538" s="1" t="str">
        <f t="shared" si="42"/>
        <v>1</v>
      </c>
      <c r="U538" s="1">
        <v>-29.491624999999999</v>
      </c>
      <c r="V538" s="3">
        <v>153.100368</v>
      </c>
    </row>
    <row r="539" spans="1:22" x14ac:dyDescent="0.35">
      <c r="A539" s="22" t="s">
        <v>1758</v>
      </c>
      <c r="B539" s="1" t="s">
        <v>1759</v>
      </c>
      <c r="C539" s="1" t="s">
        <v>1760</v>
      </c>
      <c r="D539" s="1" t="s">
        <v>428</v>
      </c>
      <c r="E539" s="1" t="s">
        <v>429</v>
      </c>
      <c r="F539" s="1" t="s">
        <v>47</v>
      </c>
      <c r="G539" s="1">
        <f t="shared" si="40"/>
        <v>1</v>
      </c>
      <c r="H539" s="1" t="s">
        <v>63</v>
      </c>
      <c r="I539" s="1" t="s">
        <v>49</v>
      </c>
      <c r="J539" s="23" t="s">
        <v>50</v>
      </c>
      <c r="K539" s="2" t="s">
        <v>51</v>
      </c>
      <c r="L539" s="1">
        <v>196</v>
      </c>
      <c r="M539" s="1">
        <v>16</v>
      </c>
      <c r="N539" s="1" t="str">
        <f t="shared" si="43"/>
        <v>Published</v>
      </c>
      <c r="O539" s="1">
        <f t="shared" si="41"/>
        <v>31.36</v>
      </c>
      <c r="P539" s="1">
        <v>10</v>
      </c>
      <c r="Q539" s="1">
        <v>1000</v>
      </c>
      <c r="R539" s="1" t="str">
        <f t="shared" si="44"/>
        <v>3</v>
      </c>
      <c r="S539" s="1">
        <v>92</v>
      </c>
      <c r="T539" s="1" t="str">
        <f t="shared" si="42"/>
        <v>2</v>
      </c>
      <c r="U539" s="1">
        <v>-33.721217000000003</v>
      </c>
      <c r="V539" s="3">
        <v>150.42824300000001</v>
      </c>
    </row>
    <row r="540" spans="1:22" x14ac:dyDescent="0.35">
      <c r="A540" s="22" t="s">
        <v>1761</v>
      </c>
      <c r="B540" s="1" t="s">
        <v>1762</v>
      </c>
      <c r="C540" s="1" t="s">
        <v>1763</v>
      </c>
      <c r="D540" s="1" t="s">
        <v>1763</v>
      </c>
      <c r="E540" s="1" t="s">
        <v>80</v>
      </c>
      <c r="F540" s="1" t="s">
        <v>69</v>
      </c>
      <c r="G540" s="1">
        <f t="shared" si="40"/>
        <v>3</v>
      </c>
      <c r="H540" s="1" t="s">
        <v>70</v>
      </c>
      <c r="I540" s="1" t="s">
        <v>49</v>
      </c>
      <c r="J540" s="23" t="s">
        <v>50</v>
      </c>
      <c r="K540" s="2" t="s">
        <v>51</v>
      </c>
      <c r="L540" s="1">
        <v>258</v>
      </c>
      <c r="M540" s="1">
        <v>10</v>
      </c>
      <c r="N540" s="1" t="str">
        <f t="shared" si="43"/>
        <v>Published</v>
      </c>
      <c r="O540" s="1">
        <f t="shared" si="41"/>
        <v>25.8</v>
      </c>
      <c r="P540" s="1">
        <v>16</v>
      </c>
      <c r="Q540" s="1">
        <v>976</v>
      </c>
      <c r="R540" s="1" t="str">
        <f t="shared" si="44"/>
        <v>2</v>
      </c>
      <c r="S540" s="1">
        <v>111</v>
      </c>
      <c r="T540" s="1" t="str">
        <f t="shared" si="42"/>
        <v>2</v>
      </c>
      <c r="U540" s="1">
        <v>-34.546126000000001</v>
      </c>
      <c r="V540" s="3">
        <v>146.40723199999999</v>
      </c>
    </row>
    <row r="541" spans="1:22" x14ac:dyDescent="0.35">
      <c r="A541" s="22" t="s">
        <v>1764</v>
      </c>
      <c r="B541" s="1" t="s">
        <v>1765</v>
      </c>
      <c r="C541" s="1" t="s">
        <v>1766</v>
      </c>
      <c r="D541" s="1" t="s">
        <v>428</v>
      </c>
      <c r="E541" s="1" t="s">
        <v>429</v>
      </c>
      <c r="F541" s="1" t="s">
        <v>47</v>
      </c>
      <c r="G541" s="1">
        <f t="shared" si="40"/>
        <v>1</v>
      </c>
      <c r="H541" s="1" t="s">
        <v>63</v>
      </c>
      <c r="I541" s="1" t="s">
        <v>49</v>
      </c>
      <c r="J541" s="23" t="s">
        <v>50</v>
      </c>
      <c r="K541" s="2" t="s">
        <v>51</v>
      </c>
      <c r="L541" s="1">
        <v>199</v>
      </c>
      <c r="M541" s="1">
        <v>9</v>
      </c>
      <c r="N541" s="1" t="str">
        <f t="shared" si="43"/>
        <v>Published</v>
      </c>
      <c r="O541" s="1">
        <f t="shared" si="41"/>
        <v>17.91</v>
      </c>
      <c r="P541" s="1">
        <v>21</v>
      </c>
      <c r="Q541" s="1">
        <v>1055</v>
      </c>
      <c r="R541" s="1" t="str">
        <f t="shared" si="44"/>
        <v>3</v>
      </c>
      <c r="S541" s="1">
        <v>61</v>
      </c>
      <c r="T541" s="1" t="str">
        <f t="shared" si="42"/>
        <v>2</v>
      </c>
      <c r="U541" s="1">
        <v>-33.711151000000001</v>
      </c>
      <c r="V541" s="3">
        <v>150.33673300000001</v>
      </c>
    </row>
    <row r="542" spans="1:22" x14ac:dyDescent="0.35">
      <c r="A542" s="22" t="s">
        <v>1767</v>
      </c>
      <c r="B542" s="1" t="s">
        <v>1768</v>
      </c>
      <c r="C542" s="1" t="s">
        <v>1769</v>
      </c>
      <c r="D542" s="1" t="s">
        <v>169</v>
      </c>
      <c r="E542" s="1" t="s">
        <v>170</v>
      </c>
      <c r="F542" s="1" t="s">
        <v>47</v>
      </c>
      <c r="G542" s="1">
        <f t="shared" si="40"/>
        <v>1</v>
      </c>
      <c r="H542" s="1" t="s">
        <v>48</v>
      </c>
      <c r="I542" s="1" t="s">
        <v>49</v>
      </c>
      <c r="J542" s="23" t="s">
        <v>50</v>
      </c>
      <c r="K542" s="2" t="s">
        <v>51</v>
      </c>
      <c r="L542" s="1">
        <v>762</v>
      </c>
      <c r="M542" s="1"/>
      <c r="N542" s="1" t="str">
        <f t="shared" si="43"/>
        <v>Suppressed</v>
      </c>
      <c r="O542" s="1" t="str">
        <f t="shared" si="41"/>
        <v/>
      </c>
      <c r="P542" s="1">
        <v>91</v>
      </c>
      <c r="Q542" s="1">
        <v>1019</v>
      </c>
      <c r="R542" s="1" t="str">
        <f t="shared" si="44"/>
        <v>3</v>
      </c>
      <c r="S542" s="1">
        <v>90</v>
      </c>
      <c r="T542" s="1" t="str">
        <f t="shared" si="42"/>
        <v>4</v>
      </c>
      <c r="U542" s="1">
        <v>-33.861018999999999</v>
      </c>
      <c r="V542" s="3">
        <v>151.04692600000001</v>
      </c>
    </row>
    <row r="543" spans="1:22" x14ac:dyDescent="0.35">
      <c r="A543" s="22" t="s">
        <v>1770</v>
      </c>
      <c r="B543" s="1" t="s">
        <v>1771</v>
      </c>
      <c r="C543" s="1" t="s">
        <v>1772</v>
      </c>
      <c r="D543" s="1" t="s">
        <v>649</v>
      </c>
      <c r="E543" s="1" t="s">
        <v>102</v>
      </c>
      <c r="F543" s="1" t="s">
        <v>241</v>
      </c>
      <c r="G543" s="1">
        <f t="shared" si="40"/>
        <v>4</v>
      </c>
      <c r="H543" s="1" t="s">
        <v>92</v>
      </c>
      <c r="I543" s="1" t="s">
        <v>132</v>
      </c>
      <c r="J543" s="23" t="s">
        <v>50</v>
      </c>
      <c r="K543" s="2" t="s">
        <v>51</v>
      </c>
      <c r="L543" s="1">
        <v>311</v>
      </c>
      <c r="M543" s="1">
        <v>61</v>
      </c>
      <c r="N543" s="1" t="str">
        <f t="shared" si="43"/>
        <v>Published</v>
      </c>
      <c r="O543" s="1">
        <f t="shared" si="41"/>
        <v>189.71</v>
      </c>
      <c r="P543" s="1">
        <v>7</v>
      </c>
      <c r="Q543" s="1">
        <v>790</v>
      </c>
      <c r="R543" s="1" t="str">
        <f t="shared" si="44"/>
        <v>1</v>
      </c>
      <c r="S543" s="1">
        <v>173</v>
      </c>
      <c r="T543" s="1" t="str">
        <f t="shared" si="42"/>
        <v>3</v>
      </c>
      <c r="U543" s="1">
        <v>-29.425211000000001</v>
      </c>
      <c r="V543" s="3">
        <v>147.97861399999999</v>
      </c>
    </row>
    <row r="544" spans="1:22" x14ac:dyDescent="0.35">
      <c r="A544" s="22" t="s">
        <v>1773</v>
      </c>
      <c r="B544" s="1" t="s">
        <v>1774</v>
      </c>
      <c r="C544" s="1" t="s">
        <v>1775</v>
      </c>
      <c r="D544" s="1" t="s">
        <v>1776</v>
      </c>
      <c r="E544" s="1" t="s">
        <v>147</v>
      </c>
      <c r="F544" s="1" t="s">
        <v>47</v>
      </c>
      <c r="G544" s="1">
        <f t="shared" si="40"/>
        <v>1</v>
      </c>
      <c r="H544" s="1" t="s">
        <v>148</v>
      </c>
      <c r="I544" s="1" t="s">
        <v>49</v>
      </c>
      <c r="J544" s="23" t="s">
        <v>50</v>
      </c>
      <c r="K544" s="2" t="s">
        <v>51</v>
      </c>
      <c r="L544" s="1">
        <v>584</v>
      </c>
      <c r="M544" s="1"/>
      <c r="N544" s="1" t="str">
        <f t="shared" si="43"/>
        <v>Suppressed</v>
      </c>
      <c r="O544" s="1" t="str">
        <f t="shared" si="41"/>
        <v/>
      </c>
      <c r="P544" s="1">
        <v>66</v>
      </c>
      <c r="Q544" s="1">
        <v>1162</v>
      </c>
      <c r="R544" s="1" t="str">
        <f t="shared" si="44"/>
        <v>4</v>
      </c>
      <c r="S544" s="1">
        <v>0</v>
      </c>
      <c r="T544" s="1" t="str">
        <f t="shared" si="42"/>
        <v>3</v>
      </c>
      <c r="U544" s="1">
        <v>-33.780749999999998</v>
      </c>
      <c r="V544" s="3">
        <v>151.16891699999999</v>
      </c>
    </row>
    <row r="545" spans="1:22" x14ac:dyDescent="0.35">
      <c r="A545" s="22" t="s">
        <v>1777</v>
      </c>
      <c r="B545" s="1" t="s">
        <v>1778</v>
      </c>
      <c r="C545" s="1" t="s">
        <v>1779</v>
      </c>
      <c r="D545" s="1" t="s">
        <v>1776</v>
      </c>
      <c r="E545" s="1" t="s">
        <v>147</v>
      </c>
      <c r="F545" s="1" t="s">
        <v>47</v>
      </c>
      <c r="G545" s="1">
        <f t="shared" si="40"/>
        <v>1</v>
      </c>
      <c r="H545" s="1" t="s">
        <v>148</v>
      </c>
      <c r="I545" s="1" t="s">
        <v>49</v>
      </c>
      <c r="J545" s="23" t="s">
        <v>50</v>
      </c>
      <c r="K545" s="2" t="s">
        <v>51</v>
      </c>
      <c r="L545" s="1">
        <v>531</v>
      </c>
      <c r="M545" s="1"/>
      <c r="N545" s="1" t="str">
        <f t="shared" si="43"/>
        <v>Suppressed</v>
      </c>
      <c r="O545" s="1" t="str">
        <f t="shared" si="41"/>
        <v/>
      </c>
      <c r="P545" s="1">
        <v>73</v>
      </c>
      <c r="Q545" s="1">
        <v>1167</v>
      </c>
      <c r="R545" s="1" t="str">
        <f t="shared" si="44"/>
        <v>4</v>
      </c>
      <c r="S545" s="1">
        <v>2</v>
      </c>
      <c r="T545" s="1" t="str">
        <f t="shared" si="42"/>
        <v>3</v>
      </c>
      <c r="U545" s="1">
        <v>-33.767479000000002</v>
      </c>
      <c r="V545" s="3">
        <v>151.18429</v>
      </c>
    </row>
    <row r="546" spans="1:22" x14ac:dyDescent="0.35">
      <c r="A546" s="22" t="s">
        <v>1780</v>
      </c>
      <c r="B546" s="1" t="s">
        <v>1781</v>
      </c>
      <c r="C546" s="1" t="s">
        <v>1782</v>
      </c>
      <c r="D546" s="1" t="s">
        <v>186</v>
      </c>
      <c r="E546" s="1" t="s">
        <v>187</v>
      </c>
      <c r="F546" s="1" t="s">
        <v>47</v>
      </c>
      <c r="G546" s="1">
        <f t="shared" si="40"/>
        <v>1</v>
      </c>
      <c r="H546" s="1" t="s">
        <v>63</v>
      </c>
      <c r="I546" s="1" t="s">
        <v>49</v>
      </c>
      <c r="J546" s="23" t="s">
        <v>50</v>
      </c>
      <c r="K546" s="2" t="s">
        <v>51</v>
      </c>
      <c r="L546" s="1">
        <v>192</v>
      </c>
      <c r="M546" s="1">
        <v>10</v>
      </c>
      <c r="N546" s="1" t="str">
        <f t="shared" si="43"/>
        <v>Published</v>
      </c>
      <c r="O546" s="1">
        <f t="shared" si="41"/>
        <v>19.200000000000003</v>
      </c>
      <c r="P546" s="1">
        <v>12</v>
      </c>
      <c r="Q546" s="1">
        <v>1035</v>
      </c>
      <c r="R546" s="1" t="str">
        <f t="shared" si="44"/>
        <v>3</v>
      </c>
      <c r="S546" s="1">
        <v>76</v>
      </c>
      <c r="T546" s="1" t="str">
        <f t="shared" si="42"/>
        <v>2</v>
      </c>
      <c r="U546" s="1">
        <v>-33.381283000000003</v>
      </c>
      <c r="V546" s="3">
        <v>151.376296</v>
      </c>
    </row>
    <row r="547" spans="1:22" x14ac:dyDescent="0.35">
      <c r="A547" s="22" t="s">
        <v>1783</v>
      </c>
      <c r="B547" s="1" t="s">
        <v>1784</v>
      </c>
      <c r="C547" s="1" t="s">
        <v>1785</v>
      </c>
      <c r="D547" s="1" t="s">
        <v>390</v>
      </c>
      <c r="E547" s="1" t="s">
        <v>107</v>
      </c>
      <c r="F547" s="1" t="s">
        <v>57</v>
      </c>
      <c r="G547" s="1">
        <f t="shared" si="40"/>
        <v>2</v>
      </c>
      <c r="H547" s="1" t="s">
        <v>92</v>
      </c>
      <c r="I547" s="1" t="s">
        <v>49</v>
      </c>
      <c r="J547" s="23" t="s">
        <v>50</v>
      </c>
      <c r="K547" s="2" t="s">
        <v>51</v>
      </c>
      <c r="L547" s="1">
        <v>106</v>
      </c>
      <c r="M547" s="1">
        <v>25</v>
      </c>
      <c r="N547" s="1" t="str">
        <f t="shared" si="43"/>
        <v>Published</v>
      </c>
      <c r="O547" s="1">
        <f t="shared" si="41"/>
        <v>26.5</v>
      </c>
      <c r="P547" s="1">
        <v>9</v>
      </c>
      <c r="Q547" s="1">
        <v>898</v>
      </c>
      <c r="R547" s="1" t="str">
        <f t="shared" si="44"/>
        <v>1</v>
      </c>
      <c r="S547" s="1">
        <v>145</v>
      </c>
      <c r="T547" s="1" t="str">
        <f t="shared" si="42"/>
        <v>2</v>
      </c>
      <c r="U547" s="1">
        <v>-28.809501999999998</v>
      </c>
      <c r="V547" s="3">
        <v>153.262056</v>
      </c>
    </row>
    <row r="548" spans="1:22" x14ac:dyDescent="0.35">
      <c r="A548" s="22" t="s">
        <v>1786</v>
      </c>
      <c r="B548" s="1" t="s">
        <v>1787</v>
      </c>
      <c r="C548" s="1" t="s">
        <v>872</v>
      </c>
      <c r="D548" s="1" t="s">
        <v>872</v>
      </c>
      <c r="E548" s="1" t="s">
        <v>261</v>
      </c>
      <c r="F548" s="1" t="s">
        <v>57</v>
      </c>
      <c r="G548" s="1">
        <f t="shared" si="40"/>
        <v>2</v>
      </c>
      <c r="H548" s="1" t="s">
        <v>58</v>
      </c>
      <c r="I548" s="1" t="s">
        <v>49</v>
      </c>
      <c r="J548" s="23" t="s">
        <v>50</v>
      </c>
      <c r="K548" s="2" t="s">
        <v>51</v>
      </c>
      <c r="L548" s="1">
        <v>324</v>
      </c>
      <c r="M548" s="1">
        <v>23</v>
      </c>
      <c r="N548" s="1" t="str">
        <f t="shared" si="43"/>
        <v>Published</v>
      </c>
      <c r="O548" s="1">
        <f t="shared" si="41"/>
        <v>74.52000000000001</v>
      </c>
      <c r="P548" s="1">
        <v>8</v>
      </c>
      <c r="Q548" s="1">
        <v>919</v>
      </c>
      <c r="R548" s="1" t="str">
        <f t="shared" si="44"/>
        <v>2</v>
      </c>
      <c r="S548" s="1">
        <v>142</v>
      </c>
      <c r="T548" s="1" t="str">
        <f t="shared" si="42"/>
        <v>3</v>
      </c>
      <c r="U548" s="1">
        <v>-33.482092000000002</v>
      </c>
      <c r="V548" s="3">
        <v>150.16022699999999</v>
      </c>
    </row>
    <row r="549" spans="1:22" x14ac:dyDescent="0.35">
      <c r="A549" s="22" t="s">
        <v>1788</v>
      </c>
      <c r="B549" s="1" t="s">
        <v>1789</v>
      </c>
      <c r="C549" s="1" t="s">
        <v>1790</v>
      </c>
      <c r="D549" s="1" t="s">
        <v>1131</v>
      </c>
      <c r="E549" s="1" t="s">
        <v>429</v>
      </c>
      <c r="F549" s="1" t="s">
        <v>47</v>
      </c>
      <c r="G549" s="1">
        <f t="shared" si="40"/>
        <v>1</v>
      </c>
      <c r="H549" s="1" t="s">
        <v>148</v>
      </c>
      <c r="I549" s="1" t="s">
        <v>49</v>
      </c>
      <c r="J549" s="23" t="s">
        <v>50</v>
      </c>
      <c r="K549" s="2" t="s">
        <v>51</v>
      </c>
      <c r="L549" s="1">
        <v>155</v>
      </c>
      <c r="M549" s="1">
        <v>14</v>
      </c>
      <c r="N549" s="1" t="str">
        <f t="shared" si="43"/>
        <v>Published</v>
      </c>
      <c r="O549" s="1">
        <f t="shared" si="41"/>
        <v>21.700000000000003</v>
      </c>
      <c r="P549" s="1">
        <v>24</v>
      </c>
      <c r="Q549" s="1">
        <v>941</v>
      </c>
      <c r="R549" s="1" t="str">
        <f t="shared" si="44"/>
        <v>2</v>
      </c>
      <c r="S549" s="1">
        <v>135</v>
      </c>
      <c r="T549" s="1" t="str">
        <f t="shared" si="42"/>
        <v>2</v>
      </c>
      <c r="U549" s="1">
        <v>-33.707236999999999</v>
      </c>
      <c r="V549" s="3">
        <v>150.75178299999999</v>
      </c>
    </row>
    <row r="550" spans="1:22" x14ac:dyDescent="0.35">
      <c r="A550" s="22" t="s">
        <v>1791</v>
      </c>
      <c r="B550" s="1" t="s">
        <v>1792</v>
      </c>
      <c r="C550" s="1" t="s">
        <v>1793</v>
      </c>
      <c r="D550" s="1" t="s">
        <v>489</v>
      </c>
      <c r="E550" s="1" t="s">
        <v>56</v>
      </c>
      <c r="F550" s="1" t="s">
        <v>57</v>
      </c>
      <c r="G550" s="1">
        <f t="shared" si="40"/>
        <v>2</v>
      </c>
      <c r="H550" s="1" t="s">
        <v>58</v>
      </c>
      <c r="I550" s="1" t="s">
        <v>49</v>
      </c>
      <c r="J550" s="23" t="s">
        <v>50</v>
      </c>
      <c r="K550" s="2" t="s">
        <v>51</v>
      </c>
      <c r="L550" s="1">
        <v>194</v>
      </c>
      <c r="M550" s="1">
        <v>19</v>
      </c>
      <c r="N550" s="1" t="str">
        <f t="shared" si="43"/>
        <v>Published</v>
      </c>
      <c r="O550" s="1">
        <f t="shared" si="41"/>
        <v>36.86</v>
      </c>
      <c r="P550" s="1">
        <v>5</v>
      </c>
      <c r="Q550" s="1">
        <v>965</v>
      </c>
      <c r="R550" s="1" t="str">
        <f t="shared" si="44"/>
        <v>2</v>
      </c>
      <c r="S550" s="1">
        <v>110</v>
      </c>
      <c r="T550" s="1" t="str">
        <f t="shared" si="42"/>
        <v>2</v>
      </c>
      <c r="U550" s="1">
        <v>-32.700305</v>
      </c>
      <c r="V550" s="3">
        <v>151.451988</v>
      </c>
    </row>
    <row r="551" spans="1:22" x14ac:dyDescent="0.35">
      <c r="A551" s="22" t="s">
        <v>1794</v>
      </c>
      <c r="B551" s="1" t="s">
        <v>1795</v>
      </c>
      <c r="C551" s="1" t="s">
        <v>1796</v>
      </c>
      <c r="D551" s="1" t="s">
        <v>1796</v>
      </c>
      <c r="E551" s="1" t="s">
        <v>80</v>
      </c>
      <c r="F551" s="1" t="s">
        <v>69</v>
      </c>
      <c r="G551" s="1">
        <f t="shared" si="40"/>
        <v>3</v>
      </c>
      <c r="H551" s="1" t="s">
        <v>70</v>
      </c>
      <c r="I551" s="1" t="s">
        <v>132</v>
      </c>
      <c r="J551" s="23" t="s">
        <v>50</v>
      </c>
      <c r="K551" s="2" t="s">
        <v>51</v>
      </c>
      <c r="L551" s="1">
        <v>87</v>
      </c>
      <c r="M551" s="1">
        <v>26</v>
      </c>
      <c r="N551" s="1" t="str">
        <f t="shared" si="43"/>
        <v>Published</v>
      </c>
      <c r="O551" s="1">
        <f t="shared" si="41"/>
        <v>22.62</v>
      </c>
      <c r="P551" s="1">
        <v>0</v>
      </c>
      <c r="Q551" s="1">
        <v>874</v>
      </c>
      <c r="R551" s="1" t="str">
        <f t="shared" si="44"/>
        <v>1</v>
      </c>
      <c r="S551" s="1">
        <v>148</v>
      </c>
      <c r="T551" s="1" t="str">
        <f t="shared" si="42"/>
        <v>1</v>
      </c>
      <c r="U551" s="1">
        <v>-35.222752999999997</v>
      </c>
      <c r="V551" s="3">
        <v>146.71474699999999</v>
      </c>
    </row>
    <row r="552" spans="1:22" x14ac:dyDescent="0.35">
      <c r="A552" s="22" t="s">
        <v>1797</v>
      </c>
      <c r="B552" s="1" t="s">
        <v>1798</v>
      </c>
      <c r="C552" s="1" t="s">
        <v>1799</v>
      </c>
      <c r="D552" s="1" t="s">
        <v>1131</v>
      </c>
      <c r="E552" s="1" t="s">
        <v>429</v>
      </c>
      <c r="F552" s="1" t="s">
        <v>47</v>
      </c>
      <c r="G552" s="1">
        <f t="shared" si="40"/>
        <v>1</v>
      </c>
      <c r="H552" s="1" t="s">
        <v>63</v>
      </c>
      <c r="I552" s="1" t="s">
        <v>49</v>
      </c>
      <c r="J552" s="23" t="s">
        <v>50</v>
      </c>
      <c r="K552" s="2" t="s">
        <v>51</v>
      </c>
      <c r="L552" s="1">
        <v>235</v>
      </c>
      <c r="M552" s="1">
        <v>15</v>
      </c>
      <c r="N552" s="1" t="str">
        <f t="shared" si="43"/>
        <v>Published</v>
      </c>
      <c r="O552" s="1">
        <f t="shared" si="41"/>
        <v>35.25</v>
      </c>
      <c r="P552" s="1">
        <v>16</v>
      </c>
      <c r="Q552" s="1">
        <v>939</v>
      </c>
      <c r="R552" s="1" t="str">
        <f t="shared" si="44"/>
        <v>2</v>
      </c>
      <c r="S552" s="1">
        <v>125</v>
      </c>
      <c r="T552" s="1" t="str">
        <f t="shared" si="42"/>
        <v>2</v>
      </c>
      <c r="U552" s="1">
        <v>-33.647454000000003</v>
      </c>
      <c r="V552" s="3">
        <v>150.73690500000001</v>
      </c>
    </row>
    <row r="553" spans="1:22" x14ac:dyDescent="0.35">
      <c r="A553" s="22" t="s">
        <v>1800</v>
      </c>
      <c r="B553" s="1" t="s">
        <v>1801</v>
      </c>
      <c r="C553" s="1" t="s">
        <v>1802</v>
      </c>
      <c r="D553" s="1" t="s">
        <v>302</v>
      </c>
      <c r="E553" s="1" t="s">
        <v>276</v>
      </c>
      <c r="F553" s="1" t="s">
        <v>57</v>
      </c>
      <c r="G553" s="1">
        <f t="shared" si="40"/>
        <v>2</v>
      </c>
      <c r="H553" s="1" t="s">
        <v>58</v>
      </c>
      <c r="I553" s="1" t="s">
        <v>49</v>
      </c>
      <c r="J553" s="23" t="s">
        <v>50</v>
      </c>
      <c r="K553" s="2" t="s">
        <v>51</v>
      </c>
      <c r="L553" s="1">
        <v>36</v>
      </c>
      <c r="M553" s="1"/>
      <c r="N553" s="1" t="str">
        <f t="shared" si="43"/>
        <v>Suppressed</v>
      </c>
      <c r="O553" s="1" t="str">
        <f t="shared" si="41"/>
        <v/>
      </c>
      <c r="P553" s="1">
        <v>0</v>
      </c>
      <c r="Q553" s="1">
        <v>887</v>
      </c>
      <c r="R553" s="1" t="str">
        <f t="shared" si="44"/>
        <v>1</v>
      </c>
      <c r="S553" s="1">
        <v>141</v>
      </c>
      <c r="T553" s="1" t="str">
        <f t="shared" si="42"/>
        <v>1</v>
      </c>
      <c r="U553" s="1">
        <v>-31.437823000000002</v>
      </c>
      <c r="V553" s="3">
        <v>152.48612</v>
      </c>
    </row>
    <row r="554" spans="1:22" x14ac:dyDescent="0.35">
      <c r="A554" s="22" t="s">
        <v>1803</v>
      </c>
      <c r="B554" s="1" t="s">
        <v>1804</v>
      </c>
      <c r="C554" s="1" t="s">
        <v>1805</v>
      </c>
      <c r="D554" s="1" t="s">
        <v>465</v>
      </c>
      <c r="E554" s="1" t="s">
        <v>281</v>
      </c>
      <c r="F554" s="1" t="s">
        <v>57</v>
      </c>
      <c r="G554" s="1">
        <f t="shared" si="40"/>
        <v>2</v>
      </c>
      <c r="H554" s="1" t="s">
        <v>58</v>
      </c>
      <c r="I554" s="1" t="s">
        <v>49</v>
      </c>
      <c r="J554" s="23" t="s">
        <v>50</v>
      </c>
      <c r="K554" s="2" t="s">
        <v>51</v>
      </c>
      <c r="L554" s="1">
        <v>20</v>
      </c>
      <c r="M554" s="1">
        <v>55</v>
      </c>
      <c r="N554" s="1" t="str">
        <f t="shared" si="43"/>
        <v>Published</v>
      </c>
      <c r="O554" s="1">
        <f t="shared" si="41"/>
        <v>11</v>
      </c>
      <c r="P554" s="1"/>
      <c r="Q554" s="1">
        <v>793</v>
      </c>
      <c r="R554" s="1" t="str">
        <f t="shared" si="44"/>
        <v>1</v>
      </c>
      <c r="S554" s="1">
        <v>126</v>
      </c>
      <c r="T554" s="1" t="str">
        <f t="shared" si="42"/>
        <v>1</v>
      </c>
      <c r="U554" s="1">
        <v>-30.20722</v>
      </c>
      <c r="V554" s="3">
        <v>152.899923</v>
      </c>
    </row>
    <row r="555" spans="1:22" x14ac:dyDescent="0.35">
      <c r="A555" s="22" t="s">
        <v>1806</v>
      </c>
      <c r="B555" s="1" t="s">
        <v>1807</v>
      </c>
      <c r="C555" s="1" t="s">
        <v>1808</v>
      </c>
      <c r="D555" s="1" t="s">
        <v>529</v>
      </c>
      <c r="E555" s="1" t="s">
        <v>96</v>
      </c>
      <c r="F555" s="1" t="s">
        <v>57</v>
      </c>
      <c r="G555" s="1">
        <f t="shared" si="40"/>
        <v>2</v>
      </c>
      <c r="H555" s="1" t="s">
        <v>70</v>
      </c>
      <c r="I555" s="1" t="s">
        <v>49</v>
      </c>
      <c r="J555" s="23" t="s">
        <v>50</v>
      </c>
      <c r="K555" s="2" t="s">
        <v>51</v>
      </c>
      <c r="L555" s="1">
        <v>11</v>
      </c>
      <c r="M555" s="1">
        <v>0</v>
      </c>
      <c r="N555" s="1" t="str">
        <f t="shared" si="43"/>
        <v>Published</v>
      </c>
      <c r="O555" s="1">
        <f t="shared" si="41"/>
        <v>0</v>
      </c>
      <c r="P555" s="1"/>
      <c r="Q555" s="1">
        <v>1010</v>
      </c>
      <c r="R555" s="1" t="str">
        <f t="shared" si="44"/>
        <v>3</v>
      </c>
      <c r="S555" s="1">
        <v>72</v>
      </c>
      <c r="T555" s="1" t="str">
        <f t="shared" si="42"/>
        <v>1</v>
      </c>
      <c r="U555" s="1">
        <v>-35.856228999999999</v>
      </c>
      <c r="V555" s="3">
        <v>146.368662</v>
      </c>
    </row>
    <row r="556" spans="1:22" x14ac:dyDescent="0.35">
      <c r="A556" s="22" t="s">
        <v>1809</v>
      </c>
      <c r="B556" s="1" t="s">
        <v>1810</v>
      </c>
      <c r="C556" s="1" t="s">
        <v>1811</v>
      </c>
      <c r="D556" s="1" t="s">
        <v>180</v>
      </c>
      <c r="E556" s="1" t="s">
        <v>429</v>
      </c>
      <c r="F556" s="1" t="s">
        <v>57</v>
      </c>
      <c r="G556" s="1">
        <f t="shared" si="40"/>
        <v>2</v>
      </c>
      <c r="H556" s="1" t="s">
        <v>86</v>
      </c>
      <c r="I556" s="1" t="s">
        <v>49</v>
      </c>
      <c r="J556" s="23" t="s">
        <v>50</v>
      </c>
      <c r="K556" s="2" t="s">
        <v>51</v>
      </c>
      <c r="L556" s="1">
        <v>35</v>
      </c>
      <c r="M556" s="1"/>
      <c r="N556" s="1" t="str">
        <f t="shared" si="43"/>
        <v>Suppressed</v>
      </c>
      <c r="O556" s="1" t="str">
        <f t="shared" si="41"/>
        <v/>
      </c>
      <c r="P556" s="1">
        <v>15</v>
      </c>
      <c r="Q556" s="1">
        <v>911</v>
      </c>
      <c r="R556" s="1" t="str">
        <f t="shared" si="44"/>
        <v>2</v>
      </c>
      <c r="S556" s="1">
        <v>163</v>
      </c>
      <c r="T556" s="1" t="str">
        <f t="shared" si="42"/>
        <v>1</v>
      </c>
      <c r="U556" s="1">
        <v>-33.881331000000003</v>
      </c>
      <c r="V556" s="3">
        <v>150.69152299999999</v>
      </c>
    </row>
    <row r="557" spans="1:22" x14ac:dyDescent="0.35">
      <c r="A557" s="22" t="s">
        <v>1812</v>
      </c>
      <c r="B557" s="1" t="s">
        <v>1813</v>
      </c>
      <c r="C557" s="1" t="s">
        <v>1814</v>
      </c>
      <c r="D557" s="1" t="s">
        <v>1399</v>
      </c>
      <c r="E557" s="1" t="s">
        <v>261</v>
      </c>
      <c r="F557" s="1" t="s">
        <v>69</v>
      </c>
      <c r="G557" s="1">
        <f t="shared" si="40"/>
        <v>3</v>
      </c>
      <c r="H557" s="1" t="s">
        <v>58</v>
      </c>
      <c r="I557" s="1" t="s">
        <v>49</v>
      </c>
      <c r="J557" s="23" t="s">
        <v>50</v>
      </c>
      <c r="K557" s="2" t="s">
        <v>51</v>
      </c>
      <c r="L557" s="1">
        <v>26</v>
      </c>
      <c r="M557" s="1">
        <v>23</v>
      </c>
      <c r="N557" s="1" t="str">
        <f t="shared" si="43"/>
        <v>Published</v>
      </c>
      <c r="O557" s="1">
        <f t="shared" si="41"/>
        <v>5.98</v>
      </c>
      <c r="P557" s="1">
        <v>0</v>
      </c>
      <c r="Q557" s="1">
        <v>886</v>
      </c>
      <c r="R557" s="1" t="str">
        <f t="shared" si="44"/>
        <v>1</v>
      </c>
      <c r="S557" s="1">
        <v>147</v>
      </c>
      <c r="T557" s="1" t="str">
        <f t="shared" si="42"/>
        <v>1</v>
      </c>
      <c r="U557" s="1">
        <v>-32.656339000000003</v>
      </c>
      <c r="V557" s="3">
        <v>149.844616</v>
      </c>
    </row>
    <row r="558" spans="1:22" x14ac:dyDescent="0.35">
      <c r="A558" s="22" t="s">
        <v>1815</v>
      </c>
      <c r="B558" s="1" t="s">
        <v>1816</v>
      </c>
      <c r="C558" s="1" t="s">
        <v>1817</v>
      </c>
      <c r="D558" s="1" t="s">
        <v>457</v>
      </c>
      <c r="E558" s="1" t="s">
        <v>261</v>
      </c>
      <c r="F558" s="1" t="s">
        <v>69</v>
      </c>
      <c r="G558" s="1">
        <f t="shared" si="40"/>
        <v>3</v>
      </c>
      <c r="H558" s="1" t="s">
        <v>70</v>
      </c>
      <c r="I558" s="1" t="s">
        <v>49</v>
      </c>
      <c r="J558" s="23" t="s">
        <v>50</v>
      </c>
      <c r="K558" s="2" t="s">
        <v>51</v>
      </c>
      <c r="L558" s="1">
        <v>7</v>
      </c>
      <c r="M558" s="1"/>
      <c r="N558" s="1" t="str">
        <f t="shared" si="43"/>
        <v>Suppressed</v>
      </c>
      <c r="O558" s="1" t="str">
        <f t="shared" si="41"/>
        <v/>
      </c>
      <c r="P558" s="1">
        <v>0</v>
      </c>
      <c r="Q558" s="1">
        <v>856</v>
      </c>
      <c r="R558" s="1" t="str">
        <f t="shared" si="44"/>
        <v>1</v>
      </c>
      <c r="S558" s="1">
        <v>203</v>
      </c>
      <c r="T558" s="1" t="str">
        <f t="shared" si="42"/>
        <v>1</v>
      </c>
      <c r="U558" s="1">
        <v>-33.673265999999998</v>
      </c>
      <c r="V558" s="3">
        <v>149.04491400000001</v>
      </c>
    </row>
    <row r="559" spans="1:22" x14ac:dyDescent="0.35">
      <c r="A559" s="22" t="s">
        <v>1818</v>
      </c>
      <c r="B559" s="1" t="s">
        <v>1819</v>
      </c>
      <c r="C559" s="1" t="s">
        <v>1820</v>
      </c>
      <c r="D559" s="1" t="s">
        <v>404</v>
      </c>
      <c r="E559" s="1" t="s">
        <v>127</v>
      </c>
      <c r="F559" s="1" t="s">
        <v>57</v>
      </c>
      <c r="G559" s="1">
        <f t="shared" si="40"/>
        <v>2</v>
      </c>
      <c r="H559" s="1" t="s">
        <v>63</v>
      </c>
      <c r="I559" s="1" t="s">
        <v>49</v>
      </c>
      <c r="J559" s="23" t="s">
        <v>50</v>
      </c>
      <c r="K559" s="2" t="s">
        <v>51</v>
      </c>
      <c r="L559" s="1">
        <v>13</v>
      </c>
      <c r="M559" s="1"/>
      <c r="N559" s="1" t="str">
        <f t="shared" si="43"/>
        <v>Suppressed</v>
      </c>
      <c r="O559" s="1" t="str">
        <f t="shared" si="41"/>
        <v/>
      </c>
      <c r="P559" s="1"/>
      <c r="Q559" s="1">
        <v>1020</v>
      </c>
      <c r="R559" s="1" t="str">
        <f t="shared" si="44"/>
        <v>3</v>
      </c>
      <c r="S559" s="1">
        <v>100</v>
      </c>
      <c r="T559" s="1" t="str">
        <f t="shared" si="42"/>
        <v>1</v>
      </c>
      <c r="U559" s="1">
        <v>-33.321271000000003</v>
      </c>
      <c r="V559" s="3">
        <v>150.971993</v>
      </c>
    </row>
    <row r="560" spans="1:22" x14ac:dyDescent="0.35">
      <c r="A560" s="22" t="s">
        <v>1821</v>
      </c>
      <c r="B560" s="1" t="s">
        <v>1822</v>
      </c>
      <c r="C560" s="1" t="s">
        <v>1823</v>
      </c>
      <c r="D560" s="1" t="s">
        <v>554</v>
      </c>
      <c r="E560" s="1" t="s">
        <v>276</v>
      </c>
      <c r="F560" s="1" t="s">
        <v>57</v>
      </c>
      <c r="G560" s="1">
        <f t="shared" si="40"/>
        <v>2</v>
      </c>
      <c r="H560" s="1" t="s">
        <v>58</v>
      </c>
      <c r="I560" s="1" t="s">
        <v>49</v>
      </c>
      <c r="J560" s="23" t="s">
        <v>50</v>
      </c>
      <c r="K560" s="2" t="s">
        <v>51</v>
      </c>
      <c r="L560" s="1">
        <v>284</v>
      </c>
      <c r="M560" s="1">
        <v>24</v>
      </c>
      <c r="N560" s="1" t="str">
        <f t="shared" si="43"/>
        <v>Published</v>
      </c>
      <c r="O560" s="1">
        <f t="shared" si="41"/>
        <v>68.16</v>
      </c>
      <c r="P560" s="1">
        <v>5</v>
      </c>
      <c r="Q560" s="1">
        <v>925</v>
      </c>
      <c r="R560" s="1" t="str">
        <f t="shared" si="44"/>
        <v>2</v>
      </c>
      <c r="S560" s="1">
        <v>119</v>
      </c>
      <c r="T560" s="1" t="str">
        <f t="shared" si="42"/>
        <v>2</v>
      </c>
      <c r="U560" s="1">
        <v>-30.707763</v>
      </c>
      <c r="V560" s="3">
        <v>152.917145</v>
      </c>
    </row>
    <row r="561" spans="1:22" x14ac:dyDescent="0.35">
      <c r="A561" s="22" t="s">
        <v>1824</v>
      </c>
      <c r="B561" s="1" t="s">
        <v>1825</v>
      </c>
      <c r="C561" s="1" t="s">
        <v>1826</v>
      </c>
      <c r="D561" s="1" t="s">
        <v>525</v>
      </c>
      <c r="E561" s="1" t="s">
        <v>68</v>
      </c>
      <c r="F561" s="1" t="s">
        <v>69</v>
      </c>
      <c r="G561" s="1">
        <f t="shared" si="40"/>
        <v>3</v>
      </c>
      <c r="H561" s="1" t="s">
        <v>70</v>
      </c>
      <c r="I561" s="1" t="s">
        <v>49</v>
      </c>
      <c r="J561" s="23" t="s">
        <v>50</v>
      </c>
      <c r="K561" s="2" t="s">
        <v>51</v>
      </c>
      <c r="L561" s="1">
        <v>13</v>
      </c>
      <c r="M561" s="1">
        <v>0</v>
      </c>
      <c r="N561" s="1" t="str">
        <f t="shared" si="43"/>
        <v>Published</v>
      </c>
      <c r="O561" s="1">
        <f t="shared" si="41"/>
        <v>0</v>
      </c>
      <c r="P561" s="1">
        <v>0</v>
      </c>
      <c r="Q561" s="1">
        <v>966</v>
      </c>
      <c r="R561" s="1" t="str">
        <f t="shared" si="44"/>
        <v>2</v>
      </c>
      <c r="S561" s="1">
        <v>143</v>
      </c>
      <c r="T561" s="1" t="str">
        <f t="shared" si="42"/>
        <v>1</v>
      </c>
      <c r="U561" s="1">
        <v>-34.243065999999999</v>
      </c>
      <c r="V561" s="3">
        <v>148.21431899999999</v>
      </c>
    </row>
    <row r="562" spans="1:22" x14ac:dyDescent="0.35">
      <c r="A562" s="22" t="s">
        <v>1827</v>
      </c>
      <c r="B562" s="1" t="s">
        <v>1828</v>
      </c>
      <c r="C562" s="1" t="s">
        <v>1829</v>
      </c>
      <c r="D562" s="1" t="s">
        <v>489</v>
      </c>
      <c r="E562" s="1" t="s">
        <v>56</v>
      </c>
      <c r="F562" s="1" t="s">
        <v>47</v>
      </c>
      <c r="G562" s="1">
        <f t="shared" si="40"/>
        <v>1</v>
      </c>
      <c r="H562" s="1" t="s">
        <v>58</v>
      </c>
      <c r="I562" s="1" t="s">
        <v>49</v>
      </c>
      <c r="J562" s="23" t="s">
        <v>50</v>
      </c>
      <c r="K562" s="2" t="s">
        <v>51</v>
      </c>
      <c r="L562" s="1">
        <v>559</v>
      </c>
      <c r="M562" s="1">
        <v>15</v>
      </c>
      <c r="N562" s="1" t="str">
        <f t="shared" si="43"/>
        <v>Published</v>
      </c>
      <c r="O562" s="1">
        <f t="shared" si="41"/>
        <v>83.85</v>
      </c>
      <c r="P562" s="1">
        <v>9</v>
      </c>
      <c r="Q562" s="1">
        <v>975</v>
      </c>
      <c r="R562" s="1" t="str">
        <f t="shared" si="44"/>
        <v>2</v>
      </c>
      <c r="S562" s="1">
        <v>97</v>
      </c>
      <c r="T562" s="1" t="str">
        <f t="shared" si="42"/>
        <v>3</v>
      </c>
      <c r="U562" s="1">
        <v>-32.748990999999997</v>
      </c>
      <c r="V562" s="3">
        <v>151.58525599999999</v>
      </c>
    </row>
    <row r="563" spans="1:22" x14ac:dyDescent="0.35">
      <c r="A563" s="22" t="s">
        <v>1830</v>
      </c>
      <c r="B563" s="1" t="s">
        <v>1831</v>
      </c>
      <c r="C563" s="1" t="s">
        <v>1832</v>
      </c>
      <c r="D563" s="1" t="s">
        <v>876</v>
      </c>
      <c r="E563" s="1" t="s">
        <v>330</v>
      </c>
      <c r="F563" s="1" t="s">
        <v>47</v>
      </c>
      <c r="G563" s="1">
        <f t="shared" si="40"/>
        <v>1</v>
      </c>
      <c r="H563" s="1" t="s">
        <v>48</v>
      </c>
      <c r="I563" s="1" t="s">
        <v>49</v>
      </c>
      <c r="J563" s="23" t="s">
        <v>50</v>
      </c>
      <c r="K563" s="2" t="s">
        <v>51</v>
      </c>
      <c r="L563" s="1">
        <v>244</v>
      </c>
      <c r="M563" s="1">
        <v>9</v>
      </c>
      <c r="N563" s="1" t="str">
        <f t="shared" si="43"/>
        <v>Published</v>
      </c>
      <c r="O563" s="1">
        <f t="shared" si="41"/>
        <v>21.96</v>
      </c>
      <c r="P563" s="1">
        <v>20</v>
      </c>
      <c r="Q563" s="1">
        <v>1068</v>
      </c>
      <c r="R563" s="1" t="str">
        <f t="shared" si="44"/>
        <v>3</v>
      </c>
      <c r="S563" s="1">
        <v>54</v>
      </c>
      <c r="T563" s="1" t="str">
        <f t="shared" si="42"/>
        <v>2</v>
      </c>
      <c r="U563" s="1">
        <v>-33.962214000000003</v>
      </c>
      <c r="V563" s="3">
        <v>151.248559</v>
      </c>
    </row>
    <row r="564" spans="1:22" x14ac:dyDescent="0.35">
      <c r="A564" s="22" t="s">
        <v>1833</v>
      </c>
      <c r="B564" s="1" t="s">
        <v>1834</v>
      </c>
      <c r="C564" s="1" t="s">
        <v>1835</v>
      </c>
      <c r="D564" s="1" t="s">
        <v>587</v>
      </c>
      <c r="E564" s="1" t="s">
        <v>107</v>
      </c>
      <c r="F564" s="1" t="s">
        <v>57</v>
      </c>
      <c r="G564" s="1">
        <f t="shared" si="40"/>
        <v>2</v>
      </c>
      <c r="H564" s="1" t="s">
        <v>92</v>
      </c>
      <c r="I564" s="1" t="s">
        <v>49</v>
      </c>
      <c r="J564" s="23" t="s">
        <v>50</v>
      </c>
      <c r="K564" s="2" t="s">
        <v>51</v>
      </c>
      <c r="L564" s="1">
        <v>17</v>
      </c>
      <c r="M564" s="1"/>
      <c r="N564" s="1" t="str">
        <f t="shared" si="43"/>
        <v>Suppressed</v>
      </c>
      <c r="O564" s="1" t="str">
        <f t="shared" si="41"/>
        <v/>
      </c>
      <c r="P564" s="1">
        <v>0</v>
      </c>
      <c r="Q564" s="1">
        <v>911</v>
      </c>
      <c r="R564" s="1" t="str">
        <f t="shared" si="44"/>
        <v>2</v>
      </c>
      <c r="S564" s="1">
        <v>145</v>
      </c>
      <c r="T564" s="1" t="str">
        <f t="shared" si="42"/>
        <v>1</v>
      </c>
      <c r="U564" s="1">
        <v>-28.749065999999999</v>
      </c>
      <c r="V564" s="3">
        <v>153.077066</v>
      </c>
    </row>
    <row r="565" spans="1:22" x14ac:dyDescent="0.35">
      <c r="A565" s="22" t="s">
        <v>1836</v>
      </c>
      <c r="B565" s="1" t="s">
        <v>1837</v>
      </c>
      <c r="C565" s="1" t="s">
        <v>1838</v>
      </c>
      <c r="D565" s="1" t="s">
        <v>730</v>
      </c>
      <c r="E565" s="1" t="s">
        <v>261</v>
      </c>
      <c r="F565" s="1" t="s">
        <v>69</v>
      </c>
      <c r="G565" s="1">
        <f t="shared" si="40"/>
        <v>3</v>
      </c>
      <c r="H565" s="1" t="s">
        <v>70</v>
      </c>
      <c r="I565" s="1" t="s">
        <v>49</v>
      </c>
      <c r="J565" s="23" t="s">
        <v>50</v>
      </c>
      <c r="K565" s="2" t="s">
        <v>51</v>
      </c>
      <c r="L565" s="1">
        <v>39</v>
      </c>
      <c r="M565" s="1">
        <v>18</v>
      </c>
      <c r="N565" s="1" t="str">
        <f t="shared" si="43"/>
        <v>Published</v>
      </c>
      <c r="O565" s="1">
        <f t="shared" si="41"/>
        <v>7.02</v>
      </c>
      <c r="P565" s="1">
        <v>0</v>
      </c>
      <c r="Q565" s="1">
        <v>947</v>
      </c>
      <c r="R565" s="1" t="str">
        <f t="shared" si="44"/>
        <v>2</v>
      </c>
      <c r="S565" s="1">
        <v>98</v>
      </c>
      <c r="T565" s="1" t="str">
        <f t="shared" si="42"/>
        <v>1</v>
      </c>
      <c r="U565" s="1">
        <v>-33.184213999999997</v>
      </c>
      <c r="V565" s="3">
        <v>148.70012199999999</v>
      </c>
    </row>
    <row r="566" spans="1:22" x14ac:dyDescent="0.35">
      <c r="A566" s="22" t="s">
        <v>1839</v>
      </c>
      <c r="B566" s="1" t="s">
        <v>1840</v>
      </c>
      <c r="C566" s="1" t="s">
        <v>1841</v>
      </c>
      <c r="D566" s="1" t="s">
        <v>203</v>
      </c>
      <c r="E566" s="1" t="s">
        <v>204</v>
      </c>
      <c r="F566" s="1" t="s">
        <v>47</v>
      </c>
      <c r="G566" s="1">
        <f t="shared" si="40"/>
        <v>1</v>
      </c>
      <c r="H566" s="1" t="s">
        <v>148</v>
      </c>
      <c r="I566" s="1" t="s">
        <v>49</v>
      </c>
      <c r="J566" s="23" t="s">
        <v>50</v>
      </c>
      <c r="K566" s="2" t="s">
        <v>51</v>
      </c>
      <c r="L566" s="1">
        <v>761</v>
      </c>
      <c r="M566" s="1">
        <v>1</v>
      </c>
      <c r="N566" s="1" t="str">
        <f t="shared" si="43"/>
        <v>Published</v>
      </c>
      <c r="O566" s="1">
        <f t="shared" si="41"/>
        <v>7.61</v>
      </c>
      <c r="P566" s="1">
        <v>25</v>
      </c>
      <c r="Q566" s="1">
        <v>1147</v>
      </c>
      <c r="R566" s="1" t="str">
        <f t="shared" si="44"/>
        <v>4</v>
      </c>
      <c r="S566" s="1">
        <v>8</v>
      </c>
      <c r="T566" s="1" t="str">
        <f t="shared" si="42"/>
        <v>4</v>
      </c>
      <c r="U566" s="1">
        <v>-33.791874999999997</v>
      </c>
      <c r="V566" s="3">
        <v>151.268753</v>
      </c>
    </row>
    <row r="567" spans="1:22" x14ac:dyDescent="0.35">
      <c r="A567" s="22" t="s">
        <v>1842</v>
      </c>
      <c r="B567" s="1" t="s">
        <v>1843</v>
      </c>
      <c r="C567" s="1" t="s">
        <v>1844</v>
      </c>
      <c r="D567" s="1" t="s">
        <v>404</v>
      </c>
      <c r="E567" s="1" t="s">
        <v>127</v>
      </c>
      <c r="F567" s="1" t="s">
        <v>57</v>
      </c>
      <c r="G567" s="1">
        <f t="shared" si="40"/>
        <v>2</v>
      </c>
      <c r="H567" s="1" t="s">
        <v>63</v>
      </c>
      <c r="I567" s="1" t="s">
        <v>49</v>
      </c>
      <c r="J567" s="23" t="s">
        <v>50</v>
      </c>
      <c r="K567" s="2" t="s">
        <v>51</v>
      </c>
      <c r="L567" s="1">
        <v>106</v>
      </c>
      <c r="M567" s="1">
        <v>10</v>
      </c>
      <c r="N567" s="1" t="str">
        <f t="shared" si="43"/>
        <v>Published</v>
      </c>
      <c r="O567" s="1">
        <f t="shared" si="41"/>
        <v>10.600000000000001</v>
      </c>
      <c r="P567" s="1">
        <v>7</v>
      </c>
      <c r="Q567" s="1">
        <v>1018</v>
      </c>
      <c r="R567" s="1" t="str">
        <f t="shared" si="44"/>
        <v>3</v>
      </c>
      <c r="S567" s="1">
        <v>76</v>
      </c>
      <c r="T567" s="1" t="str">
        <f t="shared" si="42"/>
        <v>2</v>
      </c>
      <c r="U567" s="1">
        <v>-33.592680999999999</v>
      </c>
      <c r="V567" s="3">
        <v>150.91626400000001</v>
      </c>
    </row>
    <row r="568" spans="1:22" x14ac:dyDescent="0.35">
      <c r="A568" s="22" t="s">
        <v>1845</v>
      </c>
      <c r="B568" s="1" t="s">
        <v>1846</v>
      </c>
      <c r="C568" s="1" t="s">
        <v>1847</v>
      </c>
      <c r="D568" s="1" t="s">
        <v>191</v>
      </c>
      <c r="E568" s="1" t="s">
        <v>75</v>
      </c>
      <c r="F568" s="1" t="s">
        <v>47</v>
      </c>
      <c r="G568" s="1">
        <f t="shared" si="40"/>
        <v>1</v>
      </c>
      <c r="H568" s="1" t="s">
        <v>63</v>
      </c>
      <c r="I568" s="1" t="s">
        <v>49</v>
      </c>
      <c r="J568" s="23" t="s">
        <v>50</v>
      </c>
      <c r="K568" s="2" t="s">
        <v>51</v>
      </c>
      <c r="L568" s="1">
        <v>94</v>
      </c>
      <c r="M568" s="1">
        <v>13</v>
      </c>
      <c r="N568" s="1" t="str">
        <f t="shared" si="43"/>
        <v>Published</v>
      </c>
      <c r="O568" s="1">
        <f t="shared" si="41"/>
        <v>12.22</v>
      </c>
      <c r="P568" s="1"/>
      <c r="Q568" s="1">
        <v>981</v>
      </c>
      <c r="R568" s="1" t="str">
        <f t="shared" si="44"/>
        <v>2</v>
      </c>
      <c r="S568" s="1">
        <v>114</v>
      </c>
      <c r="T568" s="1" t="str">
        <f t="shared" si="42"/>
        <v>1</v>
      </c>
      <c r="U568" s="1">
        <v>-33.074333000000003</v>
      </c>
      <c r="V568" s="3">
        <v>151.648248</v>
      </c>
    </row>
    <row r="569" spans="1:22" x14ac:dyDescent="0.35">
      <c r="A569" s="22" t="s">
        <v>1848</v>
      </c>
      <c r="B569" s="1" t="s">
        <v>1849</v>
      </c>
      <c r="C569" s="1" t="s">
        <v>1850</v>
      </c>
      <c r="D569" s="1" t="s">
        <v>761</v>
      </c>
      <c r="E569" s="1" t="s">
        <v>127</v>
      </c>
      <c r="F569" s="1" t="s">
        <v>57</v>
      </c>
      <c r="G569" s="1">
        <f t="shared" si="40"/>
        <v>2</v>
      </c>
      <c r="H569" s="1" t="s">
        <v>63</v>
      </c>
      <c r="I569" s="1" t="s">
        <v>49</v>
      </c>
      <c r="J569" s="23" t="s">
        <v>50</v>
      </c>
      <c r="K569" s="2" t="s">
        <v>51</v>
      </c>
      <c r="L569" s="1">
        <v>31</v>
      </c>
      <c r="M569" s="1"/>
      <c r="N569" s="1" t="str">
        <f t="shared" si="43"/>
        <v>Suppressed</v>
      </c>
      <c r="O569" s="1" t="str">
        <f t="shared" si="41"/>
        <v/>
      </c>
      <c r="P569" s="1"/>
      <c r="Q569" s="1">
        <v>950</v>
      </c>
      <c r="R569" s="1" t="str">
        <f t="shared" si="44"/>
        <v>2</v>
      </c>
      <c r="S569" s="1">
        <v>132</v>
      </c>
      <c r="T569" s="1" t="str">
        <f t="shared" si="42"/>
        <v>1</v>
      </c>
      <c r="U569" s="1">
        <v>-33.455283000000001</v>
      </c>
      <c r="V569" s="3">
        <v>150.99365</v>
      </c>
    </row>
    <row r="570" spans="1:22" x14ac:dyDescent="0.35">
      <c r="A570" s="22" t="s">
        <v>1851</v>
      </c>
      <c r="B570" s="1" t="s">
        <v>1852</v>
      </c>
      <c r="C570" s="1" t="s">
        <v>1853</v>
      </c>
      <c r="D570" s="1" t="s">
        <v>876</v>
      </c>
      <c r="E570" s="1" t="s">
        <v>330</v>
      </c>
      <c r="F570" s="1" t="s">
        <v>47</v>
      </c>
      <c r="G570" s="1">
        <f t="shared" si="40"/>
        <v>1</v>
      </c>
      <c r="H570" s="1" t="s">
        <v>48</v>
      </c>
      <c r="I570" s="1" t="s">
        <v>49</v>
      </c>
      <c r="J570" s="23" t="s">
        <v>50</v>
      </c>
      <c r="K570" s="2" t="s">
        <v>51</v>
      </c>
      <c r="L570" s="1">
        <v>269</v>
      </c>
      <c r="M570" s="1">
        <v>11</v>
      </c>
      <c r="N570" s="1" t="str">
        <f t="shared" si="43"/>
        <v>Published</v>
      </c>
      <c r="O570" s="1">
        <f t="shared" si="41"/>
        <v>29.59</v>
      </c>
      <c r="P570" s="1">
        <v>40</v>
      </c>
      <c r="Q570" s="1">
        <v>1055</v>
      </c>
      <c r="R570" s="1" t="str">
        <f t="shared" si="44"/>
        <v>3</v>
      </c>
      <c r="S570" s="1">
        <v>69</v>
      </c>
      <c r="T570" s="1" t="str">
        <f t="shared" si="42"/>
        <v>2</v>
      </c>
      <c r="U570" s="1">
        <v>-33.944235999999997</v>
      </c>
      <c r="V570" s="3">
        <v>151.253017</v>
      </c>
    </row>
    <row r="571" spans="1:22" x14ac:dyDescent="0.35">
      <c r="A571" s="22" t="s">
        <v>1854</v>
      </c>
      <c r="B571" s="1" t="s">
        <v>1855</v>
      </c>
      <c r="C571" s="1" t="s">
        <v>1856</v>
      </c>
      <c r="D571" s="1" t="s">
        <v>131</v>
      </c>
      <c r="E571" s="1" t="s">
        <v>80</v>
      </c>
      <c r="F571" s="1" t="s">
        <v>57</v>
      </c>
      <c r="G571" s="1">
        <f t="shared" si="40"/>
        <v>2</v>
      </c>
      <c r="H571" s="1" t="s">
        <v>70</v>
      </c>
      <c r="I571" s="1" t="s">
        <v>49</v>
      </c>
      <c r="J571" s="23" t="s">
        <v>50</v>
      </c>
      <c r="K571" s="2" t="s">
        <v>51</v>
      </c>
      <c r="L571" s="1">
        <v>27</v>
      </c>
      <c r="M571" s="1"/>
      <c r="N571" s="1" t="str">
        <f t="shared" si="43"/>
        <v>Suppressed</v>
      </c>
      <c r="O571" s="1" t="str">
        <f t="shared" si="41"/>
        <v/>
      </c>
      <c r="P571" s="1"/>
      <c r="Q571" s="1">
        <v>1008</v>
      </c>
      <c r="R571" s="1" t="str">
        <f t="shared" si="44"/>
        <v>3</v>
      </c>
      <c r="S571" s="1">
        <v>91</v>
      </c>
      <c r="T571" s="1" t="str">
        <f t="shared" si="42"/>
        <v>1</v>
      </c>
      <c r="U571" s="1">
        <v>-34.828341000000002</v>
      </c>
      <c r="V571" s="3">
        <v>147.355155</v>
      </c>
    </row>
    <row r="572" spans="1:22" x14ac:dyDescent="0.35">
      <c r="A572" s="22" t="s">
        <v>1857</v>
      </c>
      <c r="B572" s="1" t="s">
        <v>1858</v>
      </c>
      <c r="C572" s="1" t="s">
        <v>1859</v>
      </c>
      <c r="D572" s="1" t="s">
        <v>837</v>
      </c>
      <c r="E572" s="1" t="s">
        <v>838</v>
      </c>
      <c r="F572" s="1" t="s">
        <v>47</v>
      </c>
      <c r="G572" s="1">
        <f t="shared" si="40"/>
        <v>1</v>
      </c>
      <c r="H572" s="1" t="s">
        <v>148</v>
      </c>
      <c r="I572" s="1" t="s">
        <v>49</v>
      </c>
      <c r="J572" s="23" t="s">
        <v>50</v>
      </c>
      <c r="K572" s="2" t="s">
        <v>51</v>
      </c>
      <c r="L572" s="1">
        <v>242</v>
      </c>
      <c r="M572" s="1">
        <v>5</v>
      </c>
      <c r="N572" s="1" t="str">
        <f t="shared" si="43"/>
        <v>Published</v>
      </c>
      <c r="O572" s="1">
        <f t="shared" si="41"/>
        <v>12.100000000000001</v>
      </c>
      <c r="P572" s="1">
        <v>75</v>
      </c>
      <c r="Q572" s="1">
        <v>1060</v>
      </c>
      <c r="R572" s="1" t="str">
        <f t="shared" si="44"/>
        <v>3</v>
      </c>
      <c r="S572" s="1">
        <v>43</v>
      </c>
      <c r="T572" s="1" t="str">
        <f t="shared" si="42"/>
        <v>2</v>
      </c>
      <c r="U572" s="1">
        <v>-33.696424999999998</v>
      </c>
      <c r="V572" s="3">
        <v>150.833642</v>
      </c>
    </row>
    <row r="573" spans="1:22" x14ac:dyDescent="0.35">
      <c r="A573" s="22" t="s">
        <v>1860</v>
      </c>
      <c r="B573" s="1" t="s">
        <v>1861</v>
      </c>
      <c r="C573" s="1" t="s">
        <v>1862</v>
      </c>
      <c r="D573" s="1" t="s">
        <v>1027</v>
      </c>
      <c r="E573" s="1" t="s">
        <v>56</v>
      </c>
      <c r="F573" s="1" t="s">
        <v>69</v>
      </c>
      <c r="G573" s="1">
        <f t="shared" si="40"/>
        <v>3</v>
      </c>
      <c r="H573" s="1" t="s">
        <v>58</v>
      </c>
      <c r="I573" s="1" t="s">
        <v>49</v>
      </c>
      <c r="J573" s="23" t="s">
        <v>50</v>
      </c>
      <c r="K573" s="2" t="s">
        <v>51</v>
      </c>
      <c r="L573" s="1">
        <v>7</v>
      </c>
      <c r="M573" s="1">
        <v>0</v>
      </c>
      <c r="N573" s="1" t="str">
        <f t="shared" si="43"/>
        <v>Published</v>
      </c>
      <c r="O573" s="1">
        <f t="shared" si="41"/>
        <v>0</v>
      </c>
      <c r="P573" s="1">
        <v>0</v>
      </c>
      <c r="Q573" s="1">
        <v>992</v>
      </c>
      <c r="R573" s="1" t="str">
        <f t="shared" si="44"/>
        <v>2</v>
      </c>
      <c r="S573" s="1">
        <v>137</v>
      </c>
      <c r="T573" s="1" t="str">
        <f t="shared" si="42"/>
        <v>1</v>
      </c>
      <c r="U573" s="1">
        <v>-32.458834000000003</v>
      </c>
      <c r="V573" s="3">
        <v>150.66572300000001</v>
      </c>
    </row>
    <row r="574" spans="1:22" x14ac:dyDescent="0.35">
      <c r="A574" s="22" t="s">
        <v>1863</v>
      </c>
      <c r="B574" s="1" t="s">
        <v>1864</v>
      </c>
      <c r="C574" s="1" t="s">
        <v>1865</v>
      </c>
      <c r="D574" s="1" t="s">
        <v>798</v>
      </c>
      <c r="E574" s="1" t="s">
        <v>56</v>
      </c>
      <c r="F574" s="1" t="s">
        <v>57</v>
      </c>
      <c r="G574" s="1">
        <f t="shared" si="40"/>
        <v>2</v>
      </c>
      <c r="H574" s="1" t="s">
        <v>58</v>
      </c>
      <c r="I574" s="1" t="s">
        <v>49</v>
      </c>
      <c r="J574" s="23" t="s">
        <v>50</v>
      </c>
      <c r="K574" s="2" t="s">
        <v>51</v>
      </c>
      <c r="L574" s="1">
        <v>5</v>
      </c>
      <c r="M574" s="1">
        <v>0</v>
      </c>
      <c r="N574" s="1" t="str">
        <f t="shared" si="43"/>
        <v>Published</v>
      </c>
      <c r="O574" s="1">
        <f t="shared" si="41"/>
        <v>0</v>
      </c>
      <c r="P574" s="1">
        <v>0</v>
      </c>
      <c r="Q574" s="1"/>
      <c r="R574" s="1" t="str">
        <f t="shared" si="44"/>
        <v>No ICSEA</v>
      </c>
      <c r="S574" s="1">
        <v>216</v>
      </c>
      <c r="T574" s="1" t="str">
        <f t="shared" si="42"/>
        <v>1</v>
      </c>
      <c r="U574" s="1">
        <v>-32.565995999999998</v>
      </c>
      <c r="V574" s="3">
        <v>151.62345300000001</v>
      </c>
    </row>
    <row r="575" spans="1:22" x14ac:dyDescent="0.35">
      <c r="A575" s="22" t="s">
        <v>1866</v>
      </c>
      <c r="B575" s="1" t="s">
        <v>1867</v>
      </c>
      <c r="C575" s="1" t="s">
        <v>139</v>
      </c>
      <c r="D575" s="1" t="s">
        <v>139</v>
      </c>
      <c r="E575" s="1" t="s">
        <v>91</v>
      </c>
      <c r="F575" s="1" t="s">
        <v>57</v>
      </c>
      <c r="G575" s="1">
        <f t="shared" si="40"/>
        <v>2</v>
      </c>
      <c r="H575" s="1" t="s">
        <v>92</v>
      </c>
      <c r="I575" s="1" t="s">
        <v>49</v>
      </c>
      <c r="J575" s="23" t="s">
        <v>50</v>
      </c>
      <c r="K575" s="2" t="s">
        <v>51</v>
      </c>
      <c r="L575" s="1">
        <v>164</v>
      </c>
      <c r="M575" s="1">
        <v>5</v>
      </c>
      <c r="N575" s="1" t="str">
        <f t="shared" si="43"/>
        <v>Published</v>
      </c>
      <c r="O575" s="1">
        <f t="shared" si="41"/>
        <v>8.2000000000000011</v>
      </c>
      <c r="P575" s="1">
        <v>7</v>
      </c>
      <c r="Q575" s="1">
        <v>1050</v>
      </c>
      <c r="R575" s="1" t="str">
        <f t="shared" si="44"/>
        <v>3</v>
      </c>
      <c r="S575" s="1">
        <v>61</v>
      </c>
      <c r="T575" s="1" t="str">
        <f t="shared" si="42"/>
        <v>2</v>
      </c>
      <c r="U575" s="1">
        <v>-30.523938000000001</v>
      </c>
      <c r="V575" s="3">
        <v>151.63725600000001</v>
      </c>
    </row>
    <row r="576" spans="1:22" x14ac:dyDescent="0.35">
      <c r="A576" s="22" t="s">
        <v>1868</v>
      </c>
      <c r="B576" s="1" t="s">
        <v>1869</v>
      </c>
      <c r="C576" s="1" t="s">
        <v>1870</v>
      </c>
      <c r="D576" s="1" t="s">
        <v>1342</v>
      </c>
      <c r="E576" s="1" t="s">
        <v>68</v>
      </c>
      <c r="F576" s="1" t="s">
        <v>57</v>
      </c>
      <c r="G576" s="1">
        <f t="shared" si="40"/>
        <v>2</v>
      </c>
      <c r="H576" s="1" t="s">
        <v>86</v>
      </c>
      <c r="I576" s="1" t="s">
        <v>49</v>
      </c>
      <c r="J576" s="23" t="s">
        <v>50</v>
      </c>
      <c r="K576" s="2" t="s">
        <v>51</v>
      </c>
      <c r="L576" s="1">
        <v>140</v>
      </c>
      <c r="M576" s="1">
        <v>13</v>
      </c>
      <c r="N576" s="1" t="str">
        <f t="shared" si="43"/>
        <v>Published</v>
      </c>
      <c r="O576" s="1">
        <f t="shared" si="41"/>
        <v>18.2</v>
      </c>
      <c r="P576" s="1">
        <v>9</v>
      </c>
      <c r="Q576" s="1">
        <v>968</v>
      </c>
      <c r="R576" s="1" t="str">
        <f t="shared" si="44"/>
        <v>2</v>
      </c>
      <c r="S576" s="1">
        <v>111</v>
      </c>
      <c r="T576" s="1" t="str">
        <f t="shared" si="42"/>
        <v>2</v>
      </c>
      <c r="U576" s="1">
        <v>-34.713399000000003</v>
      </c>
      <c r="V576" s="3">
        <v>150.00660300000001</v>
      </c>
    </row>
    <row r="577" spans="1:22" x14ac:dyDescent="0.35">
      <c r="A577" s="22" t="s">
        <v>1871</v>
      </c>
      <c r="B577" s="1" t="s">
        <v>1872</v>
      </c>
      <c r="C577" s="1" t="s">
        <v>1873</v>
      </c>
      <c r="D577" s="1" t="s">
        <v>224</v>
      </c>
      <c r="E577" s="1" t="s">
        <v>225</v>
      </c>
      <c r="F577" s="1" t="s">
        <v>47</v>
      </c>
      <c r="G577" s="1">
        <f t="shared" si="40"/>
        <v>1</v>
      </c>
      <c r="H577" s="1" t="s">
        <v>48</v>
      </c>
      <c r="I577" s="1" t="s">
        <v>49</v>
      </c>
      <c r="J577" s="23" t="s">
        <v>50</v>
      </c>
      <c r="K577" s="2" t="s">
        <v>51</v>
      </c>
      <c r="L577" s="1">
        <v>397</v>
      </c>
      <c r="M577" s="1">
        <v>6</v>
      </c>
      <c r="N577" s="1" t="str">
        <f t="shared" si="43"/>
        <v>Published</v>
      </c>
      <c r="O577" s="1">
        <f t="shared" si="41"/>
        <v>23.82</v>
      </c>
      <c r="P577" s="1">
        <v>75</v>
      </c>
      <c r="Q577" s="1">
        <v>1035</v>
      </c>
      <c r="R577" s="1" t="str">
        <f t="shared" si="44"/>
        <v>3</v>
      </c>
      <c r="S577" s="1">
        <v>62</v>
      </c>
      <c r="T577" s="1" t="str">
        <f t="shared" si="42"/>
        <v>3</v>
      </c>
      <c r="U577" s="1">
        <v>-33.928576999999997</v>
      </c>
      <c r="V577" s="3">
        <v>151.192485</v>
      </c>
    </row>
    <row r="578" spans="1:22" x14ac:dyDescent="0.35">
      <c r="A578" s="22" t="s">
        <v>1874</v>
      </c>
      <c r="B578" s="1" t="s">
        <v>1875</v>
      </c>
      <c r="C578" s="1" t="s">
        <v>1876</v>
      </c>
      <c r="D578" s="1" t="s">
        <v>252</v>
      </c>
      <c r="E578" s="1" t="s">
        <v>96</v>
      </c>
      <c r="F578" s="1" t="s">
        <v>69</v>
      </c>
      <c r="G578" s="1">
        <f t="shared" ref="G578:G641" si="45">IF(F578="Major Cities of Australia",1,IF(F578="Inner Regional Australia",2,IF(F578="Outer Regional Australia",3,IF(F578="Remote Australia",4,IF(F578="Very Remote Australia",5,6)))))</f>
        <v>3</v>
      </c>
      <c r="H578" s="1" t="s">
        <v>70</v>
      </c>
      <c r="I578" s="1" t="s">
        <v>49</v>
      </c>
      <c r="J578" s="23" t="s">
        <v>50</v>
      </c>
      <c r="K578" s="2" t="s">
        <v>51</v>
      </c>
      <c r="L578" s="1">
        <v>52</v>
      </c>
      <c r="M578" s="1">
        <v>17</v>
      </c>
      <c r="N578" s="1" t="str">
        <f t="shared" si="43"/>
        <v>Published</v>
      </c>
      <c r="O578" s="1">
        <f t="shared" ref="O578:O641" si="46">IF(OR(M578="",L578=""),"",M578/100*L578)</f>
        <v>8.84</v>
      </c>
      <c r="P578" s="1">
        <v>0</v>
      </c>
      <c r="Q578" s="1">
        <v>943</v>
      </c>
      <c r="R578" s="1" t="str">
        <f t="shared" si="44"/>
        <v>2</v>
      </c>
      <c r="S578" s="1">
        <v>122</v>
      </c>
      <c r="T578" s="1" t="str">
        <f t="shared" ref="T578:T641" si="47">IF(L578="","No enrolment",IF(L578&lt;100,"1",IF(L578&lt;300,"2",IF(L578&lt;600,"3",IF(L578&lt;1000,"4","5")))))</f>
        <v>1</v>
      </c>
      <c r="U578" s="1">
        <v>-35.816079000000002</v>
      </c>
      <c r="V578" s="3">
        <v>144.902097</v>
      </c>
    </row>
    <row r="579" spans="1:22" x14ac:dyDescent="0.35">
      <c r="A579" s="22" t="s">
        <v>1877</v>
      </c>
      <c r="B579" s="1" t="s">
        <v>1878</v>
      </c>
      <c r="C579" s="1" t="s">
        <v>1879</v>
      </c>
      <c r="D579" s="1" t="s">
        <v>131</v>
      </c>
      <c r="E579" s="1" t="s">
        <v>80</v>
      </c>
      <c r="F579" s="1" t="s">
        <v>69</v>
      </c>
      <c r="G579" s="1">
        <f t="shared" si="45"/>
        <v>3</v>
      </c>
      <c r="H579" s="1" t="s">
        <v>70</v>
      </c>
      <c r="I579" s="1" t="s">
        <v>49</v>
      </c>
      <c r="J579" s="23" t="s">
        <v>50</v>
      </c>
      <c r="K579" s="2" t="s">
        <v>51</v>
      </c>
      <c r="L579" s="1">
        <v>32</v>
      </c>
      <c r="M579" s="1"/>
      <c r="N579" s="1" t="str">
        <f t="shared" ref="N579:N642" si="48">IF(M579="","Suppressed","Published")</f>
        <v>Suppressed</v>
      </c>
      <c r="O579" s="1" t="str">
        <f t="shared" si="46"/>
        <v/>
      </c>
      <c r="P579" s="1">
        <v>0</v>
      </c>
      <c r="Q579" s="1">
        <v>961</v>
      </c>
      <c r="R579" s="1" t="str">
        <f t="shared" ref="R579:R642" si="49">IF(Q579="","No ICSEA",IF(Q579&lt;900,"1",IF(Q579&lt;1000,"2",IF(Q579&lt;1100,"3","4"))))</f>
        <v>2</v>
      </c>
      <c r="S579" s="1">
        <v>107</v>
      </c>
      <c r="T579" s="1" t="str">
        <f t="shared" si="47"/>
        <v>1</v>
      </c>
      <c r="U579" s="1">
        <v>-34.770060999999998</v>
      </c>
      <c r="V579" s="3">
        <v>146.92730299999999</v>
      </c>
    </row>
    <row r="580" spans="1:22" x14ac:dyDescent="0.35">
      <c r="A580" s="22" t="s">
        <v>1880</v>
      </c>
      <c r="B580" s="1" t="s">
        <v>1881</v>
      </c>
      <c r="C580" s="1" t="s">
        <v>1882</v>
      </c>
      <c r="D580" s="1" t="s">
        <v>224</v>
      </c>
      <c r="E580" s="1" t="s">
        <v>225</v>
      </c>
      <c r="F580" s="1" t="s">
        <v>47</v>
      </c>
      <c r="G580" s="1">
        <f t="shared" si="45"/>
        <v>1</v>
      </c>
      <c r="H580" s="1" t="s">
        <v>48</v>
      </c>
      <c r="I580" s="1" t="s">
        <v>49</v>
      </c>
      <c r="J580" s="23" t="s">
        <v>50</v>
      </c>
      <c r="K580" s="2" t="s">
        <v>51</v>
      </c>
      <c r="L580" s="1">
        <v>222</v>
      </c>
      <c r="M580" s="1">
        <v>6</v>
      </c>
      <c r="N580" s="1" t="str">
        <f t="shared" si="48"/>
        <v>Published</v>
      </c>
      <c r="O580" s="1">
        <f t="shared" si="46"/>
        <v>13.32</v>
      </c>
      <c r="P580" s="1">
        <v>71</v>
      </c>
      <c r="Q580" s="1">
        <v>1046</v>
      </c>
      <c r="R580" s="1" t="str">
        <f t="shared" si="49"/>
        <v>3</v>
      </c>
      <c r="S580" s="1">
        <v>68</v>
      </c>
      <c r="T580" s="1" t="str">
        <f t="shared" si="47"/>
        <v>2</v>
      </c>
      <c r="U580" s="1">
        <v>-33.955064</v>
      </c>
      <c r="V580" s="3">
        <v>151.22911099999999</v>
      </c>
    </row>
    <row r="581" spans="1:22" x14ac:dyDescent="0.35">
      <c r="A581" s="22" t="s">
        <v>1883</v>
      </c>
      <c r="B581" s="1" t="s">
        <v>1884</v>
      </c>
      <c r="C581" s="1" t="s">
        <v>1885</v>
      </c>
      <c r="D581" s="1" t="s">
        <v>74</v>
      </c>
      <c r="E581" s="1" t="s">
        <v>75</v>
      </c>
      <c r="F581" s="1" t="s">
        <v>47</v>
      </c>
      <c r="G581" s="1">
        <f t="shared" si="45"/>
        <v>1</v>
      </c>
      <c r="H581" s="1" t="s">
        <v>63</v>
      </c>
      <c r="I581" s="1" t="s">
        <v>49</v>
      </c>
      <c r="J581" s="23" t="s">
        <v>50</v>
      </c>
      <c r="K581" s="2" t="s">
        <v>51</v>
      </c>
      <c r="L581" s="1">
        <v>343</v>
      </c>
      <c r="M581" s="1">
        <v>10</v>
      </c>
      <c r="N581" s="1" t="str">
        <f t="shared" si="48"/>
        <v>Published</v>
      </c>
      <c r="O581" s="1">
        <f t="shared" si="46"/>
        <v>34.300000000000004</v>
      </c>
      <c r="P581" s="1">
        <v>10</v>
      </c>
      <c r="Q581" s="1">
        <v>1044</v>
      </c>
      <c r="R581" s="1" t="str">
        <f t="shared" si="49"/>
        <v>3</v>
      </c>
      <c r="S581" s="1">
        <v>59</v>
      </c>
      <c r="T581" s="1" t="str">
        <f t="shared" si="47"/>
        <v>3</v>
      </c>
      <c r="U581" s="1">
        <v>-32.895359999999997</v>
      </c>
      <c r="V581" s="3">
        <v>151.74866599999999</v>
      </c>
    </row>
    <row r="582" spans="1:22" x14ac:dyDescent="0.35">
      <c r="A582" s="22" t="s">
        <v>1886</v>
      </c>
      <c r="B582" s="1" t="s">
        <v>1887</v>
      </c>
      <c r="C582" s="1" t="s">
        <v>1888</v>
      </c>
      <c r="D582" s="1" t="s">
        <v>74</v>
      </c>
      <c r="E582" s="1" t="s">
        <v>75</v>
      </c>
      <c r="F582" s="1" t="s">
        <v>47</v>
      </c>
      <c r="G582" s="1">
        <f t="shared" si="45"/>
        <v>1</v>
      </c>
      <c r="H582" s="1" t="s">
        <v>63</v>
      </c>
      <c r="I582" s="1" t="s">
        <v>49</v>
      </c>
      <c r="J582" s="23" t="s">
        <v>50</v>
      </c>
      <c r="K582" s="2" t="s">
        <v>51</v>
      </c>
      <c r="L582" s="1">
        <v>342</v>
      </c>
      <c r="M582" s="1">
        <v>13</v>
      </c>
      <c r="N582" s="1" t="str">
        <f t="shared" si="48"/>
        <v>Published</v>
      </c>
      <c r="O582" s="1">
        <f t="shared" si="46"/>
        <v>44.46</v>
      </c>
      <c r="P582" s="1">
        <v>22</v>
      </c>
      <c r="Q582" s="1">
        <v>1033</v>
      </c>
      <c r="R582" s="1" t="str">
        <f t="shared" si="49"/>
        <v>3</v>
      </c>
      <c r="S582" s="1">
        <v>66</v>
      </c>
      <c r="T582" s="1" t="str">
        <f t="shared" si="47"/>
        <v>3</v>
      </c>
      <c r="U582" s="1">
        <v>-32.888697000000001</v>
      </c>
      <c r="V582" s="3">
        <v>151.73011600000001</v>
      </c>
    </row>
    <row r="583" spans="1:22" x14ac:dyDescent="0.35">
      <c r="A583" s="22" t="s">
        <v>1889</v>
      </c>
      <c r="B583" s="1" t="s">
        <v>1890</v>
      </c>
      <c r="C583" s="1" t="s">
        <v>1891</v>
      </c>
      <c r="D583" s="1" t="s">
        <v>461</v>
      </c>
      <c r="E583" s="1" t="s">
        <v>96</v>
      </c>
      <c r="F583" s="1" t="s">
        <v>69</v>
      </c>
      <c r="G583" s="1">
        <f t="shared" si="45"/>
        <v>3</v>
      </c>
      <c r="H583" s="1" t="s">
        <v>70</v>
      </c>
      <c r="I583" s="1" t="s">
        <v>49</v>
      </c>
      <c r="J583" s="23" t="s">
        <v>50</v>
      </c>
      <c r="K583" s="2" t="s">
        <v>51</v>
      </c>
      <c r="L583" s="1">
        <v>27</v>
      </c>
      <c r="M583" s="1"/>
      <c r="N583" s="1" t="str">
        <f t="shared" si="48"/>
        <v>Suppressed</v>
      </c>
      <c r="O583" s="1" t="str">
        <f t="shared" si="46"/>
        <v/>
      </c>
      <c r="P583" s="1">
        <v>0</v>
      </c>
      <c r="Q583" s="1">
        <v>875</v>
      </c>
      <c r="R583" s="1" t="str">
        <f t="shared" si="49"/>
        <v>1</v>
      </c>
      <c r="S583" s="1">
        <v>176</v>
      </c>
      <c r="T583" s="1" t="str">
        <f t="shared" si="47"/>
        <v>1</v>
      </c>
      <c r="U583" s="1">
        <v>-35.464317000000001</v>
      </c>
      <c r="V583" s="3">
        <v>145.30878999999999</v>
      </c>
    </row>
    <row r="584" spans="1:22" x14ac:dyDescent="0.35">
      <c r="A584" s="22" t="s">
        <v>1892</v>
      </c>
      <c r="B584" s="1" t="s">
        <v>1893</v>
      </c>
      <c r="C584" s="1" t="s">
        <v>1894</v>
      </c>
      <c r="D584" s="1" t="s">
        <v>872</v>
      </c>
      <c r="E584" s="1" t="s">
        <v>261</v>
      </c>
      <c r="F584" s="1" t="s">
        <v>57</v>
      </c>
      <c r="G584" s="1">
        <f t="shared" si="45"/>
        <v>2</v>
      </c>
      <c r="H584" s="1" t="s">
        <v>58</v>
      </c>
      <c r="I584" s="1" t="s">
        <v>49</v>
      </c>
      <c r="J584" s="23" t="s">
        <v>50</v>
      </c>
      <c r="K584" s="2" t="s">
        <v>51</v>
      </c>
      <c r="L584" s="1">
        <v>30</v>
      </c>
      <c r="M584" s="1"/>
      <c r="N584" s="1" t="str">
        <f t="shared" si="48"/>
        <v>Suppressed</v>
      </c>
      <c r="O584" s="1" t="str">
        <f t="shared" si="46"/>
        <v/>
      </c>
      <c r="P584" s="1"/>
      <c r="Q584" s="1">
        <v>1000</v>
      </c>
      <c r="R584" s="1" t="str">
        <f t="shared" si="49"/>
        <v>3</v>
      </c>
      <c r="S584" s="1">
        <v>81</v>
      </c>
      <c r="T584" s="1" t="str">
        <f t="shared" si="47"/>
        <v>1</v>
      </c>
      <c r="U584" s="1">
        <v>-33.433726</v>
      </c>
      <c r="V584" s="3">
        <v>149.920456</v>
      </c>
    </row>
    <row r="585" spans="1:22" x14ac:dyDescent="0.35">
      <c r="A585" s="22" t="s">
        <v>1895</v>
      </c>
      <c r="B585" s="1" t="s">
        <v>1896</v>
      </c>
      <c r="C585" s="1" t="s">
        <v>1897</v>
      </c>
      <c r="D585" s="1" t="s">
        <v>837</v>
      </c>
      <c r="E585" s="1" t="s">
        <v>838</v>
      </c>
      <c r="F585" s="1" t="s">
        <v>47</v>
      </c>
      <c r="G585" s="1">
        <f t="shared" si="45"/>
        <v>1</v>
      </c>
      <c r="H585" s="1" t="s">
        <v>182</v>
      </c>
      <c r="I585" s="1" t="s">
        <v>49</v>
      </c>
      <c r="J585" s="23" t="s">
        <v>50</v>
      </c>
      <c r="K585" s="2" t="s">
        <v>51</v>
      </c>
      <c r="L585" s="1">
        <v>335</v>
      </c>
      <c r="M585" s="1">
        <v>10</v>
      </c>
      <c r="N585" s="1" t="str">
        <f t="shared" si="48"/>
        <v>Published</v>
      </c>
      <c r="O585" s="1">
        <f t="shared" si="46"/>
        <v>33.5</v>
      </c>
      <c r="P585" s="1">
        <v>73</v>
      </c>
      <c r="Q585" s="1">
        <v>984</v>
      </c>
      <c r="R585" s="1" t="str">
        <f t="shared" si="49"/>
        <v>2</v>
      </c>
      <c r="S585" s="1">
        <v>99</v>
      </c>
      <c r="T585" s="1" t="str">
        <f t="shared" si="47"/>
        <v>3</v>
      </c>
      <c r="U585" s="1">
        <v>-33.781365000000001</v>
      </c>
      <c r="V585" s="3">
        <v>150.942567</v>
      </c>
    </row>
    <row r="586" spans="1:22" x14ac:dyDescent="0.35">
      <c r="A586" s="22" t="s">
        <v>1898</v>
      </c>
      <c r="B586" s="1" t="s">
        <v>1899</v>
      </c>
      <c r="C586" s="1" t="s">
        <v>1900</v>
      </c>
      <c r="D586" s="1" t="s">
        <v>554</v>
      </c>
      <c r="E586" s="1" t="s">
        <v>276</v>
      </c>
      <c r="F586" s="1" t="s">
        <v>69</v>
      </c>
      <c r="G586" s="1">
        <f t="shared" si="45"/>
        <v>3</v>
      </c>
      <c r="H586" s="1" t="s">
        <v>58</v>
      </c>
      <c r="I586" s="1" t="s">
        <v>49</v>
      </c>
      <c r="J586" s="23" t="s">
        <v>50</v>
      </c>
      <c r="K586" s="2" t="s">
        <v>51</v>
      </c>
      <c r="L586" s="1">
        <v>33</v>
      </c>
      <c r="M586" s="1"/>
      <c r="N586" s="1" t="str">
        <f t="shared" si="48"/>
        <v>Suppressed</v>
      </c>
      <c r="O586" s="1" t="str">
        <f t="shared" si="46"/>
        <v/>
      </c>
      <c r="P586" s="1"/>
      <c r="Q586" s="1">
        <v>978</v>
      </c>
      <c r="R586" s="1" t="str">
        <f t="shared" si="49"/>
        <v>2</v>
      </c>
      <c r="S586" s="1">
        <v>106</v>
      </c>
      <c r="T586" s="1" t="str">
        <f t="shared" si="47"/>
        <v>1</v>
      </c>
      <c r="U586" s="1">
        <v>-30.779087000000001</v>
      </c>
      <c r="V586" s="3">
        <v>152.69015999999999</v>
      </c>
    </row>
    <row r="587" spans="1:22" x14ac:dyDescent="0.35">
      <c r="A587" s="22" t="s">
        <v>1901</v>
      </c>
      <c r="B587" s="1" t="s">
        <v>1902</v>
      </c>
      <c r="C587" s="1" t="s">
        <v>1903</v>
      </c>
      <c r="D587" s="1" t="s">
        <v>111</v>
      </c>
      <c r="E587" s="1" t="s">
        <v>56</v>
      </c>
      <c r="F587" s="1" t="s">
        <v>57</v>
      </c>
      <c r="G587" s="1">
        <f t="shared" si="45"/>
        <v>2</v>
      </c>
      <c r="H587" s="1" t="s">
        <v>63</v>
      </c>
      <c r="I587" s="1" t="s">
        <v>49</v>
      </c>
      <c r="J587" s="23" t="s">
        <v>50</v>
      </c>
      <c r="K587" s="2" t="s">
        <v>51</v>
      </c>
      <c r="L587" s="1">
        <v>382</v>
      </c>
      <c r="M587" s="1">
        <v>13</v>
      </c>
      <c r="N587" s="1" t="str">
        <f t="shared" si="48"/>
        <v>Published</v>
      </c>
      <c r="O587" s="1">
        <f t="shared" si="46"/>
        <v>49.660000000000004</v>
      </c>
      <c r="P587" s="1">
        <v>6</v>
      </c>
      <c r="Q587" s="1">
        <v>994</v>
      </c>
      <c r="R587" s="1" t="str">
        <f t="shared" si="49"/>
        <v>2</v>
      </c>
      <c r="S587" s="1">
        <v>93</v>
      </c>
      <c r="T587" s="1" t="str">
        <f t="shared" si="47"/>
        <v>3</v>
      </c>
      <c r="U587" s="1">
        <v>-32.738244999999999</v>
      </c>
      <c r="V587" s="3">
        <v>151.85406</v>
      </c>
    </row>
    <row r="588" spans="1:22" x14ac:dyDescent="0.35">
      <c r="A588" s="22" t="s">
        <v>1904</v>
      </c>
      <c r="B588" s="1" t="s">
        <v>1905</v>
      </c>
      <c r="C588" s="1" t="s">
        <v>1906</v>
      </c>
      <c r="D588" s="1" t="s">
        <v>428</v>
      </c>
      <c r="E588" s="1" t="s">
        <v>429</v>
      </c>
      <c r="F588" s="1" t="s">
        <v>57</v>
      </c>
      <c r="G588" s="1">
        <f t="shared" si="45"/>
        <v>2</v>
      </c>
      <c r="H588" s="1" t="s">
        <v>63</v>
      </c>
      <c r="I588" s="1" t="s">
        <v>49</v>
      </c>
      <c r="J588" s="23" t="s">
        <v>50</v>
      </c>
      <c r="K588" s="2" t="s">
        <v>51</v>
      </c>
      <c r="L588" s="1">
        <v>3</v>
      </c>
      <c r="M588" s="1">
        <v>0</v>
      </c>
      <c r="N588" s="1" t="str">
        <f t="shared" si="48"/>
        <v>Published</v>
      </c>
      <c r="O588" s="1">
        <f t="shared" si="46"/>
        <v>0</v>
      </c>
      <c r="P588" s="1">
        <v>0</v>
      </c>
      <c r="Q588" s="1">
        <v>1046</v>
      </c>
      <c r="R588" s="1" t="str">
        <f t="shared" si="49"/>
        <v>3</v>
      </c>
      <c r="S588" s="1">
        <v>62</v>
      </c>
      <c r="T588" s="1" t="str">
        <f t="shared" si="47"/>
        <v>1</v>
      </c>
      <c r="U588" s="1">
        <v>-33.715300999999997</v>
      </c>
      <c r="V588" s="3">
        <v>150.23258200000001</v>
      </c>
    </row>
    <row r="589" spans="1:22" x14ac:dyDescent="0.35">
      <c r="A589" s="22" t="s">
        <v>1907</v>
      </c>
      <c r="B589" s="1" t="s">
        <v>1908</v>
      </c>
      <c r="C589" s="1" t="s">
        <v>1909</v>
      </c>
      <c r="D589" s="1" t="s">
        <v>737</v>
      </c>
      <c r="E589" s="1" t="s">
        <v>738</v>
      </c>
      <c r="F589" s="1" t="s">
        <v>47</v>
      </c>
      <c r="G589" s="1">
        <f t="shared" si="45"/>
        <v>1</v>
      </c>
      <c r="H589" s="1" t="s">
        <v>182</v>
      </c>
      <c r="I589" s="1" t="s">
        <v>49</v>
      </c>
      <c r="J589" s="23" t="s">
        <v>50</v>
      </c>
      <c r="K589" s="2" t="s">
        <v>51</v>
      </c>
      <c r="L589" s="1">
        <v>154</v>
      </c>
      <c r="M589" s="1">
        <v>5</v>
      </c>
      <c r="N589" s="1" t="str">
        <f t="shared" si="48"/>
        <v>Published</v>
      </c>
      <c r="O589" s="1">
        <f t="shared" si="46"/>
        <v>7.7</v>
      </c>
      <c r="P589" s="1">
        <v>29</v>
      </c>
      <c r="Q589" s="1">
        <v>1036</v>
      </c>
      <c r="R589" s="1" t="str">
        <f t="shared" si="49"/>
        <v>3</v>
      </c>
      <c r="S589" s="1">
        <v>81</v>
      </c>
      <c r="T589" s="1" t="str">
        <f t="shared" si="47"/>
        <v>2</v>
      </c>
      <c r="U589" s="1">
        <v>-34.012129999999999</v>
      </c>
      <c r="V589" s="3">
        <v>151.006587</v>
      </c>
    </row>
    <row r="590" spans="1:22" x14ac:dyDescent="0.35">
      <c r="A590" s="22" t="s">
        <v>1910</v>
      </c>
      <c r="B590" s="1" t="s">
        <v>1911</v>
      </c>
      <c r="C590" s="1" t="s">
        <v>1912</v>
      </c>
      <c r="D590" s="1" t="s">
        <v>240</v>
      </c>
      <c r="E590" s="1" t="s">
        <v>102</v>
      </c>
      <c r="F590" s="1" t="s">
        <v>69</v>
      </c>
      <c r="G590" s="1">
        <f t="shared" si="45"/>
        <v>3</v>
      </c>
      <c r="H590" s="1" t="s">
        <v>58</v>
      </c>
      <c r="I590" s="1" t="s">
        <v>132</v>
      </c>
      <c r="J590" s="23" t="s">
        <v>50</v>
      </c>
      <c r="K590" s="2" t="s">
        <v>51</v>
      </c>
      <c r="L590" s="1">
        <v>89.8</v>
      </c>
      <c r="M590" s="1">
        <v>38</v>
      </c>
      <c r="N590" s="1" t="str">
        <f t="shared" si="48"/>
        <v>Published</v>
      </c>
      <c r="O590" s="1">
        <f t="shared" si="46"/>
        <v>34.124000000000002</v>
      </c>
      <c r="P590" s="1"/>
      <c r="Q590" s="1">
        <v>889</v>
      </c>
      <c r="R590" s="1" t="str">
        <f t="shared" si="49"/>
        <v>1</v>
      </c>
      <c r="S590" s="1">
        <v>123</v>
      </c>
      <c r="T590" s="1" t="str">
        <f t="shared" si="47"/>
        <v>1</v>
      </c>
      <c r="U590" s="1">
        <v>-31.818731</v>
      </c>
      <c r="V590" s="3">
        <v>149.122445</v>
      </c>
    </row>
    <row r="591" spans="1:22" x14ac:dyDescent="0.35">
      <c r="A591" s="22" t="s">
        <v>1913</v>
      </c>
      <c r="B591" s="1" t="s">
        <v>1914</v>
      </c>
      <c r="C591" s="1" t="s">
        <v>1915</v>
      </c>
      <c r="D591" s="1" t="s">
        <v>1556</v>
      </c>
      <c r="E591" s="1" t="s">
        <v>102</v>
      </c>
      <c r="F591" s="1" t="s">
        <v>544</v>
      </c>
      <c r="G591" s="1">
        <f t="shared" si="45"/>
        <v>5</v>
      </c>
      <c r="H591" s="1" t="s">
        <v>86</v>
      </c>
      <c r="I591" s="1" t="s">
        <v>132</v>
      </c>
      <c r="J591" s="23" t="s">
        <v>50</v>
      </c>
      <c r="K591" s="2" t="s">
        <v>51</v>
      </c>
      <c r="L591" s="1">
        <v>74</v>
      </c>
      <c r="M591" s="1">
        <v>80</v>
      </c>
      <c r="N591" s="1" t="str">
        <f t="shared" si="48"/>
        <v>Published</v>
      </c>
      <c r="O591" s="1">
        <f t="shared" si="46"/>
        <v>59.2</v>
      </c>
      <c r="P591" s="1">
        <v>9</v>
      </c>
      <c r="Q591" s="1">
        <v>760</v>
      </c>
      <c r="R591" s="1" t="str">
        <f t="shared" si="49"/>
        <v>1</v>
      </c>
      <c r="S591" s="1">
        <v>179</v>
      </c>
      <c r="T591" s="1" t="str">
        <f t="shared" si="47"/>
        <v>1</v>
      </c>
      <c r="U591" s="1">
        <v>-32.393368000000002</v>
      </c>
      <c r="V591" s="3">
        <v>142.41328999999999</v>
      </c>
    </row>
    <row r="592" spans="1:22" x14ac:dyDescent="0.35">
      <c r="A592" s="22" t="s">
        <v>1916</v>
      </c>
      <c r="B592" s="1" t="s">
        <v>1917</v>
      </c>
      <c r="C592" s="1" t="s">
        <v>1918</v>
      </c>
      <c r="D592" s="1" t="s">
        <v>74</v>
      </c>
      <c r="E592" s="1" t="s">
        <v>75</v>
      </c>
      <c r="F592" s="1" t="s">
        <v>47</v>
      </c>
      <c r="G592" s="1">
        <f t="shared" si="45"/>
        <v>1</v>
      </c>
      <c r="H592" s="1" t="s">
        <v>63</v>
      </c>
      <c r="I592" s="1" t="s">
        <v>49</v>
      </c>
      <c r="J592" s="23" t="s">
        <v>50</v>
      </c>
      <c r="K592" s="2" t="s">
        <v>51</v>
      </c>
      <c r="L592" s="1">
        <v>139</v>
      </c>
      <c r="M592" s="1">
        <v>31</v>
      </c>
      <c r="N592" s="1" t="str">
        <f t="shared" si="48"/>
        <v>Published</v>
      </c>
      <c r="O592" s="1">
        <f t="shared" si="46"/>
        <v>43.089999999999996</v>
      </c>
      <c r="P592" s="1">
        <v>7</v>
      </c>
      <c r="Q592" s="1">
        <v>950</v>
      </c>
      <c r="R592" s="1" t="str">
        <f t="shared" si="49"/>
        <v>2</v>
      </c>
      <c r="S592" s="1">
        <v>125</v>
      </c>
      <c r="T592" s="1" t="str">
        <f t="shared" si="47"/>
        <v>2</v>
      </c>
      <c r="U592" s="1">
        <v>-32.937547000000002</v>
      </c>
      <c r="V592" s="3">
        <v>151.742152</v>
      </c>
    </row>
    <row r="593" spans="1:22" x14ac:dyDescent="0.35">
      <c r="A593" s="22" t="s">
        <v>1919</v>
      </c>
      <c r="B593" s="1" t="s">
        <v>1920</v>
      </c>
      <c r="C593" s="1" t="s">
        <v>1921</v>
      </c>
      <c r="D593" s="1" t="s">
        <v>314</v>
      </c>
      <c r="E593" s="1" t="s">
        <v>68</v>
      </c>
      <c r="F593" s="1" t="s">
        <v>69</v>
      </c>
      <c r="G593" s="1">
        <f t="shared" si="45"/>
        <v>3</v>
      </c>
      <c r="H593" s="1" t="s">
        <v>70</v>
      </c>
      <c r="I593" s="1" t="s">
        <v>49</v>
      </c>
      <c r="J593" s="23" t="s">
        <v>50</v>
      </c>
      <c r="K593" s="2" t="s">
        <v>51</v>
      </c>
      <c r="L593" s="1">
        <v>428</v>
      </c>
      <c r="M593" s="1">
        <v>9</v>
      </c>
      <c r="N593" s="1" t="str">
        <f t="shared" si="48"/>
        <v>Published</v>
      </c>
      <c r="O593" s="1">
        <f t="shared" si="46"/>
        <v>38.519999999999996</v>
      </c>
      <c r="P593" s="1">
        <v>17</v>
      </c>
      <c r="Q593" s="1">
        <v>1001</v>
      </c>
      <c r="R593" s="1" t="str">
        <f t="shared" si="49"/>
        <v>3</v>
      </c>
      <c r="S593" s="1">
        <v>89</v>
      </c>
      <c r="T593" s="1" t="str">
        <f t="shared" si="47"/>
        <v>3</v>
      </c>
      <c r="U593" s="1">
        <v>-36.886524999999999</v>
      </c>
      <c r="V593" s="3">
        <v>149.91695200000001</v>
      </c>
    </row>
    <row r="594" spans="1:22" x14ac:dyDescent="0.35">
      <c r="A594" s="22" t="s">
        <v>1922</v>
      </c>
      <c r="B594" s="1" t="s">
        <v>1923</v>
      </c>
      <c r="C594" s="1" t="s">
        <v>1924</v>
      </c>
      <c r="D594" s="1" t="s">
        <v>55</v>
      </c>
      <c r="E594" s="1" t="s">
        <v>56</v>
      </c>
      <c r="F594" s="1" t="s">
        <v>69</v>
      </c>
      <c r="G594" s="1">
        <f t="shared" si="45"/>
        <v>3</v>
      </c>
      <c r="H594" s="1" t="s">
        <v>58</v>
      </c>
      <c r="I594" s="1" t="s">
        <v>132</v>
      </c>
      <c r="J594" s="23" t="s">
        <v>50</v>
      </c>
      <c r="K594" s="2" t="s">
        <v>51</v>
      </c>
      <c r="L594" s="1">
        <v>221</v>
      </c>
      <c r="M594" s="1">
        <v>25</v>
      </c>
      <c r="N594" s="1" t="str">
        <f t="shared" si="48"/>
        <v>Published</v>
      </c>
      <c r="O594" s="1">
        <f t="shared" si="46"/>
        <v>55.25</v>
      </c>
      <c r="P594" s="1"/>
      <c r="Q594" s="1">
        <v>879</v>
      </c>
      <c r="R594" s="1" t="str">
        <f t="shared" si="49"/>
        <v>1</v>
      </c>
      <c r="S594" s="1">
        <v>149</v>
      </c>
      <c r="T594" s="1" t="str">
        <f t="shared" si="47"/>
        <v>2</v>
      </c>
      <c r="U594" s="1">
        <v>-32.145113000000002</v>
      </c>
      <c r="V594" s="3">
        <v>150.352867</v>
      </c>
    </row>
    <row r="595" spans="1:22" x14ac:dyDescent="0.35">
      <c r="A595" s="22" t="s">
        <v>1925</v>
      </c>
      <c r="B595" s="1" t="s">
        <v>1926</v>
      </c>
      <c r="C595" s="1" t="s">
        <v>1927</v>
      </c>
      <c r="D595" s="1" t="s">
        <v>169</v>
      </c>
      <c r="E595" s="1" t="s">
        <v>170</v>
      </c>
      <c r="F595" s="1" t="s">
        <v>47</v>
      </c>
      <c r="G595" s="1">
        <f t="shared" si="45"/>
        <v>1</v>
      </c>
      <c r="H595" s="1" t="s">
        <v>48</v>
      </c>
      <c r="I595" s="1" t="s">
        <v>49</v>
      </c>
      <c r="J595" s="23" t="s">
        <v>50</v>
      </c>
      <c r="K595" s="2" t="s">
        <v>51</v>
      </c>
      <c r="L595" s="1">
        <v>620</v>
      </c>
      <c r="M595" s="1">
        <v>1</v>
      </c>
      <c r="N595" s="1" t="str">
        <f t="shared" si="48"/>
        <v>Published</v>
      </c>
      <c r="O595" s="1">
        <f t="shared" si="46"/>
        <v>6.2</v>
      </c>
      <c r="P595" s="1">
        <v>91</v>
      </c>
      <c r="Q595" s="1">
        <v>936</v>
      </c>
      <c r="R595" s="1" t="str">
        <f t="shared" si="49"/>
        <v>2</v>
      </c>
      <c r="S595" s="1">
        <v>155</v>
      </c>
      <c r="T595" s="1" t="str">
        <f t="shared" si="47"/>
        <v>4</v>
      </c>
      <c r="U595" s="1">
        <v>-33.840516000000001</v>
      </c>
      <c r="V595" s="3">
        <v>150.97604699999999</v>
      </c>
    </row>
    <row r="596" spans="1:22" x14ac:dyDescent="0.35">
      <c r="A596" s="22" t="s">
        <v>1928</v>
      </c>
      <c r="B596" s="1" t="s">
        <v>1929</v>
      </c>
      <c r="C596" s="1" t="s">
        <v>1930</v>
      </c>
      <c r="D596" s="1" t="s">
        <v>191</v>
      </c>
      <c r="E596" s="1" t="s">
        <v>75</v>
      </c>
      <c r="F596" s="1" t="s">
        <v>47</v>
      </c>
      <c r="G596" s="1">
        <f t="shared" si="45"/>
        <v>1</v>
      </c>
      <c r="H596" s="1" t="s">
        <v>63</v>
      </c>
      <c r="I596" s="1" t="s">
        <v>49</v>
      </c>
      <c r="J596" s="23" t="s">
        <v>50</v>
      </c>
      <c r="K596" s="2" t="s">
        <v>51</v>
      </c>
      <c r="L596" s="1">
        <v>376</v>
      </c>
      <c r="M596" s="1">
        <v>23</v>
      </c>
      <c r="N596" s="1" t="str">
        <f t="shared" si="48"/>
        <v>Published</v>
      </c>
      <c r="O596" s="1">
        <f t="shared" si="46"/>
        <v>86.48</v>
      </c>
      <c r="P596" s="1">
        <v>6</v>
      </c>
      <c r="Q596" s="1">
        <v>925</v>
      </c>
      <c r="R596" s="1" t="str">
        <f t="shared" si="49"/>
        <v>2</v>
      </c>
      <c r="S596" s="1">
        <v>130</v>
      </c>
      <c r="T596" s="1" t="str">
        <f t="shared" si="47"/>
        <v>3</v>
      </c>
      <c r="U596" s="1">
        <v>-33.114488999999999</v>
      </c>
      <c r="V596" s="3">
        <v>151.516783</v>
      </c>
    </row>
    <row r="597" spans="1:22" x14ac:dyDescent="0.35">
      <c r="A597" s="22" t="s">
        <v>1931</v>
      </c>
      <c r="B597" s="1" t="s">
        <v>1932</v>
      </c>
      <c r="C597" s="1" t="s">
        <v>1933</v>
      </c>
      <c r="D597" s="1" t="s">
        <v>67</v>
      </c>
      <c r="E597" s="1" t="s">
        <v>68</v>
      </c>
      <c r="F597" s="1" t="s">
        <v>57</v>
      </c>
      <c r="G597" s="1">
        <f t="shared" si="45"/>
        <v>2</v>
      </c>
      <c r="H597" s="1" t="s">
        <v>70</v>
      </c>
      <c r="I597" s="1" t="s">
        <v>49</v>
      </c>
      <c r="J597" s="23" t="s">
        <v>50</v>
      </c>
      <c r="K597" s="2" t="s">
        <v>51</v>
      </c>
      <c r="L597" s="1">
        <v>45</v>
      </c>
      <c r="M597" s="1">
        <v>16</v>
      </c>
      <c r="N597" s="1" t="str">
        <f t="shared" si="48"/>
        <v>Published</v>
      </c>
      <c r="O597" s="1">
        <f t="shared" si="46"/>
        <v>7.2</v>
      </c>
      <c r="P597" s="1">
        <v>22</v>
      </c>
      <c r="Q597" s="1">
        <v>990</v>
      </c>
      <c r="R597" s="1" t="str">
        <f t="shared" si="49"/>
        <v>2</v>
      </c>
      <c r="S597" s="1">
        <v>100</v>
      </c>
      <c r="T597" s="1" t="str">
        <f t="shared" si="47"/>
        <v>1</v>
      </c>
      <c r="U597" s="1">
        <v>-35.705975000000002</v>
      </c>
      <c r="V597" s="3">
        <v>149.16171600000001</v>
      </c>
    </row>
    <row r="598" spans="1:22" x14ac:dyDescent="0.35">
      <c r="A598" s="22" t="s">
        <v>1934</v>
      </c>
      <c r="B598" s="1" t="s">
        <v>1935</v>
      </c>
      <c r="C598" s="1" t="s">
        <v>1936</v>
      </c>
      <c r="D598" s="1" t="s">
        <v>126</v>
      </c>
      <c r="E598" s="1" t="s">
        <v>127</v>
      </c>
      <c r="F598" s="1" t="s">
        <v>47</v>
      </c>
      <c r="G598" s="1">
        <f t="shared" si="45"/>
        <v>1</v>
      </c>
      <c r="H598" s="1" t="s">
        <v>63</v>
      </c>
      <c r="I598" s="1" t="s">
        <v>49</v>
      </c>
      <c r="J598" s="23" t="s">
        <v>50</v>
      </c>
      <c r="K598" s="2" t="s">
        <v>51</v>
      </c>
      <c r="L598" s="1">
        <v>31</v>
      </c>
      <c r="M598" s="1"/>
      <c r="N598" s="1" t="str">
        <f t="shared" si="48"/>
        <v>Suppressed</v>
      </c>
      <c r="O598" s="1" t="str">
        <f t="shared" si="46"/>
        <v/>
      </c>
      <c r="P598" s="1">
        <v>47</v>
      </c>
      <c r="Q598" s="1">
        <v>1007</v>
      </c>
      <c r="R598" s="1" t="str">
        <f t="shared" si="49"/>
        <v>3</v>
      </c>
      <c r="S598" s="1">
        <v>96</v>
      </c>
      <c r="T598" s="1" t="str">
        <f t="shared" si="47"/>
        <v>1</v>
      </c>
      <c r="U598" s="1">
        <v>-33.644959999999998</v>
      </c>
      <c r="V598" s="3">
        <v>151.023178</v>
      </c>
    </row>
    <row r="599" spans="1:22" x14ac:dyDescent="0.35">
      <c r="A599" s="22" t="s">
        <v>1937</v>
      </c>
      <c r="B599" s="1" t="s">
        <v>1938</v>
      </c>
      <c r="C599" s="1" t="s">
        <v>1939</v>
      </c>
      <c r="D599" s="1" t="s">
        <v>1939</v>
      </c>
      <c r="E599" s="1" t="s">
        <v>147</v>
      </c>
      <c r="F599" s="1" t="s">
        <v>47</v>
      </c>
      <c r="G599" s="1">
        <f t="shared" si="45"/>
        <v>1</v>
      </c>
      <c r="H599" s="1" t="s">
        <v>148</v>
      </c>
      <c r="I599" s="1" t="s">
        <v>49</v>
      </c>
      <c r="J599" s="23" t="s">
        <v>50</v>
      </c>
      <c r="K599" s="2" t="s">
        <v>51</v>
      </c>
      <c r="L599" s="1">
        <v>423</v>
      </c>
      <c r="M599" s="1"/>
      <c r="N599" s="1" t="str">
        <f t="shared" si="48"/>
        <v>Suppressed</v>
      </c>
      <c r="O599" s="1" t="str">
        <f t="shared" si="46"/>
        <v/>
      </c>
      <c r="P599" s="1">
        <v>32</v>
      </c>
      <c r="Q599" s="1">
        <v>1162</v>
      </c>
      <c r="R599" s="1" t="str">
        <f t="shared" si="49"/>
        <v>4</v>
      </c>
      <c r="S599" s="1">
        <v>3</v>
      </c>
      <c r="T599" s="1" t="str">
        <f t="shared" si="47"/>
        <v>3</v>
      </c>
      <c r="U599" s="1">
        <v>-33.82282</v>
      </c>
      <c r="V599" s="3">
        <v>151.23269999999999</v>
      </c>
    </row>
    <row r="600" spans="1:22" x14ac:dyDescent="0.35">
      <c r="A600" s="22" t="s">
        <v>1940</v>
      </c>
      <c r="B600" s="1" t="s">
        <v>1941</v>
      </c>
      <c r="C600" s="1" t="s">
        <v>1942</v>
      </c>
      <c r="D600" s="1" t="s">
        <v>595</v>
      </c>
      <c r="E600" s="1" t="s">
        <v>56</v>
      </c>
      <c r="F600" s="1" t="s">
        <v>69</v>
      </c>
      <c r="G600" s="1">
        <f t="shared" si="45"/>
        <v>3</v>
      </c>
      <c r="H600" s="1" t="s">
        <v>58</v>
      </c>
      <c r="I600" s="1" t="s">
        <v>49</v>
      </c>
      <c r="J600" s="23" t="s">
        <v>50</v>
      </c>
      <c r="K600" s="2" t="s">
        <v>51</v>
      </c>
      <c r="L600" s="1">
        <v>19</v>
      </c>
      <c r="M600" s="1">
        <v>68</v>
      </c>
      <c r="N600" s="1" t="str">
        <f t="shared" si="48"/>
        <v>Published</v>
      </c>
      <c r="O600" s="1">
        <f t="shared" si="46"/>
        <v>12.920000000000002</v>
      </c>
      <c r="P600" s="1"/>
      <c r="Q600" s="1">
        <v>800</v>
      </c>
      <c r="R600" s="1" t="str">
        <f t="shared" si="49"/>
        <v>1</v>
      </c>
      <c r="S600" s="1">
        <v>160</v>
      </c>
      <c r="T600" s="1" t="str">
        <f t="shared" si="47"/>
        <v>1</v>
      </c>
      <c r="U600" s="1">
        <v>-32.696789000000003</v>
      </c>
      <c r="V600" s="3">
        <v>151.005819</v>
      </c>
    </row>
    <row r="601" spans="1:22" x14ac:dyDescent="0.35">
      <c r="A601" s="22" t="s">
        <v>1943</v>
      </c>
      <c r="B601" s="1" t="s">
        <v>1944</v>
      </c>
      <c r="C601" s="1" t="s">
        <v>1945</v>
      </c>
      <c r="D601" s="1" t="s">
        <v>489</v>
      </c>
      <c r="E601" s="1" t="s">
        <v>56</v>
      </c>
      <c r="F601" s="1" t="s">
        <v>47</v>
      </c>
      <c r="G601" s="1">
        <f t="shared" si="45"/>
        <v>1</v>
      </c>
      <c r="H601" s="1" t="s">
        <v>58</v>
      </c>
      <c r="I601" s="1" t="s">
        <v>49</v>
      </c>
      <c r="J601" s="23" t="s">
        <v>50</v>
      </c>
      <c r="K601" s="2" t="s">
        <v>51</v>
      </c>
      <c r="L601" s="1">
        <v>60</v>
      </c>
      <c r="M601" s="1">
        <v>18</v>
      </c>
      <c r="N601" s="1" t="str">
        <f t="shared" si="48"/>
        <v>Published</v>
      </c>
      <c r="O601" s="1">
        <f t="shared" si="46"/>
        <v>10.799999999999999</v>
      </c>
      <c r="P601" s="1"/>
      <c r="Q601" s="1">
        <v>920</v>
      </c>
      <c r="R601" s="1" t="str">
        <f t="shared" si="49"/>
        <v>2</v>
      </c>
      <c r="S601" s="1">
        <v>149</v>
      </c>
      <c r="T601" s="1" t="str">
        <f t="shared" si="47"/>
        <v>1</v>
      </c>
      <c r="U601" s="1">
        <v>-32.752066999999997</v>
      </c>
      <c r="V601" s="3">
        <v>151.70372399999999</v>
      </c>
    </row>
    <row r="602" spans="1:22" x14ac:dyDescent="0.35">
      <c r="A602" s="22" t="s">
        <v>1946</v>
      </c>
      <c r="B602" s="1" t="s">
        <v>1947</v>
      </c>
      <c r="C602" s="1" t="s">
        <v>1948</v>
      </c>
      <c r="D602" s="1" t="s">
        <v>62</v>
      </c>
      <c r="E602" s="1" t="s">
        <v>56</v>
      </c>
      <c r="F602" s="1" t="s">
        <v>57</v>
      </c>
      <c r="G602" s="1">
        <f t="shared" si="45"/>
        <v>2</v>
      </c>
      <c r="H602" s="1" t="s">
        <v>63</v>
      </c>
      <c r="I602" s="1" t="s">
        <v>49</v>
      </c>
      <c r="J602" s="23" t="s">
        <v>50</v>
      </c>
      <c r="K602" s="2" t="s">
        <v>51</v>
      </c>
      <c r="L602" s="1">
        <v>101</v>
      </c>
      <c r="M602" s="1">
        <v>22</v>
      </c>
      <c r="N602" s="1" t="str">
        <f t="shared" si="48"/>
        <v>Published</v>
      </c>
      <c r="O602" s="1">
        <f t="shared" si="46"/>
        <v>22.22</v>
      </c>
      <c r="P602" s="1"/>
      <c r="Q602" s="1">
        <v>932</v>
      </c>
      <c r="R602" s="1" t="str">
        <f t="shared" si="49"/>
        <v>2</v>
      </c>
      <c r="S602" s="1">
        <v>130</v>
      </c>
      <c r="T602" s="1" t="str">
        <f t="shared" si="47"/>
        <v>2</v>
      </c>
      <c r="U602" s="1">
        <v>-32.889837</v>
      </c>
      <c r="V602" s="3">
        <v>151.25077400000001</v>
      </c>
    </row>
    <row r="603" spans="1:22" x14ac:dyDescent="0.35">
      <c r="A603" s="22" t="s">
        <v>1949</v>
      </c>
      <c r="B603" s="1" t="s">
        <v>1950</v>
      </c>
      <c r="C603" s="1" t="s">
        <v>1951</v>
      </c>
      <c r="D603" s="1" t="s">
        <v>457</v>
      </c>
      <c r="E603" s="1" t="s">
        <v>261</v>
      </c>
      <c r="F603" s="1" t="s">
        <v>57</v>
      </c>
      <c r="G603" s="1">
        <f t="shared" si="45"/>
        <v>2</v>
      </c>
      <c r="H603" s="1" t="s">
        <v>70</v>
      </c>
      <c r="I603" s="1" t="s">
        <v>49</v>
      </c>
      <c r="J603" s="23" t="s">
        <v>50</v>
      </c>
      <c r="K603" s="2" t="s">
        <v>51</v>
      </c>
      <c r="L603" s="1">
        <v>235</v>
      </c>
      <c r="M603" s="1">
        <v>8</v>
      </c>
      <c r="N603" s="1" t="str">
        <f t="shared" si="48"/>
        <v>Published</v>
      </c>
      <c r="O603" s="1">
        <f t="shared" si="46"/>
        <v>18.8</v>
      </c>
      <c r="P603" s="1">
        <v>3</v>
      </c>
      <c r="Q603" s="1">
        <v>1053</v>
      </c>
      <c r="R603" s="1" t="str">
        <f t="shared" si="49"/>
        <v>3</v>
      </c>
      <c r="S603" s="1">
        <v>50</v>
      </c>
      <c r="T603" s="1" t="str">
        <f t="shared" si="47"/>
        <v>2</v>
      </c>
      <c r="U603" s="1">
        <v>-33.445146000000001</v>
      </c>
      <c r="V603" s="3">
        <v>149.18593899999999</v>
      </c>
    </row>
    <row r="604" spans="1:22" x14ac:dyDescent="0.35">
      <c r="A604" s="22" t="s">
        <v>1952</v>
      </c>
      <c r="B604" s="1" t="s">
        <v>1953</v>
      </c>
      <c r="C604" s="1" t="s">
        <v>1954</v>
      </c>
      <c r="D604" s="1" t="s">
        <v>152</v>
      </c>
      <c r="E604" s="1" t="s">
        <v>229</v>
      </c>
      <c r="F604" s="1" t="s">
        <v>47</v>
      </c>
      <c r="G604" s="1">
        <f t="shared" si="45"/>
        <v>1</v>
      </c>
      <c r="H604" s="1" t="s">
        <v>182</v>
      </c>
      <c r="I604" s="1" t="s">
        <v>49</v>
      </c>
      <c r="J604" s="23" t="s">
        <v>50</v>
      </c>
      <c r="K604" s="2" t="s">
        <v>51</v>
      </c>
      <c r="L604" s="1">
        <v>317</v>
      </c>
      <c r="M604" s="1">
        <v>5</v>
      </c>
      <c r="N604" s="1" t="str">
        <f t="shared" si="48"/>
        <v>Published</v>
      </c>
      <c r="O604" s="1">
        <f t="shared" si="46"/>
        <v>15.850000000000001</v>
      </c>
      <c r="P604" s="1">
        <v>34</v>
      </c>
      <c r="Q604" s="1">
        <v>1027</v>
      </c>
      <c r="R604" s="1" t="str">
        <f t="shared" si="49"/>
        <v>3</v>
      </c>
      <c r="S604" s="1">
        <v>89</v>
      </c>
      <c r="T604" s="1" t="str">
        <f t="shared" si="47"/>
        <v>3</v>
      </c>
      <c r="U604" s="1">
        <v>-33.942076999999998</v>
      </c>
      <c r="V604" s="3">
        <v>150.97977900000001</v>
      </c>
    </row>
    <row r="605" spans="1:22" x14ac:dyDescent="0.35">
      <c r="A605" s="22" t="s">
        <v>1955</v>
      </c>
      <c r="B605" s="1" t="s">
        <v>1956</v>
      </c>
      <c r="C605" s="1" t="s">
        <v>1957</v>
      </c>
      <c r="D605" s="1" t="s">
        <v>382</v>
      </c>
      <c r="E605" s="1" t="s">
        <v>196</v>
      </c>
      <c r="F605" s="1" t="s">
        <v>57</v>
      </c>
      <c r="G605" s="1">
        <f t="shared" si="45"/>
        <v>2</v>
      </c>
      <c r="H605" s="1" t="s">
        <v>86</v>
      </c>
      <c r="I605" s="1" t="s">
        <v>49</v>
      </c>
      <c r="J605" s="23" t="s">
        <v>50</v>
      </c>
      <c r="K605" s="2" t="s">
        <v>51</v>
      </c>
      <c r="L605" s="1">
        <v>823</v>
      </c>
      <c r="M605" s="1">
        <v>9</v>
      </c>
      <c r="N605" s="1" t="str">
        <f t="shared" si="48"/>
        <v>Published</v>
      </c>
      <c r="O605" s="1">
        <f t="shared" si="46"/>
        <v>74.069999999999993</v>
      </c>
      <c r="P605" s="1">
        <v>8</v>
      </c>
      <c r="Q605" s="1">
        <v>1024</v>
      </c>
      <c r="R605" s="1" t="str">
        <f t="shared" si="49"/>
        <v>3</v>
      </c>
      <c r="S605" s="1">
        <v>71</v>
      </c>
      <c r="T605" s="1" t="str">
        <f t="shared" si="47"/>
        <v>4</v>
      </c>
      <c r="U605" s="1">
        <v>-35.314149</v>
      </c>
      <c r="V605" s="3">
        <v>150.43581599999999</v>
      </c>
    </row>
    <row r="606" spans="1:22" x14ac:dyDescent="0.35">
      <c r="A606" s="22" t="s">
        <v>1958</v>
      </c>
      <c r="B606" s="1" t="s">
        <v>1959</v>
      </c>
      <c r="C606" s="1" t="s">
        <v>1960</v>
      </c>
      <c r="D606" s="1" t="s">
        <v>74</v>
      </c>
      <c r="E606" s="1" t="s">
        <v>75</v>
      </c>
      <c r="F606" s="1" t="s">
        <v>47</v>
      </c>
      <c r="G606" s="1">
        <f t="shared" si="45"/>
        <v>1</v>
      </c>
      <c r="H606" s="1" t="s">
        <v>63</v>
      </c>
      <c r="I606" s="1" t="s">
        <v>49</v>
      </c>
      <c r="J606" s="23" t="s">
        <v>50</v>
      </c>
      <c r="K606" s="2" t="s">
        <v>51</v>
      </c>
      <c r="L606" s="1">
        <v>133</v>
      </c>
      <c r="M606" s="1">
        <v>18</v>
      </c>
      <c r="N606" s="1" t="str">
        <f t="shared" si="48"/>
        <v>Published</v>
      </c>
      <c r="O606" s="1">
        <f t="shared" si="46"/>
        <v>23.939999999999998</v>
      </c>
      <c r="P606" s="1">
        <v>15</v>
      </c>
      <c r="Q606" s="1">
        <v>1018</v>
      </c>
      <c r="R606" s="1" t="str">
        <f t="shared" si="49"/>
        <v>3</v>
      </c>
      <c r="S606" s="1">
        <v>63</v>
      </c>
      <c r="T606" s="1" t="str">
        <f t="shared" si="47"/>
        <v>2</v>
      </c>
      <c r="U606" s="1">
        <v>-32.876125000000002</v>
      </c>
      <c r="V606" s="3">
        <v>151.61747099999999</v>
      </c>
    </row>
    <row r="607" spans="1:22" x14ac:dyDescent="0.35">
      <c r="A607" s="22" t="s">
        <v>1961</v>
      </c>
      <c r="B607" s="1" t="s">
        <v>1962</v>
      </c>
      <c r="C607" s="1" t="s">
        <v>1963</v>
      </c>
      <c r="D607" s="1" t="s">
        <v>689</v>
      </c>
      <c r="E607" s="1" t="s">
        <v>122</v>
      </c>
      <c r="F607" s="1" t="s">
        <v>47</v>
      </c>
      <c r="G607" s="1">
        <f t="shared" si="45"/>
        <v>1</v>
      </c>
      <c r="H607" s="1" t="s">
        <v>182</v>
      </c>
      <c r="I607" s="1" t="s">
        <v>49</v>
      </c>
      <c r="J607" s="23" t="s">
        <v>50</v>
      </c>
      <c r="K607" s="2" t="s">
        <v>51</v>
      </c>
      <c r="L607" s="1">
        <v>220</v>
      </c>
      <c r="M607" s="1">
        <v>5</v>
      </c>
      <c r="N607" s="1" t="str">
        <f t="shared" si="48"/>
        <v>Published</v>
      </c>
      <c r="O607" s="1">
        <f t="shared" si="46"/>
        <v>11</v>
      </c>
      <c r="P607" s="1">
        <v>79</v>
      </c>
      <c r="Q607" s="1">
        <v>1010</v>
      </c>
      <c r="R607" s="1" t="str">
        <f t="shared" si="49"/>
        <v>3</v>
      </c>
      <c r="S607" s="1">
        <v>80</v>
      </c>
      <c r="T607" s="1" t="str">
        <f t="shared" si="47"/>
        <v>2</v>
      </c>
      <c r="U607" s="1">
        <v>-34.029978999999997</v>
      </c>
      <c r="V607" s="3">
        <v>150.84726599999999</v>
      </c>
    </row>
    <row r="608" spans="1:22" x14ac:dyDescent="0.35">
      <c r="A608" s="22" t="s">
        <v>1964</v>
      </c>
      <c r="B608" s="1" t="s">
        <v>1965</v>
      </c>
      <c r="C608" s="1" t="s">
        <v>1966</v>
      </c>
      <c r="D608" s="1" t="s">
        <v>737</v>
      </c>
      <c r="E608" s="1" t="s">
        <v>738</v>
      </c>
      <c r="F608" s="1" t="s">
        <v>47</v>
      </c>
      <c r="G608" s="1">
        <f t="shared" si="45"/>
        <v>1</v>
      </c>
      <c r="H608" s="1" t="s">
        <v>182</v>
      </c>
      <c r="I608" s="1" t="s">
        <v>49</v>
      </c>
      <c r="J608" s="23" t="s">
        <v>50</v>
      </c>
      <c r="K608" s="2" t="s">
        <v>51</v>
      </c>
      <c r="L608" s="1">
        <v>300</v>
      </c>
      <c r="M608" s="1">
        <v>4</v>
      </c>
      <c r="N608" s="1" t="str">
        <f t="shared" si="48"/>
        <v>Published</v>
      </c>
      <c r="O608" s="1">
        <f t="shared" si="46"/>
        <v>12</v>
      </c>
      <c r="P608" s="1">
        <v>54</v>
      </c>
      <c r="Q608" s="1">
        <v>1024</v>
      </c>
      <c r="R608" s="1" t="str">
        <f t="shared" si="49"/>
        <v>3</v>
      </c>
      <c r="S608" s="1">
        <v>75</v>
      </c>
      <c r="T608" s="1" t="str">
        <f t="shared" si="47"/>
        <v>3</v>
      </c>
      <c r="U608" s="1">
        <v>-34.034644999999998</v>
      </c>
      <c r="V608" s="3">
        <v>151.09740500000001</v>
      </c>
    </row>
    <row r="609" spans="1:22" x14ac:dyDescent="0.35">
      <c r="A609" s="22" t="s">
        <v>1967</v>
      </c>
      <c r="B609" s="1" t="s">
        <v>1968</v>
      </c>
      <c r="C609" s="1" t="s">
        <v>1969</v>
      </c>
      <c r="D609" s="1" t="s">
        <v>275</v>
      </c>
      <c r="E609" s="1" t="s">
        <v>276</v>
      </c>
      <c r="F609" s="1" t="s">
        <v>57</v>
      </c>
      <c r="G609" s="1">
        <f t="shared" si="45"/>
        <v>2</v>
      </c>
      <c r="H609" s="1" t="s">
        <v>58</v>
      </c>
      <c r="I609" s="1" t="s">
        <v>49</v>
      </c>
      <c r="J609" s="23" t="s">
        <v>50</v>
      </c>
      <c r="K609" s="2" t="s">
        <v>51</v>
      </c>
      <c r="L609" s="1">
        <v>37</v>
      </c>
      <c r="M609" s="1"/>
      <c r="N609" s="1" t="str">
        <f t="shared" si="48"/>
        <v>Suppressed</v>
      </c>
      <c r="O609" s="1" t="str">
        <f t="shared" si="46"/>
        <v/>
      </c>
      <c r="P609" s="1"/>
      <c r="Q609" s="1">
        <v>917</v>
      </c>
      <c r="R609" s="1" t="str">
        <f t="shared" si="49"/>
        <v>2</v>
      </c>
      <c r="S609" s="1">
        <v>135</v>
      </c>
      <c r="T609" s="1" t="str">
        <f t="shared" si="47"/>
        <v>1</v>
      </c>
      <c r="U609" s="1">
        <v>-31.896761999999999</v>
      </c>
      <c r="V609" s="3">
        <v>152.61405400000001</v>
      </c>
    </row>
    <row r="610" spans="1:22" x14ac:dyDescent="0.35">
      <c r="A610" s="22" t="s">
        <v>1970</v>
      </c>
      <c r="B610" s="1" t="s">
        <v>1971</v>
      </c>
      <c r="C610" s="1" t="s">
        <v>1972</v>
      </c>
      <c r="D610" s="1" t="s">
        <v>195</v>
      </c>
      <c r="E610" s="1" t="s">
        <v>196</v>
      </c>
      <c r="F610" s="1" t="s">
        <v>57</v>
      </c>
      <c r="G610" s="1">
        <f t="shared" si="45"/>
        <v>2</v>
      </c>
      <c r="H610" s="1" t="s">
        <v>86</v>
      </c>
      <c r="I610" s="1" t="s">
        <v>49</v>
      </c>
      <c r="J610" s="23" t="s">
        <v>50</v>
      </c>
      <c r="K610" s="2" t="s">
        <v>51</v>
      </c>
      <c r="L610" s="1">
        <v>536</v>
      </c>
      <c r="M610" s="1">
        <v>11</v>
      </c>
      <c r="N610" s="1" t="str">
        <f t="shared" si="48"/>
        <v>Published</v>
      </c>
      <c r="O610" s="1">
        <f t="shared" si="46"/>
        <v>58.96</v>
      </c>
      <c r="P610" s="1">
        <v>20</v>
      </c>
      <c r="Q610" s="1">
        <v>992</v>
      </c>
      <c r="R610" s="1" t="str">
        <f t="shared" si="49"/>
        <v>2</v>
      </c>
      <c r="S610" s="1">
        <v>90</v>
      </c>
      <c r="T610" s="1" t="str">
        <f t="shared" si="47"/>
        <v>3</v>
      </c>
      <c r="U610" s="1">
        <v>-34.448044000000003</v>
      </c>
      <c r="V610" s="3">
        <v>150.44438</v>
      </c>
    </row>
    <row r="611" spans="1:22" x14ac:dyDescent="0.35">
      <c r="A611" s="22" t="s">
        <v>1973</v>
      </c>
      <c r="B611" s="1" t="s">
        <v>1974</v>
      </c>
      <c r="C611" s="1" t="s">
        <v>1975</v>
      </c>
      <c r="D611" s="1" t="s">
        <v>252</v>
      </c>
      <c r="E611" s="1" t="s">
        <v>96</v>
      </c>
      <c r="F611" s="1" t="s">
        <v>57</v>
      </c>
      <c r="G611" s="1">
        <f t="shared" si="45"/>
        <v>2</v>
      </c>
      <c r="H611" s="1" t="s">
        <v>70</v>
      </c>
      <c r="I611" s="1" t="s">
        <v>49</v>
      </c>
      <c r="J611" s="23" t="s">
        <v>50</v>
      </c>
      <c r="K611" s="2" t="s">
        <v>51</v>
      </c>
      <c r="L611" s="1">
        <v>113</v>
      </c>
      <c r="M611" s="1">
        <v>30</v>
      </c>
      <c r="N611" s="1" t="str">
        <f t="shared" si="48"/>
        <v>Published</v>
      </c>
      <c r="O611" s="1">
        <f t="shared" si="46"/>
        <v>33.9</v>
      </c>
      <c r="P611" s="1">
        <v>5</v>
      </c>
      <c r="Q611" s="1">
        <v>889</v>
      </c>
      <c r="R611" s="1" t="str">
        <f t="shared" si="49"/>
        <v>1</v>
      </c>
      <c r="S611" s="1">
        <v>144</v>
      </c>
      <c r="T611" s="1" t="str">
        <f t="shared" si="47"/>
        <v>2</v>
      </c>
      <c r="U611" s="1">
        <v>-36.115313999999998</v>
      </c>
      <c r="V611" s="3">
        <v>144.762821</v>
      </c>
    </row>
    <row r="612" spans="1:22" x14ac:dyDescent="0.35">
      <c r="A612" s="22" t="s">
        <v>1976</v>
      </c>
      <c r="B612" s="1" t="s">
        <v>1977</v>
      </c>
      <c r="C612" s="1" t="s">
        <v>390</v>
      </c>
      <c r="D612" s="1" t="s">
        <v>390</v>
      </c>
      <c r="E612" s="1" t="s">
        <v>107</v>
      </c>
      <c r="F612" s="1" t="s">
        <v>57</v>
      </c>
      <c r="G612" s="1">
        <f t="shared" si="45"/>
        <v>2</v>
      </c>
      <c r="H612" s="1" t="s">
        <v>92</v>
      </c>
      <c r="I612" s="1" t="s">
        <v>49</v>
      </c>
      <c r="J612" s="23" t="s">
        <v>50</v>
      </c>
      <c r="K612" s="2" t="s">
        <v>51</v>
      </c>
      <c r="L612" s="1">
        <v>58</v>
      </c>
      <c r="M612" s="1"/>
      <c r="N612" s="1" t="str">
        <f t="shared" si="48"/>
        <v>Suppressed</v>
      </c>
      <c r="O612" s="1" t="str">
        <f t="shared" si="46"/>
        <v/>
      </c>
      <c r="P612" s="1"/>
      <c r="Q612" s="1">
        <v>1014</v>
      </c>
      <c r="R612" s="1" t="str">
        <f t="shared" si="49"/>
        <v>3</v>
      </c>
      <c r="S612" s="1">
        <v>74</v>
      </c>
      <c r="T612" s="1" t="str">
        <f t="shared" si="47"/>
        <v>1</v>
      </c>
      <c r="U612" s="1">
        <v>-28.730204000000001</v>
      </c>
      <c r="V612" s="3">
        <v>153.297192</v>
      </c>
    </row>
    <row r="613" spans="1:22" x14ac:dyDescent="0.35">
      <c r="A613" s="22" t="s">
        <v>1978</v>
      </c>
      <c r="B613" s="1" t="s">
        <v>1979</v>
      </c>
      <c r="C613" s="1" t="s">
        <v>1980</v>
      </c>
      <c r="D613" s="1" t="s">
        <v>288</v>
      </c>
      <c r="E613" s="1" t="s">
        <v>68</v>
      </c>
      <c r="F613" s="1" t="s">
        <v>57</v>
      </c>
      <c r="G613" s="1">
        <f t="shared" si="45"/>
        <v>2</v>
      </c>
      <c r="H613" s="1" t="s">
        <v>86</v>
      </c>
      <c r="I613" s="1" t="s">
        <v>49</v>
      </c>
      <c r="J613" s="23" t="s">
        <v>50</v>
      </c>
      <c r="K613" s="2" t="s">
        <v>51</v>
      </c>
      <c r="L613" s="1">
        <v>27</v>
      </c>
      <c r="M613" s="1">
        <v>52</v>
      </c>
      <c r="N613" s="1" t="str">
        <f t="shared" si="48"/>
        <v>Published</v>
      </c>
      <c r="O613" s="1">
        <f t="shared" si="46"/>
        <v>14.040000000000001</v>
      </c>
      <c r="P613" s="1">
        <v>0</v>
      </c>
      <c r="Q613" s="1">
        <v>818</v>
      </c>
      <c r="R613" s="1" t="str">
        <f t="shared" si="49"/>
        <v>1</v>
      </c>
      <c r="S613" s="1">
        <v>179</v>
      </c>
      <c r="T613" s="1" t="str">
        <f t="shared" si="47"/>
        <v>1</v>
      </c>
      <c r="U613" s="1">
        <v>-35.786090999999999</v>
      </c>
      <c r="V613" s="3">
        <v>150.140569</v>
      </c>
    </row>
    <row r="614" spans="1:22" x14ac:dyDescent="0.35">
      <c r="A614" s="22" t="s">
        <v>1981</v>
      </c>
      <c r="B614" s="1" t="s">
        <v>1982</v>
      </c>
      <c r="C614" s="1" t="s">
        <v>1983</v>
      </c>
      <c r="D614" s="1" t="s">
        <v>730</v>
      </c>
      <c r="E614" s="1" t="s">
        <v>261</v>
      </c>
      <c r="F614" s="1" t="s">
        <v>57</v>
      </c>
      <c r="G614" s="1">
        <f t="shared" si="45"/>
        <v>2</v>
      </c>
      <c r="H614" s="1" t="s">
        <v>70</v>
      </c>
      <c r="I614" s="1" t="s">
        <v>132</v>
      </c>
      <c r="J614" s="23" t="s">
        <v>50</v>
      </c>
      <c r="K614" s="2" t="s">
        <v>51</v>
      </c>
      <c r="L614" s="1">
        <v>392.8</v>
      </c>
      <c r="M614" s="1">
        <v>26</v>
      </c>
      <c r="N614" s="1" t="str">
        <f t="shared" si="48"/>
        <v>Published</v>
      </c>
      <c r="O614" s="1">
        <f t="shared" si="46"/>
        <v>102.128</v>
      </c>
      <c r="P614" s="1">
        <v>4</v>
      </c>
      <c r="Q614" s="1">
        <v>917</v>
      </c>
      <c r="R614" s="1" t="str">
        <f t="shared" si="49"/>
        <v>2</v>
      </c>
      <c r="S614" s="1">
        <v>121</v>
      </c>
      <c r="T614" s="1" t="str">
        <f t="shared" si="47"/>
        <v>3</v>
      </c>
      <c r="U614" s="1">
        <v>-33.098011</v>
      </c>
      <c r="V614" s="3">
        <v>148.86389</v>
      </c>
    </row>
    <row r="615" spans="1:22" x14ac:dyDescent="0.35">
      <c r="A615" s="22" t="s">
        <v>1984</v>
      </c>
      <c r="B615" s="1" t="s">
        <v>1985</v>
      </c>
      <c r="C615" s="1" t="s">
        <v>1986</v>
      </c>
      <c r="D615" s="1" t="s">
        <v>203</v>
      </c>
      <c r="E615" s="1" t="s">
        <v>204</v>
      </c>
      <c r="F615" s="1" t="s">
        <v>47</v>
      </c>
      <c r="G615" s="1">
        <f t="shared" si="45"/>
        <v>1</v>
      </c>
      <c r="H615" s="1" t="s">
        <v>148</v>
      </c>
      <c r="I615" s="1" t="s">
        <v>49</v>
      </c>
      <c r="J615" s="23" t="s">
        <v>50</v>
      </c>
      <c r="K615" s="2" t="s">
        <v>51</v>
      </c>
      <c r="L615" s="1">
        <v>671</v>
      </c>
      <c r="M615" s="1">
        <v>2</v>
      </c>
      <c r="N615" s="1" t="str">
        <f t="shared" si="48"/>
        <v>Published</v>
      </c>
      <c r="O615" s="1">
        <f t="shared" si="46"/>
        <v>13.42</v>
      </c>
      <c r="P615" s="1">
        <v>22</v>
      </c>
      <c r="Q615" s="1">
        <v>1096</v>
      </c>
      <c r="R615" s="1" t="str">
        <f t="shared" si="49"/>
        <v>3</v>
      </c>
      <c r="S615" s="1">
        <v>39</v>
      </c>
      <c r="T615" s="1" t="str">
        <f t="shared" si="47"/>
        <v>4</v>
      </c>
      <c r="U615" s="1">
        <v>-33.676997999999998</v>
      </c>
      <c r="V615" s="3">
        <v>151.30040399999999</v>
      </c>
    </row>
    <row r="616" spans="1:22" x14ac:dyDescent="0.35">
      <c r="A616" s="22" t="s">
        <v>1987</v>
      </c>
      <c r="B616" s="1" t="s">
        <v>1988</v>
      </c>
      <c r="C616" s="1" t="s">
        <v>1989</v>
      </c>
      <c r="D616" s="1" t="s">
        <v>525</v>
      </c>
      <c r="E616" s="1" t="s">
        <v>68</v>
      </c>
      <c r="F616" s="1" t="s">
        <v>69</v>
      </c>
      <c r="G616" s="1">
        <f t="shared" si="45"/>
        <v>3</v>
      </c>
      <c r="H616" s="1" t="s">
        <v>70</v>
      </c>
      <c r="I616" s="1" t="s">
        <v>49</v>
      </c>
      <c r="J616" s="23" t="s">
        <v>50</v>
      </c>
      <c r="K616" s="2" t="s">
        <v>51</v>
      </c>
      <c r="L616" s="1">
        <v>24</v>
      </c>
      <c r="M616" s="1"/>
      <c r="N616" s="1" t="str">
        <f t="shared" si="48"/>
        <v>Suppressed</v>
      </c>
      <c r="O616" s="1" t="str">
        <f t="shared" si="46"/>
        <v/>
      </c>
      <c r="P616" s="1"/>
      <c r="Q616" s="1">
        <v>969</v>
      </c>
      <c r="R616" s="1" t="str">
        <f t="shared" si="49"/>
        <v>2</v>
      </c>
      <c r="S616" s="1">
        <v>110</v>
      </c>
      <c r="T616" s="1" t="str">
        <f t="shared" si="47"/>
        <v>1</v>
      </c>
      <c r="U616" s="1">
        <v>-34.192993999999999</v>
      </c>
      <c r="V616" s="3">
        <v>148.34725</v>
      </c>
    </row>
    <row r="617" spans="1:22" x14ac:dyDescent="0.35">
      <c r="A617" s="22" t="s">
        <v>1990</v>
      </c>
      <c r="B617" s="1" t="s">
        <v>1991</v>
      </c>
      <c r="C617" s="1" t="s">
        <v>1992</v>
      </c>
      <c r="D617" s="1" t="s">
        <v>90</v>
      </c>
      <c r="E617" s="1" t="s">
        <v>91</v>
      </c>
      <c r="F617" s="1" t="s">
        <v>69</v>
      </c>
      <c r="G617" s="1">
        <f t="shared" si="45"/>
        <v>3</v>
      </c>
      <c r="H617" s="1" t="s">
        <v>92</v>
      </c>
      <c r="I617" s="1" t="s">
        <v>49</v>
      </c>
      <c r="J617" s="23" t="s">
        <v>50</v>
      </c>
      <c r="K617" s="2" t="s">
        <v>51</v>
      </c>
      <c r="L617" s="1">
        <v>31</v>
      </c>
      <c r="M617" s="1">
        <v>45</v>
      </c>
      <c r="N617" s="1" t="str">
        <f t="shared" si="48"/>
        <v>Published</v>
      </c>
      <c r="O617" s="1">
        <f t="shared" si="46"/>
        <v>13.950000000000001</v>
      </c>
      <c r="P617" s="1"/>
      <c r="Q617" s="1">
        <v>850</v>
      </c>
      <c r="R617" s="1" t="str">
        <f t="shared" si="49"/>
        <v>1</v>
      </c>
      <c r="S617" s="1">
        <v>140</v>
      </c>
      <c r="T617" s="1" t="str">
        <f t="shared" si="47"/>
        <v>1</v>
      </c>
      <c r="U617" s="1">
        <v>-31.019752</v>
      </c>
      <c r="V617" s="3">
        <v>151.07357300000001</v>
      </c>
    </row>
    <row r="618" spans="1:22" x14ac:dyDescent="0.35">
      <c r="A618" s="22" t="s">
        <v>1993</v>
      </c>
      <c r="B618" s="1" t="s">
        <v>1994</v>
      </c>
      <c r="C618" s="1" t="s">
        <v>1995</v>
      </c>
      <c r="D618" s="1" t="s">
        <v>275</v>
      </c>
      <c r="E618" s="1" t="s">
        <v>276</v>
      </c>
      <c r="F618" s="1" t="s">
        <v>57</v>
      </c>
      <c r="G618" s="1">
        <f t="shared" si="45"/>
        <v>2</v>
      </c>
      <c r="H618" s="1" t="s">
        <v>58</v>
      </c>
      <c r="I618" s="1" t="s">
        <v>49</v>
      </c>
      <c r="J618" s="23" t="s">
        <v>50</v>
      </c>
      <c r="K618" s="2" t="s">
        <v>51</v>
      </c>
      <c r="L618" s="1">
        <v>31</v>
      </c>
      <c r="M618" s="1">
        <v>45</v>
      </c>
      <c r="N618" s="1" t="str">
        <f t="shared" si="48"/>
        <v>Published</v>
      </c>
      <c r="O618" s="1">
        <f t="shared" si="46"/>
        <v>13.950000000000001</v>
      </c>
      <c r="P618" s="1">
        <v>0</v>
      </c>
      <c r="Q618" s="1">
        <v>825</v>
      </c>
      <c r="R618" s="1" t="str">
        <f t="shared" si="49"/>
        <v>1</v>
      </c>
      <c r="S618" s="1">
        <v>159</v>
      </c>
      <c r="T618" s="1" t="str">
        <f t="shared" si="47"/>
        <v>1</v>
      </c>
      <c r="U618" s="1">
        <v>-31.769631</v>
      </c>
      <c r="V618" s="3">
        <v>152.651174</v>
      </c>
    </row>
    <row r="619" spans="1:22" x14ac:dyDescent="0.35">
      <c r="A619" s="22" t="s">
        <v>1996</v>
      </c>
      <c r="B619" s="1" t="s">
        <v>1997</v>
      </c>
      <c r="C619" s="1" t="s">
        <v>1998</v>
      </c>
      <c r="D619" s="1" t="s">
        <v>482</v>
      </c>
      <c r="E619" s="1" t="s">
        <v>91</v>
      </c>
      <c r="F619" s="1" t="s">
        <v>69</v>
      </c>
      <c r="G619" s="1">
        <f t="shared" si="45"/>
        <v>3</v>
      </c>
      <c r="H619" s="1" t="s">
        <v>92</v>
      </c>
      <c r="I619" s="1" t="s">
        <v>49</v>
      </c>
      <c r="J619" s="23" t="s">
        <v>50</v>
      </c>
      <c r="K619" s="2" t="s">
        <v>51</v>
      </c>
      <c r="L619" s="1">
        <v>432</v>
      </c>
      <c r="M619" s="1">
        <v>45</v>
      </c>
      <c r="N619" s="1" t="str">
        <f t="shared" si="48"/>
        <v>Published</v>
      </c>
      <c r="O619" s="1">
        <f t="shared" si="46"/>
        <v>194.4</v>
      </c>
      <c r="P619" s="1">
        <v>8</v>
      </c>
      <c r="Q619" s="1">
        <v>862</v>
      </c>
      <c r="R619" s="1" t="str">
        <f t="shared" si="49"/>
        <v>1</v>
      </c>
      <c r="S619" s="1">
        <v>139</v>
      </c>
      <c r="T619" s="1" t="str">
        <f t="shared" si="47"/>
        <v>3</v>
      </c>
      <c r="U619" s="1">
        <v>-29.466194000000002</v>
      </c>
      <c r="V619" s="3">
        <v>149.83756399999999</v>
      </c>
    </row>
    <row r="620" spans="1:22" x14ac:dyDescent="0.35">
      <c r="A620" s="22" t="s">
        <v>1999</v>
      </c>
      <c r="B620" s="1" t="s">
        <v>2000</v>
      </c>
      <c r="C620" s="1" t="s">
        <v>2001</v>
      </c>
      <c r="D620" s="1" t="s">
        <v>191</v>
      </c>
      <c r="E620" s="1" t="s">
        <v>75</v>
      </c>
      <c r="F620" s="1" t="s">
        <v>47</v>
      </c>
      <c r="G620" s="1">
        <f t="shared" si="45"/>
        <v>1</v>
      </c>
      <c r="H620" s="1" t="s">
        <v>63</v>
      </c>
      <c r="I620" s="1" t="s">
        <v>49</v>
      </c>
      <c r="J620" s="23" t="s">
        <v>50</v>
      </c>
      <c r="K620" s="2" t="s">
        <v>51</v>
      </c>
      <c r="L620" s="1">
        <v>156</v>
      </c>
      <c r="M620" s="1">
        <v>29</v>
      </c>
      <c r="N620" s="1" t="str">
        <f t="shared" si="48"/>
        <v>Published</v>
      </c>
      <c r="O620" s="1">
        <f t="shared" si="46"/>
        <v>45.239999999999995</v>
      </c>
      <c r="P620" s="1">
        <v>14</v>
      </c>
      <c r="Q620" s="1">
        <v>919</v>
      </c>
      <c r="R620" s="1" t="str">
        <f t="shared" si="49"/>
        <v>2</v>
      </c>
      <c r="S620" s="1">
        <v>122</v>
      </c>
      <c r="T620" s="1" t="str">
        <f t="shared" si="47"/>
        <v>2</v>
      </c>
      <c r="U620" s="1">
        <v>-33.103543000000002</v>
      </c>
      <c r="V620" s="3">
        <v>151.48958300000001</v>
      </c>
    </row>
    <row r="621" spans="1:22" x14ac:dyDescent="0.35">
      <c r="A621" s="22" t="s">
        <v>2002</v>
      </c>
      <c r="B621" s="1" t="s">
        <v>2003</v>
      </c>
      <c r="C621" s="1" t="s">
        <v>2004</v>
      </c>
      <c r="D621" s="1" t="s">
        <v>489</v>
      </c>
      <c r="E621" s="1" t="s">
        <v>56</v>
      </c>
      <c r="F621" s="1" t="s">
        <v>47</v>
      </c>
      <c r="G621" s="1">
        <f t="shared" si="45"/>
        <v>1</v>
      </c>
      <c r="H621" s="1" t="s">
        <v>58</v>
      </c>
      <c r="I621" s="1" t="s">
        <v>49</v>
      </c>
      <c r="J621" s="23" t="s">
        <v>50</v>
      </c>
      <c r="K621" s="2" t="s">
        <v>51</v>
      </c>
      <c r="L621" s="1">
        <v>262</v>
      </c>
      <c r="M621" s="1">
        <v>16</v>
      </c>
      <c r="N621" s="1" t="str">
        <f t="shared" si="48"/>
        <v>Published</v>
      </c>
      <c r="O621" s="1">
        <f t="shared" si="46"/>
        <v>41.92</v>
      </c>
      <c r="P621" s="1">
        <v>13</v>
      </c>
      <c r="Q621" s="1">
        <v>1023</v>
      </c>
      <c r="R621" s="1" t="str">
        <f t="shared" si="49"/>
        <v>3</v>
      </c>
      <c r="S621" s="1">
        <v>64</v>
      </c>
      <c r="T621" s="1" t="str">
        <f t="shared" si="47"/>
        <v>2</v>
      </c>
      <c r="U621" s="1">
        <v>-32.725662999999997</v>
      </c>
      <c r="V621" s="3">
        <v>151.63212799999999</v>
      </c>
    </row>
    <row r="622" spans="1:22" x14ac:dyDescent="0.35">
      <c r="A622" s="22" t="s">
        <v>2005</v>
      </c>
      <c r="B622" s="1" t="s">
        <v>2006</v>
      </c>
      <c r="C622" s="1" t="s">
        <v>2007</v>
      </c>
      <c r="D622" s="1" t="s">
        <v>386</v>
      </c>
      <c r="E622" s="1" t="s">
        <v>229</v>
      </c>
      <c r="F622" s="1" t="s">
        <v>47</v>
      </c>
      <c r="G622" s="1">
        <f t="shared" si="45"/>
        <v>1</v>
      </c>
      <c r="H622" s="1" t="s">
        <v>48</v>
      </c>
      <c r="I622" s="1" t="s">
        <v>49</v>
      </c>
      <c r="J622" s="23" t="s">
        <v>50</v>
      </c>
      <c r="K622" s="2" t="s">
        <v>51</v>
      </c>
      <c r="L622" s="1">
        <v>350</v>
      </c>
      <c r="M622" s="1"/>
      <c r="N622" s="1" t="str">
        <f t="shared" si="48"/>
        <v>Suppressed</v>
      </c>
      <c r="O622" s="1" t="str">
        <f t="shared" si="46"/>
        <v/>
      </c>
      <c r="P622" s="1">
        <v>58</v>
      </c>
      <c r="Q622" s="1">
        <v>1096</v>
      </c>
      <c r="R622" s="1" t="str">
        <f t="shared" si="49"/>
        <v>3</v>
      </c>
      <c r="S622" s="1">
        <v>39</v>
      </c>
      <c r="T622" s="1" t="str">
        <f t="shared" si="47"/>
        <v>3</v>
      </c>
      <c r="U622" s="1">
        <v>-33.972901</v>
      </c>
      <c r="V622" s="3">
        <v>151.080995</v>
      </c>
    </row>
    <row r="623" spans="1:22" x14ac:dyDescent="0.35">
      <c r="A623" s="22" t="s">
        <v>2008</v>
      </c>
      <c r="B623" s="1" t="s">
        <v>2009</v>
      </c>
      <c r="C623" s="1" t="s">
        <v>853</v>
      </c>
      <c r="D623" s="1" t="s">
        <v>45</v>
      </c>
      <c r="E623" s="1" t="s">
        <v>46</v>
      </c>
      <c r="F623" s="1" t="s">
        <v>47</v>
      </c>
      <c r="G623" s="1">
        <f t="shared" si="45"/>
        <v>1</v>
      </c>
      <c r="H623" s="1" t="s">
        <v>48</v>
      </c>
      <c r="I623" s="1" t="s">
        <v>49</v>
      </c>
      <c r="J623" s="23" t="s">
        <v>50</v>
      </c>
      <c r="K623" s="2" t="s">
        <v>51</v>
      </c>
      <c r="L623" s="1">
        <v>261</v>
      </c>
      <c r="M623" s="1">
        <v>2</v>
      </c>
      <c r="N623" s="1" t="str">
        <f t="shared" si="48"/>
        <v>Published</v>
      </c>
      <c r="O623" s="1">
        <f t="shared" si="46"/>
        <v>5.22</v>
      </c>
      <c r="P623" s="1">
        <v>54</v>
      </c>
      <c r="Q623" s="1">
        <v>1081</v>
      </c>
      <c r="R623" s="1" t="str">
        <f t="shared" si="49"/>
        <v>3</v>
      </c>
      <c r="S623" s="1">
        <v>48</v>
      </c>
      <c r="T623" s="1" t="str">
        <f t="shared" si="47"/>
        <v>2</v>
      </c>
      <c r="U623" s="1">
        <v>-33.849829</v>
      </c>
      <c r="V623" s="3">
        <v>151.10386099999999</v>
      </c>
    </row>
    <row r="624" spans="1:22" x14ac:dyDescent="0.35">
      <c r="A624" s="22" t="s">
        <v>2010</v>
      </c>
      <c r="B624" s="1" t="s">
        <v>2011</v>
      </c>
      <c r="C624" s="1" t="s">
        <v>2012</v>
      </c>
      <c r="D624" s="1" t="s">
        <v>288</v>
      </c>
      <c r="E624" s="1" t="s">
        <v>68</v>
      </c>
      <c r="F624" s="1" t="s">
        <v>57</v>
      </c>
      <c r="G624" s="1">
        <f t="shared" si="45"/>
        <v>2</v>
      </c>
      <c r="H624" s="1" t="s">
        <v>86</v>
      </c>
      <c r="I624" s="1" t="s">
        <v>49</v>
      </c>
      <c r="J624" s="23" t="s">
        <v>50</v>
      </c>
      <c r="K624" s="2" t="s">
        <v>51</v>
      </c>
      <c r="L624" s="1">
        <v>326</v>
      </c>
      <c r="M624" s="1">
        <v>23</v>
      </c>
      <c r="N624" s="1" t="str">
        <f t="shared" si="48"/>
        <v>Published</v>
      </c>
      <c r="O624" s="1">
        <f t="shared" si="46"/>
        <v>74.98</v>
      </c>
      <c r="P624" s="1">
        <v>9</v>
      </c>
      <c r="Q624" s="1">
        <v>943</v>
      </c>
      <c r="R624" s="1" t="str">
        <f t="shared" si="49"/>
        <v>2</v>
      </c>
      <c r="S624" s="1">
        <v>120</v>
      </c>
      <c r="T624" s="1" t="str">
        <f t="shared" si="47"/>
        <v>3</v>
      </c>
      <c r="U624" s="1">
        <v>-35.912616</v>
      </c>
      <c r="V624" s="3">
        <v>150.07645299999999</v>
      </c>
    </row>
    <row r="625" spans="1:22" x14ac:dyDescent="0.35">
      <c r="A625" s="22" t="s">
        <v>2013</v>
      </c>
      <c r="B625" s="1" t="s">
        <v>2014</v>
      </c>
      <c r="C625" s="1" t="s">
        <v>2015</v>
      </c>
      <c r="D625" s="1" t="s">
        <v>195</v>
      </c>
      <c r="E625" s="1" t="s">
        <v>196</v>
      </c>
      <c r="F625" s="1" t="s">
        <v>57</v>
      </c>
      <c r="G625" s="1">
        <f t="shared" si="45"/>
        <v>2</v>
      </c>
      <c r="H625" s="1" t="s">
        <v>86</v>
      </c>
      <c r="I625" s="1" t="s">
        <v>49</v>
      </c>
      <c r="J625" s="23" t="s">
        <v>50</v>
      </c>
      <c r="K625" s="2" t="s">
        <v>51</v>
      </c>
      <c r="L625" s="1">
        <v>442</v>
      </c>
      <c r="M625" s="1">
        <v>11</v>
      </c>
      <c r="N625" s="1" t="str">
        <f t="shared" si="48"/>
        <v>Published</v>
      </c>
      <c r="O625" s="1">
        <f t="shared" si="46"/>
        <v>48.62</v>
      </c>
      <c r="P625" s="1">
        <v>15</v>
      </c>
      <c r="Q625" s="1">
        <v>985</v>
      </c>
      <c r="R625" s="1" t="str">
        <f t="shared" si="49"/>
        <v>2</v>
      </c>
      <c r="S625" s="1">
        <v>92</v>
      </c>
      <c r="T625" s="1" t="str">
        <f t="shared" si="47"/>
        <v>3</v>
      </c>
      <c r="U625" s="1">
        <v>-34.550638999999997</v>
      </c>
      <c r="V625" s="3">
        <v>150.366434</v>
      </c>
    </row>
    <row r="626" spans="1:22" x14ac:dyDescent="0.35">
      <c r="A626" s="22" t="s">
        <v>2016</v>
      </c>
      <c r="B626" s="1" t="s">
        <v>2017</v>
      </c>
      <c r="C626" s="1" t="s">
        <v>2018</v>
      </c>
      <c r="D626" s="1" t="s">
        <v>252</v>
      </c>
      <c r="E626" s="1" t="s">
        <v>96</v>
      </c>
      <c r="F626" s="1" t="s">
        <v>69</v>
      </c>
      <c r="G626" s="1">
        <f t="shared" si="45"/>
        <v>3</v>
      </c>
      <c r="H626" s="1" t="s">
        <v>70</v>
      </c>
      <c r="I626" s="1" t="s">
        <v>49</v>
      </c>
      <c r="J626" s="23" t="s">
        <v>50</v>
      </c>
      <c r="K626" s="2" t="s">
        <v>51</v>
      </c>
      <c r="L626" s="1">
        <v>61</v>
      </c>
      <c r="M626" s="1"/>
      <c r="N626" s="1" t="str">
        <f t="shared" si="48"/>
        <v>Suppressed</v>
      </c>
      <c r="O626" s="1" t="str">
        <f t="shared" si="46"/>
        <v/>
      </c>
      <c r="P626" s="1">
        <v>18</v>
      </c>
      <c r="Q626" s="1">
        <v>965</v>
      </c>
      <c r="R626" s="1" t="str">
        <f t="shared" si="49"/>
        <v>2</v>
      </c>
      <c r="S626" s="1">
        <v>93</v>
      </c>
      <c r="T626" s="1" t="str">
        <f t="shared" si="47"/>
        <v>1</v>
      </c>
      <c r="U626" s="1">
        <v>-35.089269999999999</v>
      </c>
      <c r="V626" s="3">
        <v>144.032816</v>
      </c>
    </row>
    <row r="627" spans="1:22" x14ac:dyDescent="0.35">
      <c r="A627" s="22" t="s">
        <v>2019</v>
      </c>
      <c r="B627" s="1" t="s">
        <v>2020</v>
      </c>
      <c r="C627" s="1" t="s">
        <v>2021</v>
      </c>
      <c r="D627" s="1" t="s">
        <v>275</v>
      </c>
      <c r="E627" s="1" t="s">
        <v>276</v>
      </c>
      <c r="F627" s="1" t="s">
        <v>57</v>
      </c>
      <c r="G627" s="1">
        <f t="shared" si="45"/>
        <v>2</v>
      </c>
      <c r="H627" s="1" t="s">
        <v>58</v>
      </c>
      <c r="I627" s="1" t="s">
        <v>49</v>
      </c>
      <c r="J627" s="23" t="s">
        <v>50</v>
      </c>
      <c r="K627" s="2" t="s">
        <v>51</v>
      </c>
      <c r="L627" s="1">
        <v>23</v>
      </c>
      <c r="M627" s="1">
        <v>26</v>
      </c>
      <c r="N627" s="1" t="str">
        <f t="shared" si="48"/>
        <v>Published</v>
      </c>
      <c r="O627" s="1">
        <f t="shared" si="46"/>
        <v>5.98</v>
      </c>
      <c r="P627" s="1"/>
      <c r="Q627" s="1">
        <v>932</v>
      </c>
      <c r="R627" s="1" t="str">
        <f t="shared" si="49"/>
        <v>2</v>
      </c>
      <c r="S627" s="1">
        <v>135</v>
      </c>
      <c r="T627" s="1" t="str">
        <f t="shared" si="47"/>
        <v>1</v>
      </c>
      <c r="U627" s="1">
        <v>-31.880981999999999</v>
      </c>
      <c r="V627" s="3">
        <v>152.179633</v>
      </c>
    </row>
    <row r="628" spans="1:22" x14ac:dyDescent="0.35">
      <c r="A628" s="22" t="s">
        <v>2022</v>
      </c>
      <c r="B628" s="1" t="s">
        <v>2023</v>
      </c>
      <c r="C628" s="1" t="s">
        <v>678</v>
      </c>
      <c r="D628" s="1" t="s">
        <v>121</v>
      </c>
      <c r="E628" s="1" t="s">
        <v>122</v>
      </c>
      <c r="F628" s="1" t="s">
        <v>57</v>
      </c>
      <c r="G628" s="1">
        <f t="shared" si="45"/>
        <v>2</v>
      </c>
      <c r="H628" s="1" t="s">
        <v>86</v>
      </c>
      <c r="I628" s="1" t="s">
        <v>49</v>
      </c>
      <c r="J628" s="23" t="s">
        <v>50</v>
      </c>
      <c r="K628" s="2" t="s">
        <v>51</v>
      </c>
      <c r="L628" s="1">
        <v>32</v>
      </c>
      <c r="M628" s="1">
        <v>0</v>
      </c>
      <c r="N628" s="1" t="str">
        <f t="shared" si="48"/>
        <v>Published</v>
      </c>
      <c r="O628" s="1">
        <f t="shared" si="46"/>
        <v>0</v>
      </c>
      <c r="P628" s="1">
        <v>20</v>
      </c>
      <c r="Q628" s="1">
        <v>1054</v>
      </c>
      <c r="R628" s="1" t="str">
        <f t="shared" si="49"/>
        <v>3</v>
      </c>
      <c r="S628" s="1">
        <v>90</v>
      </c>
      <c r="T628" s="1" t="str">
        <f t="shared" si="47"/>
        <v>1</v>
      </c>
      <c r="U628" s="1">
        <v>-34.071770000000001</v>
      </c>
      <c r="V628" s="3">
        <v>150.63642999999999</v>
      </c>
    </row>
    <row r="629" spans="1:22" x14ac:dyDescent="0.35">
      <c r="A629" s="22" t="s">
        <v>2024</v>
      </c>
      <c r="B629" s="1" t="s">
        <v>2025</v>
      </c>
      <c r="C629" s="1" t="s">
        <v>2026</v>
      </c>
      <c r="D629" s="1" t="s">
        <v>111</v>
      </c>
      <c r="E629" s="1" t="s">
        <v>56</v>
      </c>
      <c r="F629" s="1" t="s">
        <v>57</v>
      </c>
      <c r="G629" s="1">
        <f t="shared" si="45"/>
        <v>2</v>
      </c>
      <c r="H629" s="1" t="s">
        <v>58</v>
      </c>
      <c r="I629" s="1" t="s">
        <v>49</v>
      </c>
      <c r="J629" s="23" t="s">
        <v>50</v>
      </c>
      <c r="K629" s="2" t="s">
        <v>51</v>
      </c>
      <c r="L629" s="1">
        <v>38</v>
      </c>
      <c r="M629" s="1">
        <v>34</v>
      </c>
      <c r="N629" s="1" t="str">
        <f t="shared" si="48"/>
        <v>Published</v>
      </c>
      <c r="O629" s="1">
        <f t="shared" si="46"/>
        <v>12.920000000000002</v>
      </c>
      <c r="P629" s="1"/>
      <c r="Q629" s="1">
        <v>888</v>
      </c>
      <c r="R629" s="1" t="str">
        <f t="shared" si="49"/>
        <v>1</v>
      </c>
      <c r="S629" s="1">
        <v>139</v>
      </c>
      <c r="T629" s="1" t="str">
        <f t="shared" si="47"/>
        <v>1</v>
      </c>
      <c r="U629" s="1">
        <v>-32.724187000000001</v>
      </c>
      <c r="V629" s="3">
        <v>151.69914600000001</v>
      </c>
    </row>
    <row r="630" spans="1:22" x14ac:dyDescent="0.35">
      <c r="A630" s="22" t="s">
        <v>2027</v>
      </c>
      <c r="B630" s="1" t="s">
        <v>2028</v>
      </c>
      <c r="C630" s="1" t="s">
        <v>2029</v>
      </c>
      <c r="D630" s="1" t="s">
        <v>176</v>
      </c>
      <c r="E630" s="1" t="s">
        <v>85</v>
      </c>
      <c r="F630" s="1" t="s">
        <v>47</v>
      </c>
      <c r="G630" s="1">
        <f t="shared" si="45"/>
        <v>1</v>
      </c>
      <c r="H630" s="1" t="s">
        <v>86</v>
      </c>
      <c r="I630" s="1" t="s">
        <v>49</v>
      </c>
      <c r="J630" s="23" t="s">
        <v>50</v>
      </c>
      <c r="K630" s="2" t="s">
        <v>51</v>
      </c>
      <c r="L630" s="1">
        <v>91</v>
      </c>
      <c r="M630" s="1"/>
      <c r="N630" s="1" t="str">
        <f t="shared" si="48"/>
        <v>Suppressed</v>
      </c>
      <c r="O630" s="1" t="str">
        <f t="shared" si="46"/>
        <v/>
      </c>
      <c r="P630" s="1">
        <v>18</v>
      </c>
      <c r="Q630" s="1">
        <v>1072</v>
      </c>
      <c r="R630" s="1" t="str">
        <f t="shared" si="49"/>
        <v>3</v>
      </c>
      <c r="S630" s="1">
        <v>53</v>
      </c>
      <c r="T630" s="1" t="str">
        <f t="shared" si="47"/>
        <v>1</v>
      </c>
      <c r="U630" s="1">
        <v>-34.411383000000001</v>
      </c>
      <c r="V630" s="3">
        <v>150.856224</v>
      </c>
    </row>
    <row r="631" spans="1:22" x14ac:dyDescent="0.35">
      <c r="A631" s="22" t="s">
        <v>2030</v>
      </c>
      <c r="B631" s="1" t="s">
        <v>2031</v>
      </c>
      <c r="C631" s="1" t="s">
        <v>2032</v>
      </c>
      <c r="D631" s="1" t="s">
        <v>176</v>
      </c>
      <c r="E631" s="1" t="s">
        <v>85</v>
      </c>
      <c r="F631" s="1" t="s">
        <v>47</v>
      </c>
      <c r="G631" s="1">
        <f t="shared" si="45"/>
        <v>1</v>
      </c>
      <c r="H631" s="1" t="s">
        <v>86</v>
      </c>
      <c r="I631" s="1" t="s">
        <v>49</v>
      </c>
      <c r="J631" s="23" t="s">
        <v>50</v>
      </c>
      <c r="K631" s="2" t="s">
        <v>51</v>
      </c>
      <c r="L631" s="1">
        <v>159</v>
      </c>
      <c r="M631" s="1">
        <v>7</v>
      </c>
      <c r="N631" s="1" t="str">
        <f t="shared" si="48"/>
        <v>Published</v>
      </c>
      <c r="O631" s="1">
        <f t="shared" si="46"/>
        <v>11.13</v>
      </c>
      <c r="P631" s="1">
        <v>10</v>
      </c>
      <c r="Q631" s="1">
        <v>1050</v>
      </c>
      <c r="R631" s="1" t="str">
        <f t="shared" si="49"/>
        <v>3</v>
      </c>
      <c r="S631" s="1">
        <v>64</v>
      </c>
      <c r="T631" s="1" t="str">
        <f t="shared" si="47"/>
        <v>2</v>
      </c>
      <c r="U631" s="1">
        <v>-34.432398999999997</v>
      </c>
      <c r="V631" s="3">
        <v>150.817114</v>
      </c>
    </row>
    <row r="632" spans="1:22" x14ac:dyDescent="0.35">
      <c r="A632" s="22" t="s">
        <v>2033</v>
      </c>
      <c r="B632" s="1" t="s">
        <v>2034</v>
      </c>
      <c r="C632" s="1" t="s">
        <v>2035</v>
      </c>
      <c r="D632" s="1" t="s">
        <v>595</v>
      </c>
      <c r="E632" s="1" t="s">
        <v>56</v>
      </c>
      <c r="F632" s="1" t="s">
        <v>57</v>
      </c>
      <c r="G632" s="1">
        <f t="shared" si="45"/>
        <v>2</v>
      </c>
      <c r="H632" s="1" t="s">
        <v>58</v>
      </c>
      <c r="I632" s="1" t="s">
        <v>49</v>
      </c>
      <c r="J632" s="23" t="s">
        <v>50</v>
      </c>
      <c r="K632" s="2" t="s">
        <v>51</v>
      </c>
      <c r="L632" s="1">
        <v>56</v>
      </c>
      <c r="M632" s="1">
        <v>32</v>
      </c>
      <c r="N632" s="1" t="str">
        <f t="shared" si="48"/>
        <v>Published</v>
      </c>
      <c r="O632" s="1">
        <f t="shared" si="46"/>
        <v>17.920000000000002</v>
      </c>
      <c r="P632" s="1">
        <v>0</v>
      </c>
      <c r="Q632" s="1">
        <v>910</v>
      </c>
      <c r="R632" s="1" t="str">
        <f t="shared" si="49"/>
        <v>2</v>
      </c>
      <c r="S632" s="1">
        <v>119</v>
      </c>
      <c r="T632" s="1" t="str">
        <f t="shared" si="47"/>
        <v>1</v>
      </c>
      <c r="U632" s="1">
        <v>-32.408482999999997</v>
      </c>
      <c r="V632" s="3">
        <v>151.18878100000001</v>
      </c>
    </row>
    <row r="633" spans="1:22" x14ac:dyDescent="0.35">
      <c r="A633" s="22" t="s">
        <v>2036</v>
      </c>
      <c r="B633" s="1" t="s">
        <v>2037</v>
      </c>
      <c r="C633" s="1" t="s">
        <v>2038</v>
      </c>
      <c r="D633" s="1" t="s">
        <v>537</v>
      </c>
      <c r="E633" s="1" t="s">
        <v>181</v>
      </c>
      <c r="F633" s="1" t="s">
        <v>47</v>
      </c>
      <c r="G633" s="1">
        <f t="shared" si="45"/>
        <v>1</v>
      </c>
      <c r="H633" s="1" t="s">
        <v>182</v>
      </c>
      <c r="I633" s="1" t="s">
        <v>49</v>
      </c>
      <c r="J633" s="23" t="s">
        <v>50</v>
      </c>
      <c r="K633" s="2" t="s">
        <v>51</v>
      </c>
      <c r="L633" s="1">
        <v>368</v>
      </c>
      <c r="M633" s="1">
        <v>2</v>
      </c>
      <c r="N633" s="1" t="str">
        <f t="shared" si="48"/>
        <v>Published</v>
      </c>
      <c r="O633" s="1">
        <f t="shared" si="46"/>
        <v>7.36</v>
      </c>
      <c r="P633" s="1">
        <v>77</v>
      </c>
      <c r="Q633" s="1">
        <v>951</v>
      </c>
      <c r="R633" s="1" t="str">
        <f t="shared" si="49"/>
        <v>2</v>
      </c>
      <c r="S633" s="1">
        <v>150</v>
      </c>
      <c r="T633" s="1" t="str">
        <f t="shared" si="47"/>
        <v>3</v>
      </c>
      <c r="U633" s="1">
        <v>-33.899844999999999</v>
      </c>
      <c r="V633" s="3">
        <v>150.90000699999999</v>
      </c>
    </row>
    <row r="634" spans="1:22" x14ac:dyDescent="0.35">
      <c r="A634" s="22" t="s">
        <v>2039</v>
      </c>
      <c r="B634" s="1" t="s">
        <v>2040</v>
      </c>
      <c r="C634" s="1" t="s">
        <v>2041</v>
      </c>
      <c r="D634" s="1" t="s">
        <v>428</v>
      </c>
      <c r="E634" s="1" t="s">
        <v>429</v>
      </c>
      <c r="F634" s="1" t="s">
        <v>57</v>
      </c>
      <c r="G634" s="1">
        <f t="shared" si="45"/>
        <v>2</v>
      </c>
      <c r="H634" s="1" t="s">
        <v>63</v>
      </c>
      <c r="I634" s="1" t="s">
        <v>49</v>
      </c>
      <c r="J634" s="23" t="s">
        <v>50</v>
      </c>
      <c r="K634" s="2" t="s">
        <v>51</v>
      </c>
      <c r="L634" s="1">
        <v>56</v>
      </c>
      <c r="M634" s="1">
        <v>0</v>
      </c>
      <c r="N634" s="1" t="str">
        <f t="shared" si="48"/>
        <v>Published</v>
      </c>
      <c r="O634" s="1">
        <f t="shared" si="46"/>
        <v>0</v>
      </c>
      <c r="P634" s="1">
        <v>10</v>
      </c>
      <c r="Q634" s="1">
        <v>1039</v>
      </c>
      <c r="R634" s="1" t="str">
        <f t="shared" si="49"/>
        <v>3</v>
      </c>
      <c r="S634" s="1">
        <v>82</v>
      </c>
      <c r="T634" s="1" t="str">
        <f t="shared" si="47"/>
        <v>1</v>
      </c>
      <c r="U634" s="1">
        <v>-33.591334000000003</v>
      </c>
      <c r="V634" s="3">
        <v>150.253883</v>
      </c>
    </row>
    <row r="635" spans="1:22" x14ac:dyDescent="0.35">
      <c r="A635" s="22" t="s">
        <v>2042</v>
      </c>
      <c r="B635" s="1" t="s">
        <v>2043</v>
      </c>
      <c r="C635" s="1" t="s">
        <v>2044</v>
      </c>
      <c r="D635" s="1" t="s">
        <v>1399</v>
      </c>
      <c r="E635" s="1" t="s">
        <v>261</v>
      </c>
      <c r="F635" s="1" t="s">
        <v>57</v>
      </c>
      <c r="G635" s="1">
        <f t="shared" si="45"/>
        <v>2</v>
      </c>
      <c r="H635" s="1" t="s">
        <v>58</v>
      </c>
      <c r="I635" s="1" t="s">
        <v>49</v>
      </c>
      <c r="J635" s="23" t="s">
        <v>50</v>
      </c>
      <c r="K635" s="2" t="s">
        <v>51</v>
      </c>
      <c r="L635" s="1">
        <v>539</v>
      </c>
      <c r="M635" s="1">
        <v>23</v>
      </c>
      <c r="N635" s="1" t="str">
        <f t="shared" si="48"/>
        <v>Published</v>
      </c>
      <c r="O635" s="1">
        <f t="shared" si="46"/>
        <v>123.97</v>
      </c>
      <c r="P635" s="1">
        <v>5</v>
      </c>
      <c r="Q635" s="1">
        <v>925</v>
      </c>
      <c r="R635" s="1" t="str">
        <f t="shared" si="49"/>
        <v>2</v>
      </c>
      <c r="S635" s="1">
        <v>119</v>
      </c>
      <c r="T635" s="1" t="str">
        <f t="shared" si="47"/>
        <v>3</v>
      </c>
      <c r="U635" s="1">
        <v>-32.595939999999999</v>
      </c>
      <c r="V635" s="3">
        <v>149.58396400000001</v>
      </c>
    </row>
    <row r="636" spans="1:22" x14ac:dyDescent="0.35">
      <c r="A636" s="22" t="s">
        <v>2045</v>
      </c>
      <c r="B636" s="1" t="s">
        <v>2046</v>
      </c>
      <c r="C636" s="1" t="s">
        <v>2047</v>
      </c>
      <c r="D636" s="1" t="s">
        <v>62</v>
      </c>
      <c r="E636" s="1" t="s">
        <v>56</v>
      </c>
      <c r="F636" s="1" t="s">
        <v>57</v>
      </c>
      <c r="G636" s="1">
        <f t="shared" si="45"/>
        <v>2</v>
      </c>
      <c r="H636" s="1" t="s">
        <v>63</v>
      </c>
      <c r="I636" s="1" t="s">
        <v>49</v>
      </c>
      <c r="J636" s="23" t="s">
        <v>50</v>
      </c>
      <c r="K636" s="2" t="s">
        <v>51</v>
      </c>
      <c r="L636" s="1">
        <v>56</v>
      </c>
      <c r="M636" s="1">
        <v>14</v>
      </c>
      <c r="N636" s="1" t="str">
        <f t="shared" si="48"/>
        <v>Published</v>
      </c>
      <c r="O636" s="1">
        <f t="shared" si="46"/>
        <v>7.8400000000000007</v>
      </c>
      <c r="P636" s="1"/>
      <c r="Q636" s="1">
        <v>954</v>
      </c>
      <c r="R636" s="1" t="str">
        <f t="shared" si="49"/>
        <v>2</v>
      </c>
      <c r="S636" s="1">
        <v>136</v>
      </c>
      <c r="T636" s="1" t="str">
        <f t="shared" si="47"/>
        <v>1</v>
      </c>
      <c r="U636" s="1">
        <v>-32.901304000000003</v>
      </c>
      <c r="V636" s="3">
        <v>151.47856300000001</v>
      </c>
    </row>
    <row r="637" spans="1:22" x14ac:dyDescent="0.35">
      <c r="A637" s="22" t="s">
        <v>2048</v>
      </c>
      <c r="B637" s="1" t="s">
        <v>2049</v>
      </c>
      <c r="C637" s="1" t="s">
        <v>2050</v>
      </c>
      <c r="D637" s="1" t="s">
        <v>1131</v>
      </c>
      <c r="E637" s="1" t="s">
        <v>429</v>
      </c>
      <c r="F637" s="1" t="s">
        <v>57</v>
      </c>
      <c r="G637" s="1">
        <f t="shared" si="45"/>
        <v>2</v>
      </c>
      <c r="H637" s="1" t="s">
        <v>86</v>
      </c>
      <c r="I637" s="1" t="s">
        <v>49</v>
      </c>
      <c r="J637" s="23" t="s">
        <v>50</v>
      </c>
      <c r="K637" s="2" t="s">
        <v>51</v>
      </c>
      <c r="L637" s="1">
        <v>103</v>
      </c>
      <c r="M637" s="1">
        <v>7</v>
      </c>
      <c r="N637" s="1" t="str">
        <f t="shared" si="48"/>
        <v>Published</v>
      </c>
      <c r="O637" s="1">
        <f t="shared" si="46"/>
        <v>7.2100000000000009</v>
      </c>
      <c r="P637" s="1">
        <v>16</v>
      </c>
      <c r="Q637" s="1">
        <v>980</v>
      </c>
      <c r="R637" s="1" t="str">
        <f t="shared" si="49"/>
        <v>2</v>
      </c>
      <c r="S637" s="1">
        <v>97</v>
      </c>
      <c r="T637" s="1" t="str">
        <f t="shared" si="47"/>
        <v>2</v>
      </c>
      <c r="U637" s="1">
        <v>-33.836505000000002</v>
      </c>
      <c r="V637" s="3">
        <v>150.65034399999999</v>
      </c>
    </row>
    <row r="638" spans="1:22" x14ac:dyDescent="0.35">
      <c r="A638" s="22" t="s">
        <v>2051</v>
      </c>
      <c r="B638" s="1" t="s">
        <v>2052</v>
      </c>
      <c r="C638" s="1" t="s">
        <v>2053</v>
      </c>
      <c r="D638" s="1" t="s">
        <v>751</v>
      </c>
      <c r="E638" s="1" t="s">
        <v>91</v>
      </c>
      <c r="F638" s="1" t="s">
        <v>69</v>
      </c>
      <c r="G638" s="1">
        <f t="shared" si="45"/>
        <v>3</v>
      </c>
      <c r="H638" s="1" t="s">
        <v>92</v>
      </c>
      <c r="I638" s="1" t="s">
        <v>49</v>
      </c>
      <c r="J638" s="23" t="s">
        <v>50</v>
      </c>
      <c r="K638" s="2" t="s">
        <v>51</v>
      </c>
      <c r="L638" s="1">
        <v>28</v>
      </c>
      <c r="M638" s="1"/>
      <c r="N638" s="1" t="str">
        <f t="shared" si="48"/>
        <v>Suppressed</v>
      </c>
      <c r="O638" s="1" t="str">
        <f t="shared" si="46"/>
        <v/>
      </c>
      <c r="P638" s="1"/>
      <c r="Q638" s="1">
        <v>922</v>
      </c>
      <c r="R638" s="1" t="str">
        <f t="shared" si="49"/>
        <v>2</v>
      </c>
      <c r="S638" s="1">
        <v>101</v>
      </c>
      <c r="T638" s="1" t="str">
        <f t="shared" si="47"/>
        <v>1</v>
      </c>
      <c r="U638" s="1">
        <v>-31.098656999999999</v>
      </c>
      <c r="V638" s="3">
        <v>149.906668</v>
      </c>
    </row>
    <row r="639" spans="1:22" x14ac:dyDescent="0.35">
      <c r="A639" s="22" t="s">
        <v>2054</v>
      </c>
      <c r="B639" s="1" t="s">
        <v>2055</v>
      </c>
      <c r="C639" s="1" t="s">
        <v>2056</v>
      </c>
      <c r="D639" s="1" t="s">
        <v>730</v>
      </c>
      <c r="E639" s="1" t="s">
        <v>261</v>
      </c>
      <c r="F639" s="1" t="s">
        <v>57</v>
      </c>
      <c r="G639" s="1">
        <f t="shared" si="45"/>
        <v>2</v>
      </c>
      <c r="H639" s="1" t="s">
        <v>70</v>
      </c>
      <c r="I639" s="1" t="s">
        <v>49</v>
      </c>
      <c r="J639" s="23" t="s">
        <v>50</v>
      </c>
      <c r="K639" s="2" t="s">
        <v>51</v>
      </c>
      <c r="L639" s="1">
        <v>67</v>
      </c>
      <c r="M639" s="1"/>
      <c r="N639" s="1" t="str">
        <f t="shared" si="48"/>
        <v>Suppressed</v>
      </c>
      <c r="O639" s="1" t="str">
        <f t="shared" si="46"/>
        <v/>
      </c>
      <c r="P639" s="1"/>
      <c r="Q639" s="1">
        <v>1009</v>
      </c>
      <c r="R639" s="1" t="str">
        <f t="shared" si="49"/>
        <v>3</v>
      </c>
      <c r="S639" s="1">
        <v>85</v>
      </c>
      <c r="T639" s="1" t="str">
        <f t="shared" si="47"/>
        <v>1</v>
      </c>
      <c r="U639" s="1">
        <v>-33.139031000000003</v>
      </c>
      <c r="V639" s="3">
        <v>149.12050099999999</v>
      </c>
    </row>
    <row r="640" spans="1:22" x14ac:dyDescent="0.35">
      <c r="A640" s="22" t="s">
        <v>2057</v>
      </c>
      <c r="B640" s="1" t="s">
        <v>2058</v>
      </c>
      <c r="C640" s="1" t="s">
        <v>2059</v>
      </c>
      <c r="D640" s="1" t="s">
        <v>220</v>
      </c>
      <c r="E640" s="1" t="s">
        <v>107</v>
      </c>
      <c r="F640" s="1" t="s">
        <v>57</v>
      </c>
      <c r="G640" s="1">
        <f t="shared" si="45"/>
        <v>2</v>
      </c>
      <c r="H640" s="1" t="s">
        <v>92</v>
      </c>
      <c r="I640" s="1" t="s">
        <v>49</v>
      </c>
      <c r="J640" s="23" t="s">
        <v>50</v>
      </c>
      <c r="K640" s="2" t="s">
        <v>51</v>
      </c>
      <c r="L640" s="1">
        <v>217</v>
      </c>
      <c r="M640" s="1">
        <v>7</v>
      </c>
      <c r="N640" s="1" t="str">
        <f t="shared" si="48"/>
        <v>Published</v>
      </c>
      <c r="O640" s="1">
        <f t="shared" si="46"/>
        <v>15.190000000000001</v>
      </c>
      <c r="P640" s="1">
        <v>17</v>
      </c>
      <c r="Q640" s="1">
        <v>1026</v>
      </c>
      <c r="R640" s="1" t="str">
        <f t="shared" si="49"/>
        <v>3</v>
      </c>
      <c r="S640" s="1">
        <v>71</v>
      </c>
      <c r="T640" s="1" t="str">
        <f t="shared" si="47"/>
        <v>2</v>
      </c>
      <c r="U640" s="1">
        <v>-28.552011</v>
      </c>
      <c r="V640" s="3">
        <v>153.50593699999999</v>
      </c>
    </row>
    <row r="641" spans="1:22" x14ac:dyDescent="0.35">
      <c r="A641" s="22" t="s">
        <v>2060</v>
      </c>
      <c r="B641" s="1" t="s">
        <v>2061</v>
      </c>
      <c r="C641" s="1" t="s">
        <v>2062</v>
      </c>
      <c r="D641" s="1" t="s">
        <v>529</v>
      </c>
      <c r="E641" s="1" t="s">
        <v>96</v>
      </c>
      <c r="F641" s="1" t="s">
        <v>57</v>
      </c>
      <c r="G641" s="1">
        <f t="shared" si="45"/>
        <v>2</v>
      </c>
      <c r="H641" s="1" t="s">
        <v>70</v>
      </c>
      <c r="I641" s="1" t="s">
        <v>49</v>
      </c>
      <c r="J641" s="23" t="s">
        <v>50</v>
      </c>
      <c r="K641" s="2" t="s">
        <v>51</v>
      </c>
      <c r="L641" s="1">
        <v>48</v>
      </c>
      <c r="M641" s="1"/>
      <c r="N641" s="1" t="str">
        <f t="shared" si="48"/>
        <v>Suppressed</v>
      </c>
      <c r="O641" s="1" t="str">
        <f t="shared" si="46"/>
        <v/>
      </c>
      <c r="P641" s="1"/>
      <c r="Q641" s="1">
        <v>967</v>
      </c>
      <c r="R641" s="1" t="str">
        <f t="shared" si="49"/>
        <v>2</v>
      </c>
      <c r="S641" s="1">
        <v>121</v>
      </c>
      <c r="T641" s="1" t="str">
        <f t="shared" si="47"/>
        <v>1</v>
      </c>
      <c r="U641" s="1">
        <v>-35.987093999999999</v>
      </c>
      <c r="V641" s="3">
        <v>146.00662399999999</v>
      </c>
    </row>
    <row r="642" spans="1:22" x14ac:dyDescent="0.35">
      <c r="A642" s="22" t="s">
        <v>2063</v>
      </c>
      <c r="B642" s="1" t="s">
        <v>2064</v>
      </c>
      <c r="C642" s="1" t="s">
        <v>2065</v>
      </c>
      <c r="D642" s="1" t="s">
        <v>730</v>
      </c>
      <c r="E642" s="1" t="s">
        <v>261</v>
      </c>
      <c r="F642" s="1" t="s">
        <v>57</v>
      </c>
      <c r="G642" s="1">
        <f t="shared" ref="G642:G705" si="50">IF(F642="Major Cities of Australia",1,IF(F642="Inner Regional Australia",2,IF(F642="Outer Regional Australia",3,IF(F642="Remote Australia",4,IF(F642="Very Remote Australia",5,6)))))</f>
        <v>2</v>
      </c>
      <c r="H642" s="1" t="s">
        <v>70</v>
      </c>
      <c r="I642" s="1" t="s">
        <v>49</v>
      </c>
      <c r="J642" s="23" t="s">
        <v>50</v>
      </c>
      <c r="K642" s="2" t="s">
        <v>51</v>
      </c>
      <c r="L642" s="1">
        <v>74</v>
      </c>
      <c r="M642" s="1">
        <v>18</v>
      </c>
      <c r="N642" s="1" t="str">
        <f t="shared" si="48"/>
        <v>Published</v>
      </c>
      <c r="O642" s="1">
        <f t="shared" ref="O642:O705" si="51">IF(OR(M642="",L642=""),"",M642/100*L642)</f>
        <v>13.32</v>
      </c>
      <c r="P642" s="1">
        <v>0</v>
      </c>
      <c r="Q642" s="1">
        <v>961</v>
      </c>
      <c r="R642" s="1" t="str">
        <f t="shared" si="49"/>
        <v>2</v>
      </c>
      <c r="S642" s="1">
        <v>101</v>
      </c>
      <c r="T642" s="1" t="str">
        <f t="shared" ref="T642:T705" si="52">IF(L642="","No enrolment",IF(L642&lt;100,"1",IF(L642&lt;300,"2",IF(L642&lt;600,"3",IF(L642&lt;1000,"4","5")))))</f>
        <v>1</v>
      </c>
      <c r="U642" s="1">
        <v>-33.192056999999998</v>
      </c>
      <c r="V642" s="3">
        <v>149.11229299999999</v>
      </c>
    </row>
    <row r="643" spans="1:22" x14ac:dyDescent="0.35">
      <c r="A643" s="22" t="s">
        <v>2066</v>
      </c>
      <c r="B643" s="1" t="s">
        <v>2067</v>
      </c>
      <c r="C643" s="1" t="s">
        <v>2068</v>
      </c>
      <c r="D643" s="1" t="s">
        <v>211</v>
      </c>
      <c r="E643" s="1" t="s">
        <v>102</v>
      </c>
      <c r="F643" s="1" t="s">
        <v>69</v>
      </c>
      <c r="G643" s="1">
        <f t="shared" si="50"/>
        <v>3</v>
      </c>
      <c r="H643" s="1" t="s">
        <v>70</v>
      </c>
      <c r="I643" s="1" t="s">
        <v>49</v>
      </c>
      <c r="J643" s="23" t="s">
        <v>50</v>
      </c>
      <c r="K643" s="2" t="s">
        <v>51</v>
      </c>
      <c r="L643" s="1">
        <v>10</v>
      </c>
      <c r="M643" s="1"/>
      <c r="N643" s="1" t="str">
        <f t="shared" ref="N643:N706" si="53">IF(M643="","Suppressed","Published")</f>
        <v>Suppressed</v>
      </c>
      <c r="O643" s="1" t="str">
        <f t="shared" si="51"/>
        <v/>
      </c>
      <c r="P643" s="1">
        <v>0</v>
      </c>
      <c r="Q643" s="1">
        <v>807</v>
      </c>
      <c r="R643" s="1" t="str">
        <f t="shared" ref="R643:R706" si="54">IF(Q643="","No ICSEA",IF(Q643&lt;900,"1",IF(Q643&lt;1000,"2",IF(Q643&lt;1100,"3","4"))))</f>
        <v>1</v>
      </c>
      <c r="S643" s="1">
        <v>202</v>
      </c>
      <c r="T643" s="1" t="str">
        <f t="shared" si="52"/>
        <v>1</v>
      </c>
      <c r="U643" s="1">
        <v>-32.722371000000003</v>
      </c>
      <c r="V643" s="3">
        <v>149.052673</v>
      </c>
    </row>
    <row r="644" spans="1:22" x14ac:dyDescent="0.35">
      <c r="A644" s="22" t="s">
        <v>2069</v>
      </c>
      <c r="B644" s="1" t="s">
        <v>2070</v>
      </c>
      <c r="C644" s="1" t="s">
        <v>2071</v>
      </c>
      <c r="D644" s="1" t="s">
        <v>256</v>
      </c>
      <c r="E644" s="1" t="s">
        <v>107</v>
      </c>
      <c r="F644" s="1" t="s">
        <v>57</v>
      </c>
      <c r="G644" s="1">
        <f t="shared" si="50"/>
        <v>2</v>
      </c>
      <c r="H644" s="1" t="s">
        <v>92</v>
      </c>
      <c r="I644" s="1" t="s">
        <v>49</v>
      </c>
      <c r="J644" s="23" t="s">
        <v>50</v>
      </c>
      <c r="K644" s="2" t="s">
        <v>51</v>
      </c>
      <c r="L644" s="1">
        <v>21</v>
      </c>
      <c r="M644" s="1">
        <v>0</v>
      </c>
      <c r="N644" s="1" t="str">
        <f t="shared" si="53"/>
        <v>Published</v>
      </c>
      <c r="O644" s="1">
        <f t="shared" si="51"/>
        <v>0</v>
      </c>
      <c r="P644" s="1"/>
      <c r="Q644" s="1">
        <v>881</v>
      </c>
      <c r="R644" s="1" t="str">
        <f t="shared" si="54"/>
        <v>1</v>
      </c>
      <c r="S644" s="1">
        <v>187</v>
      </c>
      <c r="T644" s="1" t="str">
        <f t="shared" si="52"/>
        <v>1</v>
      </c>
      <c r="U644" s="1">
        <v>-28.848015</v>
      </c>
      <c r="V644" s="3">
        <v>152.80164500000001</v>
      </c>
    </row>
    <row r="645" spans="1:22" x14ac:dyDescent="0.35">
      <c r="A645" s="22" t="s">
        <v>2072</v>
      </c>
      <c r="B645" s="1" t="s">
        <v>2073</v>
      </c>
      <c r="C645" s="1" t="s">
        <v>2074</v>
      </c>
      <c r="D645" s="1" t="s">
        <v>482</v>
      </c>
      <c r="E645" s="1" t="s">
        <v>91</v>
      </c>
      <c r="F645" s="1" t="s">
        <v>241</v>
      </c>
      <c r="G645" s="1">
        <f t="shared" si="50"/>
        <v>4</v>
      </c>
      <c r="H645" s="1" t="s">
        <v>92</v>
      </c>
      <c r="I645" s="1" t="s">
        <v>132</v>
      </c>
      <c r="J645" s="23" t="s">
        <v>50</v>
      </c>
      <c r="K645" s="2" t="s">
        <v>51</v>
      </c>
      <c r="L645" s="1">
        <v>62.4</v>
      </c>
      <c r="M645" s="1">
        <v>57</v>
      </c>
      <c r="N645" s="1" t="str">
        <f t="shared" si="53"/>
        <v>Published</v>
      </c>
      <c r="O645" s="1">
        <f t="shared" si="51"/>
        <v>35.567999999999998</v>
      </c>
      <c r="P645" s="1">
        <v>42</v>
      </c>
      <c r="Q645" s="1">
        <v>795</v>
      </c>
      <c r="R645" s="1" t="str">
        <f t="shared" si="54"/>
        <v>1</v>
      </c>
      <c r="S645" s="1">
        <v>160</v>
      </c>
      <c r="T645" s="1" t="str">
        <f t="shared" si="52"/>
        <v>1</v>
      </c>
      <c r="U645" s="1">
        <v>-28.9802</v>
      </c>
      <c r="V645" s="3">
        <v>148.99084999999999</v>
      </c>
    </row>
    <row r="646" spans="1:22" x14ac:dyDescent="0.35">
      <c r="A646" s="22" t="s">
        <v>2075</v>
      </c>
      <c r="B646" s="1" t="s">
        <v>2076</v>
      </c>
      <c r="C646" s="1" t="s">
        <v>2077</v>
      </c>
      <c r="D646" s="1" t="s">
        <v>525</v>
      </c>
      <c r="E646" s="1" t="s">
        <v>68</v>
      </c>
      <c r="F646" s="1" t="s">
        <v>69</v>
      </c>
      <c r="G646" s="1">
        <f t="shared" si="50"/>
        <v>3</v>
      </c>
      <c r="H646" s="1" t="s">
        <v>70</v>
      </c>
      <c r="I646" s="1" t="s">
        <v>49</v>
      </c>
      <c r="J646" s="23" t="s">
        <v>50</v>
      </c>
      <c r="K646" s="2" t="s">
        <v>51</v>
      </c>
      <c r="L646" s="1">
        <v>43</v>
      </c>
      <c r="M646" s="1"/>
      <c r="N646" s="1" t="str">
        <f t="shared" si="53"/>
        <v>Suppressed</v>
      </c>
      <c r="O646" s="1" t="str">
        <f t="shared" si="51"/>
        <v/>
      </c>
      <c r="P646" s="1"/>
      <c r="Q646" s="1">
        <v>941</v>
      </c>
      <c r="R646" s="1" t="str">
        <f t="shared" si="54"/>
        <v>2</v>
      </c>
      <c r="S646" s="1">
        <v>123</v>
      </c>
      <c r="T646" s="1" t="str">
        <f t="shared" si="52"/>
        <v>1</v>
      </c>
      <c r="U646" s="1">
        <v>-34.297201999999999</v>
      </c>
      <c r="V646" s="3">
        <v>148.51547099999999</v>
      </c>
    </row>
    <row r="647" spans="1:22" x14ac:dyDescent="0.35">
      <c r="A647" s="22" t="s">
        <v>2078</v>
      </c>
      <c r="B647" s="1" t="s">
        <v>2079</v>
      </c>
      <c r="C647" s="1" t="s">
        <v>2080</v>
      </c>
      <c r="D647" s="1" t="s">
        <v>525</v>
      </c>
      <c r="E647" s="1" t="s">
        <v>68</v>
      </c>
      <c r="F647" s="1" t="s">
        <v>57</v>
      </c>
      <c r="G647" s="1">
        <f t="shared" si="50"/>
        <v>2</v>
      </c>
      <c r="H647" s="1" t="s">
        <v>86</v>
      </c>
      <c r="I647" s="1" t="s">
        <v>49</v>
      </c>
      <c r="J647" s="23" t="s">
        <v>50</v>
      </c>
      <c r="K647" s="2" t="s">
        <v>51</v>
      </c>
      <c r="L647" s="1">
        <v>210</v>
      </c>
      <c r="M647" s="1">
        <v>17</v>
      </c>
      <c r="N647" s="1" t="str">
        <f t="shared" si="53"/>
        <v>Published</v>
      </c>
      <c r="O647" s="1">
        <f t="shared" si="51"/>
        <v>35.700000000000003</v>
      </c>
      <c r="P647" s="1">
        <v>7</v>
      </c>
      <c r="Q647" s="1">
        <v>961</v>
      </c>
      <c r="R647" s="1" t="str">
        <f t="shared" si="54"/>
        <v>2</v>
      </c>
      <c r="S647" s="1">
        <v>97</v>
      </c>
      <c r="T647" s="1" t="str">
        <f t="shared" si="52"/>
        <v>2</v>
      </c>
      <c r="U647" s="1">
        <v>-34.550826000000001</v>
      </c>
      <c r="V647" s="3">
        <v>148.35986199999999</v>
      </c>
    </row>
    <row r="648" spans="1:22" x14ac:dyDescent="0.35">
      <c r="A648" s="22" t="s">
        <v>2081</v>
      </c>
      <c r="B648" s="1" t="s">
        <v>2082</v>
      </c>
      <c r="C648" s="1" t="s">
        <v>2083</v>
      </c>
      <c r="D648" s="1" t="s">
        <v>55</v>
      </c>
      <c r="E648" s="1" t="s">
        <v>56</v>
      </c>
      <c r="F648" s="1" t="s">
        <v>69</v>
      </c>
      <c r="G648" s="1">
        <f t="shared" si="50"/>
        <v>3</v>
      </c>
      <c r="H648" s="1" t="s">
        <v>58</v>
      </c>
      <c r="I648" s="1" t="s">
        <v>49</v>
      </c>
      <c r="J648" s="23" t="s">
        <v>50</v>
      </c>
      <c r="K648" s="2" t="s">
        <v>51</v>
      </c>
      <c r="L648" s="1">
        <v>36</v>
      </c>
      <c r="M648" s="1"/>
      <c r="N648" s="1" t="str">
        <f t="shared" si="53"/>
        <v>Suppressed</v>
      </c>
      <c r="O648" s="1" t="str">
        <f t="shared" si="51"/>
        <v/>
      </c>
      <c r="P648" s="1"/>
      <c r="Q648" s="1">
        <v>893</v>
      </c>
      <c r="R648" s="1" t="str">
        <f t="shared" si="54"/>
        <v>1</v>
      </c>
      <c r="S648" s="1">
        <v>139</v>
      </c>
      <c r="T648" s="1" t="str">
        <f t="shared" si="52"/>
        <v>1</v>
      </c>
      <c r="U648" s="1">
        <v>-31.762782999999999</v>
      </c>
      <c r="V648" s="3">
        <v>150.832187</v>
      </c>
    </row>
    <row r="649" spans="1:22" x14ac:dyDescent="0.35">
      <c r="A649" s="22" t="s">
        <v>2084</v>
      </c>
      <c r="B649" s="1" t="s">
        <v>2085</v>
      </c>
      <c r="C649" s="1" t="s">
        <v>2086</v>
      </c>
      <c r="D649" s="1" t="s">
        <v>236</v>
      </c>
      <c r="E649" s="1" t="s">
        <v>107</v>
      </c>
      <c r="F649" s="1" t="s">
        <v>57</v>
      </c>
      <c r="G649" s="1">
        <f t="shared" si="50"/>
        <v>2</v>
      </c>
      <c r="H649" s="1" t="s">
        <v>92</v>
      </c>
      <c r="I649" s="1" t="s">
        <v>49</v>
      </c>
      <c r="J649" s="23" t="s">
        <v>50</v>
      </c>
      <c r="K649" s="2" t="s">
        <v>51</v>
      </c>
      <c r="L649" s="1">
        <v>149</v>
      </c>
      <c r="M649" s="1">
        <v>18</v>
      </c>
      <c r="N649" s="1" t="str">
        <f t="shared" si="53"/>
        <v>Published</v>
      </c>
      <c r="O649" s="1">
        <f t="shared" si="51"/>
        <v>26.82</v>
      </c>
      <c r="P649" s="1">
        <v>5</v>
      </c>
      <c r="Q649" s="1">
        <v>959</v>
      </c>
      <c r="R649" s="1" t="str">
        <f t="shared" si="54"/>
        <v>2</v>
      </c>
      <c r="S649" s="1">
        <v>119</v>
      </c>
      <c r="T649" s="1" t="str">
        <f t="shared" si="52"/>
        <v>2</v>
      </c>
      <c r="U649" s="1">
        <v>-28.329885999999998</v>
      </c>
      <c r="V649" s="3">
        <v>153.39113900000001</v>
      </c>
    </row>
    <row r="650" spans="1:22" x14ac:dyDescent="0.35">
      <c r="A650" s="22" t="s">
        <v>2087</v>
      </c>
      <c r="B650" s="1" t="s">
        <v>2088</v>
      </c>
      <c r="C650" s="1" t="s">
        <v>1027</v>
      </c>
      <c r="D650" s="1" t="s">
        <v>1027</v>
      </c>
      <c r="E650" s="1" t="s">
        <v>56</v>
      </c>
      <c r="F650" s="1" t="s">
        <v>57</v>
      </c>
      <c r="G650" s="1">
        <f t="shared" si="50"/>
        <v>2</v>
      </c>
      <c r="H650" s="1" t="s">
        <v>58</v>
      </c>
      <c r="I650" s="1" t="s">
        <v>49</v>
      </c>
      <c r="J650" s="23" t="s">
        <v>50</v>
      </c>
      <c r="K650" s="2" t="s">
        <v>51</v>
      </c>
      <c r="L650" s="1">
        <v>422</v>
      </c>
      <c r="M650" s="1">
        <v>28</v>
      </c>
      <c r="N650" s="1" t="str">
        <f t="shared" si="53"/>
        <v>Published</v>
      </c>
      <c r="O650" s="1">
        <f t="shared" si="51"/>
        <v>118.16000000000001</v>
      </c>
      <c r="P650" s="1">
        <v>6</v>
      </c>
      <c r="Q650" s="1">
        <v>913</v>
      </c>
      <c r="R650" s="1" t="str">
        <f t="shared" si="54"/>
        <v>2</v>
      </c>
      <c r="S650" s="1">
        <v>125</v>
      </c>
      <c r="T650" s="1" t="str">
        <f t="shared" si="52"/>
        <v>3</v>
      </c>
      <c r="U650" s="1">
        <v>-32.258429999999997</v>
      </c>
      <c r="V650" s="3">
        <v>150.89636899999999</v>
      </c>
    </row>
    <row r="651" spans="1:22" x14ac:dyDescent="0.35">
      <c r="A651" s="22" t="s">
        <v>2089</v>
      </c>
      <c r="B651" s="1" t="s">
        <v>2090</v>
      </c>
      <c r="C651" s="1" t="s">
        <v>2091</v>
      </c>
      <c r="D651" s="1" t="s">
        <v>275</v>
      </c>
      <c r="E651" s="1" t="s">
        <v>276</v>
      </c>
      <c r="F651" s="1" t="s">
        <v>57</v>
      </c>
      <c r="G651" s="1">
        <f t="shared" si="50"/>
        <v>2</v>
      </c>
      <c r="H651" s="1" t="s">
        <v>58</v>
      </c>
      <c r="I651" s="1" t="s">
        <v>49</v>
      </c>
      <c r="J651" s="23" t="s">
        <v>50</v>
      </c>
      <c r="K651" s="2" t="s">
        <v>51</v>
      </c>
      <c r="L651" s="1">
        <v>165</v>
      </c>
      <c r="M651" s="1">
        <v>17</v>
      </c>
      <c r="N651" s="1" t="str">
        <f t="shared" si="53"/>
        <v>Published</v>
      </c>
      <c r="O651" s="1">
        <f t="shared" si="51"/>
        <v>28.05</v>
      </c>
      <c r="P651" s="1"/>
      <c r="Q651" s="1">
        <v>938</v>
      </c>
      <c r="R651" s="1" t="str">
        <f t="shared" si="54"/>
        <v>2</v>
      </c>
      <c r="S651" s="1">
        <v>124</v>
      </c>
      <c r="T651" s="1" t="str">
        <f t="shared" si="52"/>
        <v>2</v>
      </c>
      <c r="U651" s="1">
        <v>-32.097543999999999</v>
      </c>
      <c r="V651" s="3">
        <v>152.381902</v>
      </c>
    </row>
    <row r="652" spans="1:22" x14ac:dyDescent="0.35">
      <c r="A652" s="22" t="s">
        <v>2092</v>
      </c>
      <c r="B652" s="1" t="s">
        <v>2093</v>
      </c>
      <c r="C652" s="1" t="s">
        <v>2094</v>
      </c>
      <c r="D652" s="1" t="s">
        <v>554</v>
      </c>
      <c r="E652" s="1" t="s">
        <v>276</v>
      </c>
      <c r="F652" s="1" t="s">
        <v>57</v>
      </c>
      <c r="G652" s="1">
        <f t="shared" si="50"/>
        <v>2</v>
      </c>
      <c r="H652" s="1" t="s">
        <v>58</v>
      </c>
      <c r="I652" s="1" t="s">
        <v>49</v>
      </c>
      <c r="J652" s="23" t="s">
        <v>50</v>
      </c>
      <c r="K652" s="2" t="s">
        <v>51</v>
      </c>
      <c r="L652" s="1">
        <v>156</v>
      </c>
      <c r="M652" s="1">
        <v>26</v>
      </c>
      <c r="N652" s="1" t="str">
        <f t="shared" si="53"/>
        <v>Published</v>
      </c>
      <c r="O652" s="1">
        <f t="shared" si="51"/>
        <v>40.56</v>
      </c>
      <c r="P652" s="1">
        <v>4</v>
      </c>
      <c r="Q652" s="1">
        <v>904</v>
      </c>
      <c r="R652" s="1" t="str">
        <f t="shared" si="54"/>
        <v>2</v>
      </c>
      <c r="S652" s="1">
        <v>132</v>
      </c>
      <c r="T652" s="1" t="str">
        <f t="shared" si="52"/>
        <v>2</v>
      </c>
      <c r="U652" s="1">
        <v>-30.641694999999999</v>
      </c>
      <c r="V652" s="3">
        <v>153.006338</v>
      </c>
    </row>
    <row r="653" spans="1:22" x14ac:dyDescent="0.35">
      <c r="A653" s="22" t="s">
        <v>2095</v>
      </c>
      <c r="B653" s="1" t="s">
        <v>2096</v>
      </c>
      <c r="C653" s="1" t="s">
        <v>2097</v>
      </c>
      <c r="D653" s="1" t="s">
        <v>465</v>
      </c>
      <c r="E653" s="1" t="s">
        <v>281</v>
      </c>
      <c r="F653" s="1" t="s">
        <v>57</v>
      </c>
      <c r="G653" s="1">
        <f t="shared" si="50"/>
        <v>2</v>
      </c>
      <c r="H653" s="1" t="s">
        <v>58</v>
      </c>
      <c r="I653" s="1" t="s">
        <v>49</v>
      </c>
      <c r="J653" s="23" t="s">
        <v>50</v>
      </c>
      <c r="K653" s="2" t="s">
        <v>51</v>
      </c>
      <c r="L653" s="1">
        <v>100</v>
      </c>
      <c r="M653" s="1">
        <v>30</v>
      </c>
      <c r="N653" s="1" t="str">
        <f t="shared" si="53"/>
        <v>Published</v>
      </c>
      <c r="O653" s="1">
        <f t="shared" si="51"/>
        <v>30</v>
      </c>
      <c r="P653" s="1">
        <v>7</v>
      </c>
      <c r="Q653" s="1">
        <v>921</v>
      </c>
      <c r="R653" s="1" t="str">
        <f t="shared" si="54"/>
        <v>2</v>
      </c>
      <c r="S653" s="1">
        <v>110</v>
      </c>
      <c r="T653" s="1" t="str">
        <f t="shared" si="52"/>
        <v>2</v>
      </c>
      <c r="U653" s="1">
        <v>-30.135618999999998</v>
      </c>
      <c r="V653" s="3">
        <v>153.00620599999999</v>
      </c>
    </row>
    <row r="654" spans="1:22" x14ac:dyDescent="0.35">
      <c r="A654" s="22" t="s">
        <v>2098</v>
      </c>
      <c r="B654" s="1" t="s">
        <v>2099</v>
      </c>
      <c r="C654" s="1" t="s">
        <v>2100</v>
      </c>
      <c r="D654" s="1" t="s">
        <v>506</v>
      </c>
      <c r="E654" s="1" t="s">
        <v>80</v>
      </c>
      <c r="F654" s="1" t="s">
        <v>69</v>
      </c>
      <c r="G654" s="1">
        <f t="shared" si="50"/>
        <v>3</v>
      </c>
      <c r="H654" s="1" t="s">
        <v>70</v>
      </c>
      <c r="I654" s="1" t="s">
        <v>49</v>
      </c>
      <c r="J654" s="23" t="s">
        <v>50</v>
      </c>
      <c r="K654" s="2" t="s">
        <v>51</v>
      </c>
      <c r="L654" s="1">
        <v>10</v>
      </c>
      <c r="M654" s="1"/>
      <c r="N654" s="1" t="str">
        <f t="shared" si="53"/>
        <v>Suppressed</v>
      </c>
      <c r="O654" s="1" t="str">
        <f t="shared" si="51"/>
        <v/>
      </c>
      <c r="P654" s="1">
        <v>0</v>
      </c>
      <c r="Q654" s="1">
        <v>934</v>
      </c>
      <c r="R654" s="1" t="str">
        <f t="shared" si="54"/>
        <v>2</v>
      </c>
      <c r="S654" s="1">
        <v>127</v>
      </c>
      <c r="T654" s="1" t="str">
        <f t="shared" si="52"/>
        <v>1</v>
      </c>
      <c r="U654" s="1">
        <v>-35.053902000000001</v>
      </c>
      <c r="V654" s="3">
        <v>147.90910600000001</v>
      </c>
    </row>
    <row r="655" spans="1:22" x14ac:dyDescent="0.35">
      <c r="A655" s="22" t="s">
        <v>2101</v>
      </c>
      <c r="B655" s="1" t="s">
        <v>2102</v>
      </c>
      <c r="C655" s="1" t="s">
        <v>2103</v>
      </c>
      <c r="D655" s="1" t="s">
        <v>260</v>
      </c>
      <c r="E655" s="1" t="s">
        <v>261</v>
      </c>
      <c r="F655" s="1" t="s">
        <v>241</v>
      </c>
      <c r="G655" s="1">
        <f t="shared" si="50"/>
        <v>4</v>
      </c>
      <c r="H655" s="1" t="s">
        <v>70</v>
      </c>
      <c r="I655" s="1" t="s">
        <v>49</v>
      </c>
      <c r="J655" s="23" t="s">
        <v>50</v>
      </c>
      <c r="K655" s="2" t="s">
        <v>51</v>
      </c>
      <c r="L655" s="1">
        <v>9</v>
      </c>
      <c r="M655" s="1"/>
      <c r="N655" s="1" t="str">
        <f t="shared" si="53"/>
        <v>Suppressed</v>
      </c>
      <c r="O655" s="1" t="str">
        <f t="shared" si="51"/>
        <v/>
      </c>
      <c r="P655" s="1"/>
      <c r="Q655" s="1">
        <v>922</v>
      </c>
      <c r="R655" s="1" t="str">
        <f t="shared" si="54"/>
        <v>2</v>
      </c>
      <c r="S655" s="1">
        <v>114</v>
      </c>
      <c r="T655" s="1" t="str">
        <f t="shared" si="52"/>
        <v>1</v>
      </c>
      <c r="U655" s="1">
        <v>-33.615639000000002</v>
      </c>
      <c r="V655" s="3">
        <v>146.327405</v>
      </c>
    </row>
    <row r="656" spans="1:22" x14ac:dyDescent="0.35">
      <c r="A656" s="22" t="s">
        <v>2104</v>
      </c>
      <c r="B656" s="1" t="s">
        <v>2105</v>
      </c>
      <c r="C656" s="1" t="s">
        <v>2106</v>
      </c>
      <c r="D656" s="1" t="s">
        <v>186</v>
      </c>
      <c r="E656" s="1" t="s">
        <v>187</v>
      </c>
      <c r="F656" s="1" t="s">
        <v>47</v>
      </c>
      <c r="G656" s="1">
        <f t="shared" si="50"/>
        <v>1</v>
      </c>
      <c r="H656" s="1" t="s">
        <v>63</v>
      </c>
      <c r="I656" s="1" t="s">
        <v>49</v>
      </c>
      <c r="J656" s="23" t="s">
        <v>50</v>
      </c>
      <c r="K656" s="2" t="s">
        <v>51</v>
      </c>
      <c r="L656" s="1">
        <v>377</v>
      </c>
      <c r="M656" s="1">
        <v>8</v>
      </c>
      <c r="N656" s="1" t="str">
        <f t="shared" si="53"/>
        <v>Published</v>
      </c>
      <c r="O656" s="1">
        <f t="shared" si="51"/>
        <v>30.16</v>
      </c>
      <c r="P656" s="1">
        <v>14</v>
      </c>
      <c r="Q656" s="1">
        <v>1008</v>
      </c>
      <c r="R656" s="1" t="str">
        <f t="shared" si="54"/>
        <v>3</v>
      </c>
      <c r="S656" s="1">
        <v>90</v>
      </c>
      <c r="T656" s="1" t="str">
        <f t="shared" si="52"/>
        <v>3</v>
      </c>
      <c r="U656" s="1">
        <v>-33.387915</v>
      </c>
      <c r="V656" s="3">
        <v>151.362616</v>
      </c>
    </row>
    <row r="657" spans="1:22" x14ac:dyDescent="0.35">
      <c r="A657" s="22" t="s">
        <v>2107</v>
      </c>
      <c r="B657" s="1" t="s">
        <v>2108</v>
      </c>
      <c r="C657" s="1" t="s">
        <v>2109</v>
      </c>
      <c r="D657" s="1" t="s">
        <v>678</v>
      </c>
      <c r="E657" s="1" t="s">
        <v>122</v>
      </c>
      <c r="F657" s="1" t="s">
        <v>47</v>
      </c>
      <c r="G657" s="1">
        <f t="shared" si="50"/>
        <v>1</v>
      </c>
      <c r="H657" s="1" t="s">
        <v>86</v>
      </c>
      <c r="I657" s="1" t="s">
        <v>49</v>
      </c>
      <c r="J657" s="23" t="s">
        <v>50</v>
      </c>
      <c r="K657" s="2" t="s">
        <v>51</v>
      </c>
      <c r="L657" s="1">
        <v>291</v>
      </c>
      <c r="M657" s="1">
        <v>13</v>
      </c>
      <c r="N657" s="1" t="str">
        <f t="shared" si="53"/>
        <v>Published</v>
      </c>
      <c r="O657" s="1">
        <f t="shared" si="51"/>
        <v>37.83</v>
      </c>
      <c r="P657" s="1">
        <v>26</v>
      </c>
      <c r="Q657" s="1">
        <v>969</v>
      </c>
      <c r="R657" s="1" t="str">
        <f t="shared" si="54"/>
        <v>2</v>
      </c>
      <c r="S657" s="1">
        <v>116</v>
      </c>
      <c r="T657" s="1" t="str">
        <f t="shared" si="52"/>
        <v>2</v>
      </c>
      <c r="U657" s="1">
        <v>-34.042763999999998</v>
      </c>
      <c r="V657" s="3">
        <v>150.733769</v>
      </c>
    </row>
    <row r="658" spans="1:22" x14ac:dyDescent="0.35">
      <c r="A658" s="22" t="s">
        <v>2110</v>
      </c>
      <c r="B658" s="1" t="s">
        <v>2111</v>
      </c>
      <c r="C658" s="1" t="s">
        <v>2112</v>
      </c>
      <c r="D658" s="1" t="s">
        <v>203</v>
      </c>
      <c r="E658" s="1" t="s">
        <v>204</v>
      </c>
      <c r="F658" s="1" t="s">
        <v>47</v>
      </c>
      <c r="G658" s="1">
        <f t="shared" si="50"/>
        <v>1</v>
      </c>
      <c r="H658" s="1" t="s">
        <v>148</v>
      </c>
      <c r="I658" s="1" t="s">
        <v>49</v>
      </c>
      <c r="J658" s="23" t="s">
        <v>50</v>
      </c>
      <c r="K658" s="2" t="s">
        <v>51</v>
      </c>
      <c r="L658" s="1">
        <v>364</v>
      </c>
      <c r="M658" s="1">
        <v>3</v>
      </c>
      <c r="N658" s="1" t="str">
        <f t="shared" si="53"/>
        <v>Published</v>
      </c>
      <c r="O658" s="1">
        <f t="shared" si="51"/>
        <v>10.92</v>
      </c>
      <c r="P658" s="1">
        <v>33</v>
      </c>
      <c r="Q658" s="1">
        <v>1091</v>
      </c>
      <c r="R658" s="1" t="str">
        <f t="shared" si="54"/>
        <v>3</v>
      </c>
      <c r="S658" s="1">
        <v>43</v>
      </c>
      <c r="T658" s="1" t="str">
        <f t="shared" si="52"/>
        <v>3</v>
      </c>
      <c r="U658" s="1">
        <v>-33.720323</v>
      </c>
      <c r="V658" s="3">
        <v>151.29741300000001</v>
      </c>
    </row>
    <row r="659" spans="1:22" x14ac:dyDescent="0.35">
      <c r="A659" s="22" t="s">
        <v>2113</v>
      </c>
      <c r="B659" s="1" t="s">
        <v>2114</v>
      </c>
      <c r="C659" s="1" t="s">
        <v>318</v>
      </c>
      <c r="D659" s="1" t="s">
        <v>318</v>
      </c>
      <c r="E659" s="1" t="s">
        <v>91</v>
      </c>
      <c r="F659" s="1" t="s">
        <v>69</v>
      </c>
      <c r="G659" s="1">
        <f t="shared" si="50"/>
        <v>3</v>
      </c>
      <c r="H659" s="1" t="s">
        <v>92</v>
      </c>
      <c r="I659" s="1" t="s">
        <v>49</v>
      </c>
      <c r="J659" s="23" t="s">
        <v>50</v>
      </c>
      <c r="K659" s="2" t="s">
        <v>51</v>
      </c>
      <c r="L659" s="1">
        <v>267</v>
      </c>
      <c r="M659" s="1">
        <v>51</v>
      </c>
      <c r="N659" s="1" t="str">
        <f t="shared" si="53"/>
        <v>Published</v>
      </c>
      <c r="O659" s="1">
        <f t="shared" si="51"/>
        <v>136.17000000000002</v>
      </c>
      <c r="P659" s="1">
        <v>7</v>
      </c>
      <c r="Q659" s="1">
        <v>823</v>
      </c>
      <c r="R659" s="1" t="str">
        <f t="shared" si="54"/>
        <v>1</v>
      </c>
      <c r="S659" s="1">
        <v>158</v>
      </c>
      <c r="T659" s="1" t="str">
        <f t="shared" si="52"/>
        <v>2</v>
      </c>
      <c r="U659" s="1">
        <v>-30.324942</v>
      </c>
      <c r="V659" s="3">
        <v>149.78525200000001</v>
      </c>
    </row>
    <row r="660" spans="1:22" x14ac:dyDescent="0.35">
      <c r="A660" s="22" t="s">
        <v>2115</v>
      </c>
      <c r="B660" s="1" t="s">
        <v>2116</v>
      </c>
      <c r="C660" s="1" t="s">
        <v>318</v>
      </c>
      <c r="D660" s="1" t="s">
        <v>318</v>
      </c>
      <c r="E660" s="1" t="s">
        <v>91</v>
      </c>
      <c r="F660" s="1" t="s">
        <v>69</v>
      </c>
      <c r="G660" s="1">
        <f t="shared" si="50"/>
        <v>3</v>
      </c>
      <c r="H660" s="1" t="s">
        <v>92</v>
      </c>
      <c r="I660" s="1" t="s">
        <v>49</v>
      </c>
      <c r="J660" s="23" t="s">
        <v>50</v>
      </c>
      <c r="K660" s="2" t="s">
        <v>51</v>
      </c>
      <c r="L660" s="1">
        <v>232</v>
      </c>
      <c r="M660" s="1">
        <v>32</v>
      </c>
      <c r="N660" s="1" t="str">
        <f t="shared" si="53"/>
        <v>Published</v>
      </c>
      <c r="O660" s="1">
        <f t="shared" si="51"/>
        <v>74.239999999999995</v>
      </c>
      <c r="P660" s="1">
        <v>4</v>
      </c>
      <c r="Q660" s="1">
        <v>889</v>
      </c>
      <c r="R660" s="1" t="str">
        <f t="shared" si="54"/>
        <v>1</v>
      </c>
      <c r="S660" s="1">
        <v>134</v>
      </c>
      <c r="T660" s="1" t="str">
        <f t="shared" si="52"/>
        <v>2</v>
      </c>
      <c r="U660" s="1">
        <v>-30.344469</v>
      </c>
      <c r="V660" s="3">
        <v>149.76390599999999</v>
      </c>
    </row>
    <row r="661" spans="1:22" x14ac:dyDescent="0.35">
      <c r="A661" s="22" t="s">
        <v>2117</v>
      </c>
      <c r="B661" s="1" t="s">
        <v>2118</v>
      </c>
      <c r="C661" s="1" t="s">
        <v>245</v>
      </c>
      <c r="D661" s="1" t="s">
        <v>245</v>
      </c>
      <c r="E661" s="1" t="s">
        <v>80</v>
      </c>
      <c r="F661" s="1" t="s">
        <v>69</v>
      </c>
      <c r="G661" s="1">
        <f t="shared" si="50"/>
        <v>3</v>
      </c>
      <c r="H661" s="1" t="s">
        <v>70</v>
      </c>
      <c r="I661" s="1" t="s">
        <v>49</v>
      </c>
      <c r="J661" s="23" t="s">
        <v>50</v>
      </c>
      <c r="K661" s="2" t="s">
        <v>51</v>
      </c>
      <c r="L661" s="1">
        <v>267</v>
      </c>
      <c r="M661" s="1">
        <v>42</v>
      </c>
      <c r="N661" s="1" t="str">
        <f t="shared" si="53"/>
        <v>Published</v>
      </c>
      <c r="O661" s="1">
        <f t="shared" si="51"/>
        <v>112.14</v>
      </c>
      <c r="P661" s="1">
        <v>6</v>
      </c>
      <c r="Q661" s="1">
        <v>853</v>
      </c>
      <c r="R661" s="1" t="str">
        <f t="shared" si="54"/>
        <v>1</v>
      </c>
      <c r="S661" s="1">
        <v>147</v>
      </c>
      <c r="T661" s="1" t="str">
        <f t="shared" si="52"/>
        <v>2</v>
      </c>
      <c r="U661" s="1">
        <v>-34.744466000000003</v>
      </c>
      <c r="V661" s="3">
        <v>146.547854</v>
      </c>
    </row>
    <row r="662" spans="1:22" x14ac:dyDescent="0.35">
      <c r="A662" s="22" t="s">
        <v>2119</v>
      </c>
      <c r="B662" s="1" t="s">
        <v>2120</v>
      </c>
      <c r="C662" s="1" t="s">
        <v>2121</v>
      </c>
      <c r="D662" s="1" t="s">
        <v>2121</v>
      </c>
      <c r="E662" s="1" t="s">
        <v>102</v>
      </c>
      <c r="F662" s="1" t="s">
        <v>69</v>
      </c>
      <c r="G662" s="1">
        <f t="shared" si="50"/>
        <v>3</v>
      </c>
      <c r="H662" s="1" t="s">
        <v>58</v>
      </c>
      <c r="I662" s="1" t="s">
        <v>49</v>
      </c>
      <c r="J662" s="23" t="s">
        <v>50</v>
      </c>
      <c r="K662" s="2" t="s">
        <v>51</v>
      </c>
      <c r="L662" s="1">
        <v>237</v>
      </c>
      <c r="M662" s="1">
        <v>56</v>
      </c>
      <c r="N662" s="1" t="str">
        <f t="shared" si="53"/>
        <v>Published</v>
      </c>
      <c r="O662" s="1">
        <f t="shared" si="51"/>
        <v>132.72</v>
      </c>
      <c r="P662" s="1">
        <v>11</v>
      </c>
      <c r="Q662" s="1">
        <v>832</v>
      </c>
      <c r="R662" s="1" t="str">
        <f t="shared" si="54"/>
        <v>1</v>
      </c>
      <c r="S662" s="1">
        <v>148</v>
      </c>
      <c r="T662" s="1" t="str">
        <f t="shared" si="52"/>
        <v>2</v>
      </c>
      <c r="U662" s="1">
        <v>-32.229903</v>
      </c>
      <c r="V662" s="3">
        <v>148.24442099999999</v>
      </c>
    </row>
    <row r="663" spans="1:22" x14ac:dyDescent="0.35">
      <c r="A663" s="22" t="s">
        <v>2122</v>
      </c>
      <c r="B663" s="1" t="s">
        <v>2123</v>
      </c>
      <c r="C663" s="1" t="s">
        <v>2124</v>
      </c>
      <c r="D663" s="1" t="s">
        <v>730</v>
      </c>
      <c r="E663" s="1" t="s">
        <v>261</v>
      </c>
      <c r="F663" s="1" t="s">
        <v>57</v>
      </c>
      <c r="G663" s="1">
        <f t="shared" si="50"/>
        <v>2</v>
      </c>
      <c r="H663" s="1" t="s">
        <v>70</v>
      </c>
      <c r="I663" s="1" t="s">
        <v>49</v>
      </c>
      <c r="J663" s="23" t="s">
        <v>50</v>
      </c>
      <c r="K663" s="2" t="s">
        <v>51</v>
      </c>
      <c r="L663" s="1">
        <v>137</v>
      </c>
      <c r="M663" s="1"/>
      <c r="N663" s="1" t="str">
        <f t="shared" si="53"/>
        <v>Suppressed</v>
      </c>
      <c r="O663" s="1" t="str">
        <f t="shared" si="51"/>
        <v/>
      </c>
      <c r="P663" s="1">
        <v>11</v>
      </c>
      <c r="Q663" s="1">
        <v>1063</v>
      </c>
      <c r="R663" s="1" t="str">
        <f t="shared" si="54"/>
        <v>3</v>
      </c>
      <c r="S663" s="1">
        <v>52</v>
      </c>
      <c r="T663" s="1" t="str">
        <f t="shared" si="52"/>
        <v>2</v>
      </c>
      <c r="U663" s="1">
        <v>-33.293793999999998</v>
      </c>
      <c r="V663" s="3">
        <v>149.01346599999999</v>
      </c>
    </row>
    <row r="664" spans="1:22" x14ac:dyDescent="0.35">
      <c r="A664" s="22" t="s">
        <v>2125</v>
      </c>
      <c r="B664" s="1" t="s">
        <v>2126</v>
      </c>
      <c r="C664" s="1" t="s">
        <v>2127</v>
      </c>
      <c r="D664" s="1" t="s">
        <v>111</v>
      </c>
      <c r="E664" s="1" t="s">
        <v>56</v>
      </c>
      <c r="F664" s="1" t="s">
        <v>57</v>
      </c>
      <c r="G664" s="1">
        <f t="shared" si="50"/>
        <v>2</v>
      </c>
      <c r="H664" s="1" t="s">
        <v>63</v>
      </c>
      <c r="I664" s="1" t="s">
        <v>49</v>
      </c>
      <c r="J664" s="23" t="s">
        <v>50</v>
      </c>
      <c r="K664" s="2" t="s">
        <v>51</v>
      </c>
      <c r="L664" s="1">
        <v>310</v>
      </c>
      <c r="M664" s="1">
        <v>15</v>
      </c>
      <c r="N664" s="1" t="str">
        <f t="shared" si="53"/>
        <v>Published</v>
      </c>
      <c r="O664" s="1">
        <f t="shared" si="51"/>
        <v>46.5</v>
      </c>
      <c r="P664" s="1">
        <v>10</v>
      </c>
      <c r="Q664" s="1">
        <v>981</v>
      </c>
      <c r="R664" s="1" t="str">
        <f t="shared" si="54"/>
        <v>2</v>
      </c>
      <c r="S664" s="1">
        <v>100</v>
      </c>
      <c r="T664" s="1" t="str">
        <f t="shared" si="52"/>
        <v>3</v>
      </c>
      <c r="U664" s="1">
        <v>-32.737698999999999</v>
      </c>
      <c r="V664" s="3">
        <v>152.113091</v>
      </c>
    </row>
    <row r="665" spans="1:22" x14ac:dyDescent="0.35">
      <c r="A665" s="22" t="s">
        <v>2128</v>
      </c>
      <c r="B665" s="1" t="s">
        <v>2129</v>
      </c>
      <c r="C665" s="1" t="s">
        <v>2130</v>
      </c>
      <c r="D665" s="1" t="s">
        <v>90</v>
      </c>
      <c r="E665" s="1" t="s">
        <v>91</v>
      </c>
      <c r="F665" s="1" t="s">
        <v>57</v>
      </c>
      <c r="G665" s="1">
        <f t="shared" si="50"/>
        <v>2</v>
      </c>
      <c r="H665" s="1" t="s">
        <v>92</v>
      </c>
      <c r="I665" s="1" t="s">
        <v>49</v>
      </c>
      <c r="J665" s="23" t="s">
        <v>50</v>
      </c>
      <c r="K665" s="2" t="s">
        <v>51</v>
      </c>
      <c r="L665" s="1">
        <v>193</v>
      </c>
      <c r="M665" s="1">
        <v>17</v>
      </c>
      <c r="N665" s="1" t="str">
        <f t="shared" si="53"/>
        <v>Published</v>
      </c>
      <c r="O665" s="1">
        <f t="shared" si="51"/>
        <v>32.81</v>
      </c>
      <c r="P665" s="1">
        <v>4</v>
      </c>
      <c r="Q665" s="1">
        <v>996</v>
      </c>
      <c r="R665" s="1" t="str">
        <f t="shared" si="54"/>
        <v>2</v>
      </c>
      <c r="S665" s="1">
        <v>81</v>
      </c>
      <c r="T665" s="1" t="str">
        <f t="shared" si="52"/>
        <v>2</v>
      </c>
      <c r="U665" s="1">
        <v>-31.126524</v>
      </c>
      <c r="V665" s="3">
        <v>151.00415599999999</v>
      </c>
    </row>
    <row r="666" spans="1:22" x14ac:dyDescent="0.35">
      <c r="A666" s="22" t="s">
        <v>2131</v>
      </c>
      <c r="B666" s="1" t="s">
        <v>2132</v>
      </c>
      <c r="C666" s="1" t="s">
        <v>2133</v>
      </c>
      <c r="D666" s="1" t="s">
        <v>685</v>
      </c>
      <c r="E666" s="1" t="s">
        <v>147</v>
      </c>
      <c r="F666" s="1" t="s">
        <v>47</v>
      </c>
      <c r="G666" s="1">
        <f t="shared" si="50"/>
        <v>1</v>
      </c>
      <c r="H666" s="1" t="s">
        <v>148</v>
      </c>
      <c r="I666" s="1" t="s">
        <v>49</v>
      </c>
      <c r="J666" s="23" t="s">
        <v>50</v>
      </c>
      <c r="K666" s="2" t="s">
        <v>51</v>
      </c>
      <c r="L666" s="1">
        <v>641</v>
      </c>
      <c r="M666" s="1">
        <v>0</v>
      </c>
      <c r="N666" s="1" t="str">
        <f t="shared" si="53"/>
        <v>Published</v>
      </c>
      <c r="O666" s="1">
        <f t="shared" si="51"/>
        <v>0</v>
      </c>
      <c r="P666" s="1">
        <v>48</v>
      </c>
      <c r="Q666" s="1">
        <v>1169</v>
      </c>
      <c r="R666" s="1" t="str">
        <f t="shared" si="54"/>
        <v>4</v>
      </c>
      <c r="S666" s="1">
        <v>0</v>
      </c>
      <c r="T666" s="1" t="str">
        <f t="shared" si="52"/>
        <v>4</v>
      </c>
      <c r="U666" s="1">
        <v>-33.832610000000003</v>
      </c>
      <c r="V666" s="3">
        <v>151.219605</v>
      </c>
    </row>
    <row r="667" spans="1:22" x14ac:dyDescent="0.35">
      <c r="A667" s="22" t="s">
        <v>2134</v>
      </c>
      <c r="B667" s="1" t="s">
        <v>2135</v>
      </c>
      <c r="C667" s="1" t="s">
        <v>2136</v>
      </c>
      <c r="D667" s="1" t="s">
        <v>457</v>
      </c>
      <c r="E667" s="1" t="s">
        <v>261</v>
      </c>
      <c r="F667" s="1" t="s">
        <v>69</v>
      </c>
      <c r="G667" s="1">
        <f t="shared" si="50"/>
        <v>3</v>
      </c>
      <c r="H667" s="1" t="s">
        <v>58</v>
      </c>
      <c r="I667" s="1" t="s">
        <v>49</v>
      </c>
      <c r="J667" s="23" t="s">
        <v>50</v>
      </c>
      <c r="K667" s="2" t="s">
        <v>51</v>
      </c>
      <c r="L667" s="1">
        <v>9</v>
      </c>
      <c r="M667" s="1"/>
      <c r="N667" s="1" t="str">
        <f t="shared" si="53"/>
        <v>Suppressed</v>
      </c>
      <c r="O667" s="1" t="str">
        <f t="shared" si="51"/>
        <v/>
      </c>
      <c r="P667" s="1">
        <v>0</v>
      </c>
      <c r="Q667" s="1">
        <v>974</v>
      </c>
      <c r="R667" s="1" t="str">
        <f t="shared" si="54"/>
        <v>2</v>
      </c>
      <c r="S667" s="1">
        <v>86</v>
      </c>
      <c r="T667" s="1" t="str">
        <f t="shared" si="52"/>
        <v>1</v>
      </c>
      <c r="U667" s="1">
        <v>-33.708658</v>
      </c>
      <c r="V667" s="3">
        <v>149.21678399999999</v>
      </c>
    </row>
    <row r="668" spans="1:22" x14ac:dyDescent="0.35">
      <c r="A668" s="22" t="s">
        <v>2137</v>
      </c>
      <c r="B668" s="1" t="s">
        <v>2138</v>
      </c>
      <c r="C668" s="1" t="s">
        <v>74</v>
      </c>
      <c r="D668" s="1" t="s">
        <v>74</v>
      </c>
      <c r="E668" s="1" t="s">
        <v>75</v>
      </c>
      <c r="F668" s="1" t="s">
        <v>47</v>
      </c>
      <c r="G668" s="1">
        <f t="shared" si="50"/>
        <v>1</v>
      </c>
      <c r="H668" s="1" t="s">
        <v>63</v>
      </c>
      <c r="I668" s="1" t="s">
        <v>49</v>
      </c>
      <c r="J668" s="23" t="s">
        <v>50</v>
      </c>
      <c r="K668" s="2" t="s">
        <v>51</v>
      </c>
      <c r="L668" s="1">
        <v>260</v>
      </c>
      <c r="M668" s="1">
        <v>3</v>
      </c>
      <c r="N668" s="1" t="str">
        <f t="shared" si="53"/>
        <v>Published</v>
      </c>
      <c r="O668" s="1">
        <f t="shared" si="51"/>
        <v>7.8</v>
      </c>
      <c r="P668" s="1">
        <v>29</v>
      </c>
      <c r="Q668" s="1">
        <v>1112</v>
      </c>
      <c r="R668" s="1" t="str">
        <f t="shared" si="54"/>
        <v>4</v>
      </c>
      <c r="S668" s="1">
        <v>26</v>
      </c>
      <c r="T668" s="1" t="str">
        <f t="shared" si="52"/>
        <v>2</v>
      </c>
      <c r="U668" s="1">
        <v>-32.930284999999998</v>
      </c>
      <c r="V668" s="3">
        <v>151.776915</v>
      </c>
    </row>
    <row r="669" spans="1:22" x14ac:dyDescent="0.35">
      <c r="A669" s="22" t="s">
        <v>2139</v>
      </c>
      <c r="B669" s="1" t="s">
        <v>2140</v>
      </c>
      <c r="C669" s="1" t="s">
        <v>2141</v>
      </c>
      <c r="D669" s="1" t="s">
        <v>74</v>
      </c>
      <c r="E669" s="1" t="s">
        <v>75</v>
      </c>
      <c r="F669" s="1" t="s">
        <v>47</v>
      </c>
      <c r="G669" s="1">
        <f t="shared" si="50"/>
        <v>1</v>
      </c>
      <c r="H669" s="1" t="s">
        <v>63</v>
      </c>
      <c r="I669" s="1" t="s">
        <v>49</v>
      </c>
      <c r="J669" s="23" t="s">
        <v>50</v>
      </c>
      <c r="K669" s="2" t="s">
        <v>51</v>
      </c>
      <c r="L669" s="1">
        <v>538</v>
      </c>
      <c r="M669" s="1">
        <v>5</v>
      </c>
      <c r="N669" s="1" t="str">
        <f t="shared" si="53"/>
        <v>Published</v>
      </c>
      <c r="O669" s="1">
        <f t="shared" si="51"/>
        <v>26.900000000000002</v>
      </c>
      <c r="P669" s="1">
        <v>32</v>
      </c>
      <c r="Q669" s="1">
        <v>1108</v>
      </c>
      <c r="R669" s="1" t="str">
        <f t="shared" si="54"/>
        <v>4</v>
      </c>
      <c r="S669" s="1">
        <v>34</v>
      </c>
      <c r="T669" s="1" t="str">
        <f t="shared" si="52"/>
        <v>3</v>
      </c>
      <c r="U669" s="1">
        <v>-32.922604</v>
      </c>
      <c r="V669" s="3">
        <v>151.712784</v>
      </c>
    </row>
    <row r="670" spans="1:22" x14ac:dyDescent="0.35">
      <c r="A670" s="22" t="s">
        <v>2142</v>
      </c>
      <c r="B670" s="1" t="s">
        <v>2143</v>
      </c>
      <c r="C670" s="1" t="s">
        <v>2144</v>
      </c>
      <c r="D670" s="1" t="s">
        <v>203</v>
      </c>
      <c r="E670" s="1" t="s">
        <v>204</v>
      </c>
      <c r="F670" s="1" t="s">
        <v>47</v>
      </c>
      <c r="G670" s="1">
        <f t="shared" si="50"/>
        <v>1</v>
      </c>
      <c r="H670" s="1" t="s">
        <v>148</v>
      </c>
      <c r="I670" s="1" t="s">
        <v>49</v>
      </c>
      <c r="J670" s="23" t="s">
        <v>50</v>
      </c>
      <c r="K670" s="2" t="s">
        <v>51</v>
      </c>
      <c r="L670" s="1">
        <v>556</v>
      </c>
      <c r="M670" s="1">
        <v>1</v>
      </c>
      <c r="N670" s="1" t="str">
        <f t="shared" si="53"/>
        <v>Published</v>
      </c>
      <c r="O670" s="1">
        <f t="shared" si="51"/>
        <v>5.5600000000000005</v>
      </c>
      <c r="P670" s="1">
        <v>14</v>
      </c>
      <c r="Q670" s="1">
        <v>1093</v>
      </c>
      <c r="R670" s="1" t="str">
        <f t="shared" si="54"/>
        <v>3</v>
      </c>
      <c r="S670" s="1">
        <v>36</v>
      </c>
      <c r="T670" s="1" t="str">
        <f t="shared" si="52"/>
        <v>3</v>
      </c>
      <c r="U670" s="1">
        <v>-33.660561000000001</v>
      </c>
      <c r="V670" s="3">
        <v>151.31223700000001</v>
      </c>
    </row>
    <row r="671" spans="1:22" x14ac:dyDescent="0.35">
      <c r="A671" s="22" t="s">
        <v>2145</v>
      </c>
      <c r="B671" s="1" t="s">
        <v>2146</v>
      </c>
      <c r="C671" s="1" t="s">
        <v>2147</v>
      </c>
      <c r="D671" s="1" t="s">
        <v>106</v>
      </c>
      <c r="E671" s="1" t="s">
        <v>107</v>
      </c>
      <c r="F671" s="1" t="s">
        <v>57</v>
      </c>
      <c r="G671" s="1">
        <f t="shared" si="50"/>
        <v>2</v>
      </c>
      <c r="H671" s="1" t="s">
        <v>92</v>
      </c>
      <c r="I671" s="1" t="s">
        <v>49</v>
      </c>
      <c r="J671" s="23" t="s">
        <v>50</v>
      </c>
      <c r="K671" s="2" t="s">
        <v>51</v>
      </c>
      <c r="L671" s="1">
        <v>61</v>
      </c>
      <c r="M671" s="1"/>
      <c r="N671" s="1" t="str">
        <f t="shared" si="53"/>
        <v>Suppressed</v>
      </c>
      <c r="O671" s="1" t="str">
        <f t="shared" si="51"/>
        <v/>
      </c>
      <c r="P671" s="1">
        <v>18</v>
      </c>
      <c r="Q671" s="1">
        <v>1082</v>
      </c>
      <c r="R671" s="1" t="str">
        <f t="shared" si="54"/>
        <v>3</v>
      </c>
      <c r="S671" s="1">
        <v>40</v>
      </c>
      <c r="T671" s="1" t="str">
        <f t="shared" si="52"/>
        <v>1</v>
      </c>
      <c r="U671" s="1">
        <v>-28.717113999999999</v>
      </c>
      <c r="V671" s="3">
        <v>153.53305499999999</v>
      </c>
    </row>
    <row r="672" spans="1:22" x14ac:dyDescent="0.35">
      <c r="A672" s="22" t="s">
        <v>2148</v>
      </c>
      <c r="B672" s="1" t="s">
        <v>2149</v>
      </c>
      <c r="C672" s="1" t="s">
        <v>681</v>
      </c>
      <c r="D672" s="1" t="s">
        <v>1003</v>
      </c>
      <c r="E672" s="1" t="s">
        <v>225</v>
      </c>
      <c r="F672" s="1" t="s">
        <v>47</v>
      </c>
      <c r="G672" s="1">
        <f t="shared" si="50"/>
        <v>1</v>
      </c>
      <c r="H672" s="1" t="s">
        <v>48</v>
      </c>
      <c r="I672" s="1" t="s">
        <v>49</v>
      </c>
      <c r="J672" s="23" t="s">
        <v>50</v>
      </c>
      <c r="K672" s="2" t="s">
        <v>51</v>
      </c>
      <c r="L672" s="1">
        <v>221</v>
      </c>
      <c r="M672" s="1">
        <v>4</v>
      </c>
      <c r="N672" s="1" t="str">
        <f t="shared" si="53"/>
        <v>Published</v>
      </c>
      <c r="O672" s="1">
        <f t="shared" si="51"/>
        <v>8.84</v>
      </c>
      <c r="P672" s="1">
        <v>34</v>
      </c>
      <c r="Q672" s="1">
        <v>1132</v>
      </c>
      <c r="R672" s="1" t="str">
        <f t="shared" si="54"/>
        <v>4</v>
      </c>
      <c r="S672" s="1">
        <v>8</v>
      </c>
      <c r="T672" s="1" t="str">
        <f t="shared" si="52"/>
        <v>2</v>
      </c>
      <c r="U672" s="1">
        <v>-33.891821</v>
      </c>
      <c r="V672" s="3">
        <v>151.18539200000001</v>
      </c>
    </row>
    <row r="673" spans="1:22" x14ac:dyDescent="0.35">
      <c r="A673" s="22" t="s">
        <v>2150</v>
      </c>
      <c r="B673" s="1" t="s">
        <v>2151</v>
      </c>
      <c r="C673" s="1" t="s">
        <v>2152</v>
      </c>
      <c r="D673" s="1" t="s">
        <v>90</v>
      </c>
      <c r="E673" s="1" t="s">
        <v>91</v>
      </c>
      <c r="F673" s="1" t="s">
        <v>69</v>
      </c>
      <c r="G673" s="1">
        <f t="shared" si="50"/>
        <v>3</v>
      </c>
      <c r="H673" s="1" t="s">
        <v>92</v>
      </c>
      <c r="I673" s="1" t="s">
        <v>49</v>
      </c>
      <c r="J673" s="23" t="s">
        <v>50</v>
      </c>
      <c r="K673" s="2" t="s">
        <v>51</v>
      </c>
      <c r="L673" s="1">
        <v>11</v>
      </c>
      <c r="M673" s="1">
        <v>0</v>
      </c>
      <c r="N673" s="1" t="str">
        <f t="shared" si="53"/>
        <v>Published</v>
      </c>
      <c r="O673" s="1">
        <f t="shared" si="51"/>
        <v>0</v>
      </c>
      <c r="P673" s="1"/>
      <c r="Q673" s="1">
        <v>995</v>
      </c>
      <c r="R673" s="1" t="str">
        <f t="shared" si="54"/>
        <v>2</v>
      </c>
      <c r="S673" s="1">
        <v>74</v>
      </c>
      <c r="T673" s="1" t="str">
        <f t="shared" si="52"/>
        <v>1</v>
      </c>
      <c r="U673" s="1">
        <v>-31.298041000000001</v>
      </c>
      <c r="V673" s="3">
        <v>151.40861899999999</v>
      </c>
    </row>
    <row r="674" spans="1:22" x14ac:dyDescent="0.35">
      <c r="A674" s="22" t="s">
        <v>2153</v>
      </c>
      <c r="B674" s="1" t="s">
        <v>2154</v>
      </c>
      <c r="C674" s="1" t="s">
        <v>2155</v>
      </c>
      <c r="D674" s="1" t="s">
        <v>115</v>
      </c>
      <c r="E674" s="1" t="s">
        <v>46</v>
      </c>
      <c r="F674" s="1" t="s">
        <v>47</v>
      </c>
      <c r="G674" s="1">
        <f t="shared" si="50"/>
        <v>1</v>
      </c>
      <c r="H674" s="1" t="s">
        <v>48</v>
      </c>
      <c r="I674" s="1" t="s">
        <v>49</v>
      </c>
      <c r="J674" s="23" t="s">
        <v>50</v>
      </c>
      <c r="K674" s="2" t="s">
        <v>51</v>
      </c>
      <c r="L674" s="1">
        <v>95</v>
      </c>
      <c r="M674" s="1"/>
      <c r="N674" s="1" t="str">
        <f t="shared" si="53"/>
        <v>Suppressed</v>
      </c>
      <c r="O674" s="1" t="str">
        <f t="shared" si="51"/>
        <v/>
      </c>
      <c r="P674" s="1">
        <v>18</v>
      </c>
      <c r="Q674" s="1">
        <v>1151</v>
      </c>
      <c r="R674" s="1" t="str">
        <f t="shared" si="54"/>
        <v>4</v>
      </c>
      <c r="S674" s="1">
        <v>1</v>
      </c>
      <c r="T674" s="1" t="str">
        <f t="shared" si="52"/>
        <v>1</v>
      </c>
      <c r="U674" s="1">
        <v>-33.855744000000001</v>
      </c>
      <c r="V674" s="3">
        <v>151.19318799999999</v>
      </c>
    </row>
    <row r="675" spans="1:22" x14ac:dyDescent="0.35">
      <c r="A675" s="22" t="s">
        <v>2156</v>
      </c>
      <c r="B675" s="1" t="s">
        <v>2157</v>
      </c>
      <c r="C675" s="1" t="s">
        <v>2158</v>
      </c>
      <c r="D675" s="1" t="s">
        <v>390</v>
      </c>
      <c r="E675" s="1" t="s">
        <v>107</v>
      </c>
      <c r="F675" s="1" t="s">
        <v>57</v>
      </c>
      <c r="G675" s="1">
        <f t="shared" si="50"/>
        <v>2</v>
      </c>
      <c r="H675" s="1" t="s">
        <v>92</v>
      </c>
      <c r="I675" s="1" t="s">
        <v>132</v>
      </c>
      <c r="J675" s="23" t="s">
        <v>50</v>
      </c>
      <c r="K675" s="2" t="s">
        <v>51</v>
      </c>
      <c r="L675" s="1">
        <v>242.6</v>
      </c>
      <c r="M675" s="1">
        <v>17</v>
      </c>
      <c r="N675" s="1" t="str">
        <f t="shared" si="53"/>
        <v>Published</v>
      </c>
      <c r="O675" s="1">
        <f t="shared" si="51"/>
        <v>41.242000000000004</v>
      </c>
      <c r="P675" s="1">
        <v>21</v>
      </c>
      <c r="Q675" s="1">
        <v>956</v>
      </c>
      <c r="R675" s="1" t="str">
        <f t="shared" si="54"/>
        <v>2</v>
      </c>
      <c r="S675" s="1">
        <v>120</v>
      </c>
      <c r="T675" s="1" t="str">
        <f t="shared" si="52"/>
        <v>2</v>
      </c>
      <c r="U675" s="1">
        <v>-28.595870999999999</v>
      </c>
      <c r="V675" s="3">
        <v>153.22089099999999</v>
      </c>
    </row>
    <row r="676" spans="1:22" x14ac:dyDescent="0.35">
      <c r="A676" s="22" t="s">
        <v>2159</v>
      </c>
      <c r="B676" s="1" t="s">
        <v>2160</v>
      </c>
      <c r="C676" s="1" t="s">
        <v>2161</v>
      </c>
      <c r="D676" s="1" t="s">
        <v>67</v>
      </c>
      <c r="E676" s="1" t="s">
        <v>68</v>
      </c>
      <c r="F676" s="1" t="s">
        <v>69</v>
      </c>
      <c r="G676" s="1">
        <f t="shared" si="50"/>
        <v>3</v>
      </c>
      <c r="H676" s="1" t="s">
        <v>70</v>
      </c>
      <c r="I676" s="1" t="s">
        <v>49</v>
      </c>
      <c r="J676" s="23" t="s">
        <v>50</v>
      </c>
      <c r="K676" s="2" t="s">
        <v>51</v>
      </c>
      <c r="L676" s="1">
        <v>11</v>
      </c>
      <c r="M676" s="1"/>
      <c r="N676" s="1" t="str">
        <f t="shared" si="53"/>
        <v>Suppressed</v>
      </c>
      <c r="O676" s="1" t="str">
        <f t="shared" si="51"/>
        <v/>
      </c>
      <c r="P676" s="1"/>
      <c r="Q676" s="1">
        <v>920</v>
      </c>
      <c r="R676" s="1" t="str">
        <f t="shared" si="54"/>
        <v>2</v>
      </c>
      <c r="S676" s="1">
        <v>119</v>
      </c>
      <c r="T676" s="1" t="str">
        <f t="shared" si="52"/>
        <v>1</v>
      </c>
      <c r="U676" s="1">
        <v>-36.510936999999998</v>
      </c>
      <c r="V676" s="3">
        <v>149.28959900000001</v>
      </c>
    </row>
    <row r="677" spans="1:22" x14ac:dyDescent="0.35">
      <c r="A677" s="22" t="s">
        <v>2162</v>
      </c>
      <c r="B677" s="1" t="s">
        <v>2163</v>
      </c>
      <c r="C677" s="1" t="s">
        <v>2164</v>
      </c>
      <c r="D677" s="1" t="s">
        <v>288</v>
      </c>
      <c r="E677" s="1" t="s">
        <v>68</v>
      </c>
      <c r="F677" s="1" t="s">
        <v>69</v>
      </c>
      <c r="G677" s="1">
        <f t="shared" si="50"/>
        <v>3</v>
      </c>
      <c r="H677" s="1" t="s">
        <v>86</v>
      </c>
      <c r="I677" s="1" t="s">
        <v>49</v>
      </c>
      <c r="J677" s="23" t="s">
        <v>50</v>
      </c>
      <c r="K677" s="2" t="s">
        <v>51</v>
      </c>
      <c r="L677" s="1">
        <v>384</v>
      </c>
      <c r="M677" s="1">
        <v>21</v>
      </c>
      <c r="N677" s="1" t="str">
        <f t="shared" si="53"/>
        <v>Published</v>
      </c>
      <c r="O677" s="1">
        <f t="shared" si="51"/>
        <v>80.64</v>
      </c>
      <c r="P677" s="1">
        <v>8</v>
      </c>
      <c r="Q677" s="1">
        <v>956</v>
      </c>
      <c r="R677" s="1" t="str">
        <f t="shared" si="54"/>
        <v>2</v>
      </c>
      <c r="S677" s="1">
        <v>103</v>
      </c>
      <c r="T677" s="1" t="str">
        <f t="shared" si="52"/>
        <v>3</v>
      </c>
      <c r="U677" s="1">
        <v>-36.218595000000001</v>
      </c>
      <c r="V677" s="3">
        <v>150.13733500000001</v>
      </c>
    </row>
    <row r="678" spans="1:22" x14ac:dyDescent="0.35">
      <c r="A678" s="22" t="s">
        <v>2165</v>
      </c>
      <c r="B678" s="1" t="s">
        <v>2166</v>
      </c>
      <c r="C678" s="1" t="s">
        <v>2167</v>
      </c>
      <c r="D678" s="1" t="s">
        <v>191</v>
      </c>
      <c r="E678" s="1" t="s">
        <v>75</v>
      </c>
      <c r="F678" s="1" t="s">
        <v>57</v>
      </c>
      <c r="G678" s="1">
        <f t="shared" si="50"/>
        <v>2</v>
      </c>
      <c r="H678" s="1" t="s">
        <v>63</v>
      </c>
      <c r="I678" s="1" t="s">
        <v>49</v>
      </c>
      <c r="J678" s="23" t="s">
        <v>50</v>
      </c>
      <c r="K678" s="2" t="s">
        <v>51</v>
      </c>
      <c r="L678" s="1">
        <v>180</v>
      </c>
      <c r="M678" s="1">
        <v>7</v>
      </c>
      <c r="N678" s="1" t="str">
        <f t="shared" si="53"/>
        <v>Published</v>
      </c>
      <c r="O678" s="1">
        <f t="shared" si="51"/>
        <v>12.600000000000001</v>
      </c>
      <c r="P678" s="1">
        <v>9</v>
      </c>
      <c r="Q678" s="1">
        <v>1023</v>
      </c>
      <c r="R678" s="1" t="str">
        <f t="shared" si="54"/>
        <v>3</v>
      </c>
      <c r="S678" s="1">
        <v>70</v>
      </c>
      <c r="T678" s="1" t="str">
        <f t="shared" si="52"/>
        <v>2</v>
      </c>
      <c r="U678" s="1">
        <v>-33.135817000000003</v>
      </c>
      <c r="V678" s="3">
        <v>151.605087</v>
      </c>
    </row>
    <row r="679" spans="1:22" x14ac:dyDescent="0.35">
      <c r="A679" s="22" t="s">
        <v>2168</v>
      </c>
      <c r="B679" s="1" t="s">
        <v>2169</v>
      </c>
      <c r="C679" s="1" t="s">
        <v>2170</v>
      </c>
      <c r="D679" s="1" t="s">
        <v>126</v>
      </c>
      <c r="E679" s="1" t="s">
        <v>147</v>
      </c>
      <c r="F679" s="1" t="s">
        <v>47</v>
      </c>
      <c r="G679" s="1">
        <f t="shared" si="50"/>
        <v>1</v>
      </c>
      <c r="H679" s="1" t="s">
        <v>148</v>
      </c>
      <c r="I679" s="1" t="s">
        <v>49</v>
      </c>
      <c r="J679" s="23" t="s">
        <v>50</v>
      </c>
      <c r="K679" s="2" t="s">
        <v>51</v>
      </c>
      <c r="L679" s="1">
        <v>372</v>
      </c>
      <c r="M679" s="1"/>
      <c r="N679" s="1" t="str">
        <f t="shared" si="53"/>
        <v>Suppressed</v>
      </c>
      <c r="O679" s="1" t="str">
        <f t="shared" si="51"/>
        <v/>
      </c>
      <c r="P679" s="1">
        <v>48</v>
      </c>
      <c r="Q679" s="1">
        <v>1139</v>
      </c>
      <c r="R679" s="1" t="str">
        <f t="shared" si="54"/>
        <v>4</v>
      </c>
      <c r="S679" s="1">
        <v>15</v>
      </c>
      <c r="T679" s="1" t="str">
        <f t="shared" si="52"/>
        <v>3</v>
      </c>
      <c r="U679" s="1">
        <v>-33.723331999999999</v>
      </c>
      <c r="V679" s="3">
        <v>151.098026</v>
      </c>
    </row>
    <row r="680" spans="1:22" x14ac:dyDescent="0.35">
      <c r="A680" s="22" t="s">
        <v>2171</v>
      </c>
      <c r="B680" s="1" t="s">
        <v>2172</v>
      </c>
      <c r="C680" s="1" t="s">
        <v>2173</v>
      </c>
      <c r="D680" s="1" t="s">
        <v>146</v>
      </c>
      <c r="E680" s="1" t="s">
        <v>147</v>
      </c>
      <c r="F680" s="1" t="s">
        <v>47</v>
      </c>
      <c r="G680" s="1">
        <f t="shared" si="50"/>
        <v>1</v>
      </c>
      <c r="H680" s="1" t="s">
        <v>148</v>
      </c>
      <c r="I680" s="1" t="s">
        <v>49</v>
      </c>
      <c r="J680" s="23" t="s">
        <v>50</v>
      </c>
      <c r="K680" s="2" t="s">
        <v>51</v>
      </c>
      <c r="L680" s="1">
        <v>364</v>
      </c>
      <c r="M680" s="1"/>
      <c r="N680" s="1" t="str">
        <f t="shared" si="53"/>
        <v>Suppressed</v>
      </c>
      <c r="O680" s="1" t="str">
        <f t="shared" si="51"/>
        <v/>
      </c>
      <c r="P680" s="1">
        <v>38</v>
      </c>
      <c r="Q680" s="1">
        <v>1181</v>
      </c>
      <c r="R680" s="1" t="str">
        <f t="shared" si="54"/>
        <v>4</v>
      </c>
      <c r="S680" s="1">
        <v>0</v>
      </c>
      <c r="T680" s="1" t="str">
        <f t="shared" si="52"/>
        <v>3</v>
      </c>
      <c r="U680" s="1">
        <v>-33.813034000000002</v>
      </c>
      <c r="V680" s="3">
        <v>151.21859699999999</v>
      </c>
    </row>
    <row r="681" spans="1:22" x14ac:dyDescent="0.35">
      <c r="A681" s="22" t="s">
        <v>2174</v>
      </c>
      <c r="B681" s="1" t="s">
        <v>2175</v>
      </c>
      <c r="C681" s="1" t="s">
        <v>2176</v>
      </c>
      <c r="D681" s="1" t="s">
        <v>642</v>
      </c>
      <c r="E681" s="1" t="s">
        <v>170</v>
      </c>
      <c r="F681" s="1" t="s">
        <v>47</v>
      </c>
      <c r="G681" s="1">
        <f t="shared" si="50"/>
        <v>1</v>
      </c>
      <c r="H681" s="1" t="s">
        <v>48</v>
      </c>
      <c r="I681" s="1" t="s">
        <v>49</v>
      </c>
      <c r="J681" s="23" t="s">
        <v>50</v>
      </c>
      <c r="K681" s="2" t="s">
        <v>51</v>
      </c>
      <c r="L681" s="1">
        <v>614</v>
      </c>
      <c r="M681" s="1">
        <v>2</v>
      </c>
      <c r="N681" s="1" t="str">
        <f t="shared" si="53"/>
        <v>Published</v>
      </c>
      <c r="O681" s="1">
        <f t="shared" si="51"/>
        <v>12.280000000000001</v>
      </c>
      <c r="P681" s="1">
        <v>53</v>
      </c>
      <c r="Q681" s="1">
        <v>1082</v>
      </c>
      <c r="R681" s="1" t="str">
        <f t="shared" si="54"/>
        <v>3</v>
      </c>
      <c r="S681" s="1">
        <v>40</v>
      </c>
      <c r="T681" s="1" t="str">
        <f t="shared" si="52"/>
        <v>4</v>
      </c>
      <c r="U681" s="1">
        <v>-33.786510999999997</v>
      </c>
      <c r="V681" s="3">
        <v>150.99075300000001</v>
      </c>
    </row>
    <row r="682" spans="1:22" x14ac:dyDescent="0.35">
      <c r="A682" s="22" t="s">
        <v>2177</v>
      </c>
      <c r="B682" s="1" t="s">
        <v>2178</v>
      </c>
      <c r="C682" s="1" t="s">
        <v>2179</v>
      </c>
      <c r="D682" s="1" t="s">
        <v>642</v>
      </c>
      <c r="E682" s="1" t="s">
        <v>170</v>
      </c>
      <c r="F682" s="1" t="s">
        <v>47</v>
      </c>
      <c r="G682" s="1">
        <f t="shared" si="50"/>
        <v>1</v>
      </c>
      <c r="H682" s="1" t="s">
        <v>148</v>
      </c>
      <c r="I682" s="1" t="s">
        <v>49</v>
      </c>
      <c r="J682" s="23" t="s">
        <v>50</v>
      </c>
      <c r="K682" s="2" t="s">
        <v>51</v>
      </c>
      <c r="L682" s="1">
        <v>861</v>
      </c>
      <c r="M682" s="1"/>
      <c r="N682" s="1" t="str">
        <f t="shared" si="53"/>
        <v>Suppressed</v>
      </c>
      <c r="O682" s="1" t="str">
        <f t="shared" si="51"/>
        <v/>
      </c>
      <c r="P682" s="1">
        <v>71</v>
      </c>
      <c r="Q682" s="1">
        <v>1137</v>
      </c>
      <c r="R682" s="1" t="str">
        <f t="shared" si="54"/>
        <v>4</v>
      </c>
      <c r="S682" s="1">
        <v>17</v>
      </c>
      <c r="T682" s="1" t="str">
        <f t="shared" si="52"/>
        <v>4</v>
      </c>
      <c r="U682" s="1">
        <v>-33.768425000000001</v>
      </c>
      <c r="V682" s="3">
        <v>151.025148</v>
      </c>
    </row>
    <row r="683" spans="1:22" x14ac:dyDescent="0.35">
      <c r="A683" s="22" t="s">
        <v>2180</v>
      </c>
      <c r="B683" s="1" t="s">
        <v>2181</v>
      </c>
      <c r="C683" s="1" t="s">
        <v>2182</v>
      </c>
      <c r="D683" s="1" t="s">
        <v>415</v>
      </c>
      <c r="E683" s="1" t="s">
        <v>91</v>
      </c>
      <c r="F683" s="1" t="s">
        <v>69</v>
      </c>
      <c r="G683" s="1">
        <f t="shared" si="50"/>
        <v>3</v>
      </c>
      <c r="H683" s="1" t="s">
        <v>92</v>
      </c>
      <c r="I683" s="1" t="s">
        <v>49</v>
      </c>
      <c r="J683" s="23" t="s">
        <v>50</v>
      </c>
      <c r="K683" s="2" t="s">
        <v>51</v>
      </c>
      <c r="L683" s="1">
        <v>22</v>
      </c>
      <c r="M683" s="1"/>
      <c r="N683" s="1" t="str">
        <f t="shared" si="53"/>
        <v>Suppressed</v>
      </c>
      <c r="O683" s="1" t="str">
        <f t="shared" si="51"/>
        <v/>
      </c>
      <c r="P683" s="1"/>
      <c r="Q683" s="1">
        <v>973</v>
      </c>
      <c r="R683" s="1" t="str">
        <f t="shared" si="54"/>
        <v>2</v>
      </c>
      <c r="S683" s="1">
        <v>100</v>
      </c>
      <c r="T683" s="1" t="str">
        <f t="shared" si="52"/>
        <v>1</v>
      </c>
      <c r="U683" s="1">
        <v>-28.926653000000002</v>
      </c>
      <c r="V683" s="3">
        <v>150.39289099999999</v>
      </c>
    </row>
    <row r="684" spans="1:22" x14ac:dyDescent="0.35">
      <c r="A684" s="22" t="s">
        <v>2183</v>
      </c>
      <c r="B684" s="1" t="s">
        <v>2184</v>
      </c>
      <c r="C684" s="1" t="s">
        <v>2185</v>
      </c>
      <c r="D684" s="1" t="s">
        <v>685</v>
      </c>
      <c r="E684" s="1" t="s">
        <v>147</v>
      </c>
      <c r="F684" s="1" t="s">
        <v>47</v>
      </c>
      <c r="G684" s="1">
        <f t="shared" si="50"/>
        <v>1</v>
      </c>
      <c r="H684" s="1" t="s">
        <v>148</v>
      </c>
      <c r="I684" s="1" t="s">
        <v>49</v>
      </c>
      <c r="J684" s="23" t="s">
        <v>50</v>
      </c>
      <c r="K684" s="2" t="s">
        <v>51</v>
      </c>
      <c r="L684" s="1">
        <v>756</v>
      </c>
      <c r="M684" s="1">
        <v>2</v>
      </c>
      <c r="N684" s="1" t="str">
        <f t="shared" si="53"/>
        <v>Published</v>
      </c>
      <c r="O684" s="1">
        <f t="shared" si="51"/>
        <v>15.120000000000001</v>
      </c>
      <c r="P684" s="1">
        <v>51</v>
      </c>
      <c r="Q684" s="1">
        <v>1144</v>
      </c>
      <c r="R684" s="1" t="str">
        <f t="shared" si="54"/>
        <v>4</v>
      </c>
      <c r="S684" s="1">
        <v>7</v>
      </c>
      <c r="T684" s="1" t="str">
        <f t="shared" si="52"/>
        <v>4</v>
      </c>
      <c r="U684" s="1">
        <v>-33.834819000000003</v>
      </c>
      <c r="V684" s="3">
        <v>151.20368500000001</v>
      </c>
    </row>
    <row r="685" spans="1:22" x14ac:dyDescent="0.35">
      <c r="A685" s="22" t="s">
        <v>2186</v>
      </c>
      <c r="B685" s="1" t="s">
        <v>2187</v>
      </c>
      <c r="C685" s="1" t="s">
        <v>2188</v>
      </c>
      <c r="D685" s="1" t="s">
        <v>382</v>
      </c>
      <c r="E685" s="1" t="s">
        <v>196</v>
      </c>
      <c r="F685" s="1" t="s">
        <v>57</v>
      </c>
      <c r="G685" s="1">
        <f t="shared" si="50"/>
        <v>2</v>
      </c>
      <c r="H685" s="1" t="s">
        <v>86</v>
      </c>
      <c r="I685" s="1" t="s">
        <v>49</v>
      </c>
      <c r="J685" s="23" t="s">
        <v>50</v>
      </c>
      <c r="K685" s="2" t="s">
        <v>51</v>
      </c>
      <c r="L685" s="1">
        <v>517</v>
      </c>
      <c r="M685" s="1">
        <v>33</v>
      </c>
      <c r="N685" s="1" t="str">
        <f t="shared" si="53"/>
        <v>Published</v>
      </c>
      <c r="O685" s="1">
        <f t="shared" si="51"/>
        <v>170.61</v>
      </c>
      <c r="P685" s="1">
        <v>9</v>
      </c>
      <c r="Q685" s="1">
        <v>904</v>
      </c>
      <c r="R685" s="1" t="str">
        <f t="shared" si="54"/>
        <v>2</v>
      </c>
      <c r="S685" s="1">
        <v>126</v>
      </c>
      <c r="T685" s="1" t="str">
        <f t="shared" si="52"/>
        <v>3</v>
      </c>
      <c r="U685" s="1">
        <v>-34.879407</v>
      </c>
      <c r="V685" s="3">
        <v>150.60051999999999</v>
      </c>
    </row>
    <row r="686" spans="1:22" x14ac:dyDescent="0.35">
      <c r="A686" s="22" t="s">
        <v>2189</v>
      </c>
      <c r="B686" s="1" t="s">
        <v>2190</v>
      </c>
      <c r="C686" s="1" t="s">
        <v>2191</v>
      </c>
      <c r="D686" s="1" t="s">
        <v>62</v>
      </c>
      <c r="E686" s="1" t="s">
        <v>56</v>
      </c>
      <c r="F686" s="1" t="s">
        <v>47</v>
      </c>
      <c r="G686" s="1">
        <f t="shared" si="50"/>
        <v>1</v>
      </c>
      <c r="H686" s="1" t="s">
        <v>63</v>
      </c>
      <c r="I686" s="1" t="s">
        <v>49</v>
      </c>
      <c r="J686" s="23" t="s">
        <v>50</v>
      </c>
      <c r="K686" s="2" t="s">
        <v>51</v>
      </c>
      <c r="L686" s="1">
        <v>389</v>
      </c>
      <c r="M686" s="1">
        <v>20</v>
      </c>
      <c r="N686" s="1" t="str">
        <f t="shared" si="53"/>
        <v>Published</v>
      </c>
      <c r="O686" s="1">
        <f t="shared" si="51"/>
        <v>77.800000000000011</v>
      </c>
      <c r="P686" s="1">
        <v>3</v>
      </c>
      <c r="Q686" s="1">
        <v>931</v>
      </c>
      <c r="R686" s="1" t="str">
        <f t="shared" si="54"/>
        <v>2</v>
      </c>
      <c r="S686" s="1">
        <v>126</v>
      </c>
      <c r="T686" s="1" t="str">
        <f t="shared" si="52"/>
        <v>3</v>
      </c>
      <c r="U686" s="1">
        <v>-32.810690999999998</v>
      </c>
      <c r="V686" s="3">
        <v>151.34781000000001</v>
      </c>
    </row>
    <row r="687" spans="1:22" x14ac:dyDescent="0.35">
      <c r="A687" s="22" t="s">
        <v>2192</v>
      </c>
      <c r="B687" s="1" t="s">
        <v>2193</v>
      </c>
      <c r="C687" s="1" t="s">
        <v>2194</v>
      </c>
      <c r="D687" s="1" t="s">
        <v>90</v>
      </c>
      <c r="E687" s="1" t="s">
        <v>91</v>
      </c>
      <c r="F687" s="1" t="s">
        <v>69</v>
      </c>
      <c r="G687" s="1">
        <f t="shared" si="50"/>
        <v>3</v>
      </c>
      <c r="H687" s="1" t="s">
        <v>92</v>
      </c>
      <c r="I687" s="1" t="s">
        <v>49</v>
      </c>
      <c r="J687" s="23" t="s">
        <v>50</v>
      </c>
      <c r="K687" s="2" t="s">
        <v>51</v>
      </c>
      <c r="L687" s="1">
        <v>27</v>
      </c>
      <c r="M687" s="1"/>
      <c r="N687" s="1" t="str">
        <f t="shared" si="53"/>
        <v>Suppressed</v>
      </c>
      <c r="O687" s="1" t="str">
        <f t="shared" si="51"/>
        <v/>
      </c>
      <c r="P687" s="1"/>
      <c r="Q687" s="1">
        <v>955</v>
      </c>
      <c r="R687" s="1" t="str">
        <f t="shared" si="54"/>
        <v>2</v>
      </c>
      <c r="S687" s="1">
        <v>98</v>
      </c>
      <c r="T687" s="1" t="str">
        <f t="shared" si="52"/>
        <v>1</v>
      </c>
      <c r="U687" s="1">
        <v>-31.459683999999999</v>
      </c>
      <c r="V687" s="3">
        <v>151.12742900000001</v>
      </c>
    </row>
    <row r="688" spans="1:22" x14ac:dyDescent="0.35">
      <c r="A688" s="22" t="s">
        <v>2195</v>
      </c>
      <c r="B688" s="1" t="s">
        <v>2196</v>
      </c>
      <c r="C688" s="1" t="s">
        <v>2197</v>
      </c>
      <c r="D688" s="1" t="s">
        <v>280</v>
      </c>
      <c r="E688" s="1" t="s">
        <v>281</v>
      </c>
      <c r="F688" s="1" t="s">
        <v>69</v>
      </c>
      <c r="G688" s="1">
        <f t="shared" si="50"/>
        <v>3</v>
      </c>
      <c r="H688" s="1" t="s">
        <v>92</v>
      </c>
      <c r="I688" s="1" t="s">
        <v>49</v>
      </c>
      <c r="J688" s="23" t="s">
        <v>50</v>
      </c>
      <c r="K688" s="2" t="s">
        <v>51</v>
      </c>
      <c r="L688" s="1">
        <v>19</v>
      </c>
      <c r="M688" s="1">
        <v>32</v>
      </c>
      <c r="N688" s="1" t="str">
        <f t="shared" si="53"/>
        <v>Published</v>
      </c>
      <c r="O688" s="1">
        <f t="shared" si="51"/>
        <v>6.08</v>
      </c>
      <c r="P688" s="1"/>
      <c r="Q688" s="1">
        <v>908</v>
      </c>
      <c r="R688" s="1" t="str">
        <f t="shared" si="54"/>
        <v>2</v>
      </c>
      <c r="S688" s="1">
        <v>148</v>
      </c>
      <c r="T688" s="1" t="str">
        <f t="shared" si="52"/>
        <v>1</v>
      </c>
      <c r="U688" s="1">
        <v>-29.947482000000001</v>
      </c>
      <c r="V688" s="3">
        <v>152.72796399999999</v>
      </c>
    </row>
    <row r="689" spans="1:22" x14ac:dyDescent="0.35">
      <c r="A689" s="22" t="s">
        <v>2198</v>
      </c>
      <c r="B689" s="1" t="s">
        <v>2199</v>
      </c>
      <c r="C689" s="1" t="s">
        <v>2200</v>
      </c>
      <c r="D689" s="1" t="s">
        <v>1274</v>
      </c>
      <c r="E689" s="1" t="s">
        <v>102</v>
      </c>
      <c r="F689" s="1" t="s">
        <v>241</v>
      </c>
      <c r="G689" s="1">
        <f t="shared" si="50"/>
        <v>4</v>
      </c>
      <c r="H689" s="1" t="s">
        <v>70</v>
      </c>
      <c r="I689" s="1" t="s">
        <v>49</v>
      </c>
      <c r="J689" s="23" t="s">
        <v>50</v>
      </c>
      <c r="K689" s="2" t="s">
        <v>51</v>
      </c>
      <c r="L689" s="1">
        <v>131</v>
      </c>
      <c r="M689" s="1">
        <v>66</v>
      </c>
      <c r="N689" s="1" t="str">
        <f t="shared" si="53"/>
        <v>Published</v>
      </c>
      <c r="O689" s="1">
        <f t="shared" si="51"/>
        <v>86.460000000000008</v>
      </c>
      <c r="P689" s="1">
        <v>5</v>
      </c>
      <c r="Q689" s="1">
        <v>765</v>
      </c>
      <c r="R689" s="1" t="str">
        <f t="shared" si="54"/>
        <v>1</v>
      </c>
      <c r="S689" s="1">
        <v>163</v>
      </c>
      <c r="T689" s="1" t="str">
        <f t="shared" si="52"/>
        <v>2</v>
      </c>
      <c r="U689" s="1">
        <v>-31.568397999999998</v>
      </c>
      <c r="V689" s="3">
        <v>147.19525899999999</v>
      </c>
    </row>
    <row r="690" spans="1:22" x14ac:dyDescent="0.35">
      <c r="A690" s="22" t="s">
        <v>2201</v>
      </c>
      <c r="B690" s="1" t="s">
        <v>2202</v>
      </c>
      <c r="C690" s="1" t="s">
        <v>2203</v>
      </c>
      <c r="D690" s="1" t="s">
        <v>121</v>
      </c>
      <c r="E690" s="1" t="s">
        <v>122</v>
      </c>
      <c r="F690" s="1" t="s">
        <v>57</v>
      </c>
      <c r="G690" s="1">
        <f t="shared" si="50"/>
        <v>2</v>
      </c>
      <c r="H690" s="1" t="s">
        <v>86</v>
      </c>
      <c r="I690" s="1" t="s">
        <v>49</v>
      </c>
      <c r="J690" s="23" t="s">
        <v>50</v>
      </c>
      <c r="K690" s="2" t="s">
        <v>51</v>
      </c>
      <c r="L690" s="1">
        <v>141</v>
      </c>
      <c r="M690" s="1">
        <v>19</v>
      </c>
      <c r="N690" s="1" t="str">
        <f t="shared" si="53"/>
        <v>Published</v>
      </c>
      <c r="O690" s="1">
        <f t="shared" si="51"/>
        <v>26.79</v>
      </c>
      <c r="P690" s="1">
        <v>11</v>
      </c>
      <c r="Q690" s="1">
        <v>945</v>
      </c>
      <c r="R690" s="1" t="str">
        <f t="shared" si="54"/>
        <v>2</v>
      </c>
      <c r="S690" s="1">
        <v>121</v>
      </c>
      <c r="T690" s="1" t="str">
        <f t="shared" si="52"/>
        <v>2</v>
      </c>
      <c r="U690" s="1">
        <v>-34.078907000000001</v>
      </c>
      <c r="V690" s="3">
        <v>150.508197</v>
      </c>
    </row>
    <row r="691" spans="1:22" x14ac:dyDescent="0.35">
      <c r="A691" s="22" t="s">
        <v>2204</v>
      </c>
      <c r="B691" s="1" t="s">
        <v>2205</v>
      </c>
      <c r="C691" s="1" t="s">
        <v>2206</v>
      </c>
      <c r="D691" s="1" t="s">
        <v>529</v>
      </c>
      <c r="E691" s="1" t="s">
        <v>96</v>
      </c>
      <c r="F691" s="1" t="s">
        <v>69</v>
      </c>
      <c r="G691" s="1">
        <f t="shared" si="50"/>
        <v>3</v>
      </c>
      <c r="H691" s="1" t="s">
        <v>70</v>
      </c>
      <c r="I691" s="1" t="s">
        <v>132</v>
      </c>
      <c r="J691" s="23" t="s">
        <v>50</v>
      </c>
      <c r="K691" s="2" t="s">
        <v>51</v>
      </c>
      <c r="L691" s="1">
        <v>36</v>
      </c>
      <c r="M691" s="1"/>
      <c r="N691" s="1" t="str">
        <f t="shared" si="53"/>
        <v>Suppressed</v>
      </c>
      <c r="O691" s="1" t="str">
        <f t="shared" si="51"/>
        <v/>
      </c>
      <c r="P691" s="1"/>
      <c r="Q691" s="1">
        <v>962</v>
      </c>
      <c r="R691" s="1" t="str">
        <f t="shared" si="54"/>
        <v>2</v>
      </c>
      <c r="S691" s="1">
        <v>119</v>
      </c>
      <c r="T691" s="1" t="str">
        <f t="shared" si="52"/>
        <v>1</v>
      </c>
      <c r="U691" s="1">
        <v>-35.552669000000002</v>
      </c>
      <c r="V691" s="3">
        <v>146.17176799999999</v>
      </c>
    </row>
    <row r="692" spans="1:22" x14ac:dyDescent="0.35">
      <c r="A692" s="22" t="s">
        <v>2207</v>
      </c>
      <c r="B692" s="1" t="s">
        <v>2208</v>
      </c>
      <c r="C692" s="1" t="s">
        <v>2209</v>
      </c>
      <c r="D692" s="1" t="s">
        <v>121</v>
      </c>
      <c r="E692" s="1" t="s">
        <v>122</v>
      </c>
      <c r="F692" s="1" t="s">
        <v>57</v>
      </c>
      <c r="G692" s="1">
        <f t="shared" si="50"/>
        <v>2</v>
      </c>
      <c r="H692" s="1" t="s">
        <v>86</v>
      </c>
      <c r="I692" s="1" t="s">
        <v>49</v>
      </c>
      <c r="J692" s="23" t="s">
        <v>50</v>
      </c>
      <c r="K692" s="2" t="s">
        <v>51</v>
      </c>
      <c r="L692" s="1">
        <v>308</v>
      </c>
      <c r="M692" s="1">
        <v>9</v>
      </c>
      <c r="N692" s="1" t="str">
        <f t="shared" si="53"/>
        <v>Published</v>
      </c>
      <c r="O692" s="1">
        <f t="shared" si="51"/>
        <v>27.72</v>
      </c>
      <c r="P692" s="1">
        <v>9</v>
      </c>
      <c r="Q692" s="1">
        <v>977</v>
      </c>
      <c r="R692" s="1" t="str">
        <f t="shared" si="54"/>
        <v>2</v>
      </c>
      <c r="S692" s="1">
        <v>105</v>
      </c>
      <c r="T692" s="1" t="str">
        <f t="shared" si="52"/>
        <v>3</v>
      </c>
      <c r="U692" s="1">
        <v>-34.078384999999997</v>
      </c>
      <c r="V692" s="3">
        <v>150.57172399999999</v>
      </c>
    </row>
    <row r="693" spans="1:22" x14ac:dyDescent="0.35">
      <c r="A693" s="22" t="s">
        <v>2210</v>
      </c>
      <c r="B693" s="1" t="s">
        <v>2211</v>
      </c>
      <c r="C693" s="1" t="s">
        <v>2212</v>
      </c>
      <c r="D693" s="1" t="s">
        <v>404</v>
      </c>
      <c r="E693" s="1" t="s">
        <v>127</v>
      </c>
      <c r="F693" s="1" t="s">
        <v>47</v>
      </c>
      <c r="G693" s="1">
        <f t="shared" si="50"/>
        <v>1</v>
      </c>
      <c r="H693" s="1" t="s">
        <v>63</v>
      </c>
      <c r="I693" s="1" t="s">
        <v>49</v>
      </c>
      <c r="J693" s="23" t="s">
        <v>50</v>
      </c>
      <c r="K693" s="2" t="s">
        <v>51</v>
      </c>
      <c r="L693" s="1">
        <v>612</v>
      </c>
      <c r="M693" s="1">
        <v>5</v>
      </c>
      <c r="N693" s="1" t="str">
        <f t="shared" si="53"/>
        <v>Published</v>
      </c>
      <c r="O693" s="1">
        <f t="shared" si="51"/>
        <v>30.6</v>
      </c>
      <c r="P693" s="1">
        <v>34</v>
      </c>
      <c r="Q693" s="1">
        <v>1032</v>
      </c>
      <c r="R693" s="1" t="str">
        <f t="shared" si="54"/>
        <v>3</v>
      </c>
      <c r="S693" s="1">
        <v>75</v>
      </c>
      <c r="T693" s="1" t="str">
        <f t="shared" si="52"/>
        <v>4</v>
      </c>
      <c r="U693" s="1">
        <v>-33.620452</v>
      </c>
      <c r="V693" s="3">
        <v>150.87054000000001</v>
      </c>
    </row>
    <row r="694" spans="1:22" x14ac:dyDescent="0.35">
      <c r="A694" s="22" t="s">
        <v>2213</v>
      </c>
      <c r="B694" s="1" t="s">
        <v>2214</v>
      </c>
      <c r="C694" s="1" t="s">
        <v>2215</v>
      </c>
      <c r="D694" s="1" t="s">
        <v>386</v>
      </c>
      <c r="E694" s="1" t="s">
        <v>229</v>
      </c>
      <c r="F694" s="1" t="s">
        <v>47</v>
      </c>
      <c r="G694" s="1">
        <f t="shared" si="50"/>
        <v>1</v>
      </c>
      <c r="H694" s="1" t="s">
        <v>48</v>
      </c>
      <c r="I694" s="1" t="s">
        <v>49</v>
      </c>
      <c r="J694" s="23" t="s">
        <v>50</v>
      </c>
      <c r="K694" s="2" t="s">
        <v>51</v>
      </c>
      <c r="L694" s="1">
        <v>365</v>
      </c>
      <c r="M694" s="1">
        <v>2</v>
      </c>
      <c r="N694" s="1" t="str">
        <f t="shared" si="53"/>
        <v>Published</v>
      </c>
      <c r="O694" s="1">
        <f t="shared" si="51"/>
        <v>7.3</v>
      </c>
      <c r="P694" s="1">
        <v>45</v>
      </c>
      <c r="Q694" s="1">
        <v>1126</v>
      </c>
      <c r="R694" s="1" t="str">
        <f t="shared" si="54"/>
        <v>4</v>
      </c>
      <c r="S694" s="1">
        <v>22</v>
      </c>
      <c r="T694" s="1" t="str">
        <f t="shared" si="52"/>
        <v>3</v>
      </c>
      <c r="U694" s="1">
        <v>-33.983741000000002</v>
      </c>
      <c r="V694" s="3">
        <v>151.080332</v>
      </c>
    </row>
    <row r="695" spans="1:22" x14ac:dyDescent="0.35">
      <c r="A695" s="22" t="s">
        <v>2216</v>
      </c>
      <c r="B695" s="1" t="s">
        <v>2217</v>
      </c>
      <c r="C695" s="1" t="s">
        <v>2218</v>
      </c>
      <c r="D695" s="1" t="s">
        <v>2219</v>
      </c>
      <c r="E695" s="1" t="s">
        <v>261</v>
      </c>
      <c r="F695" s="1" t="s">
        <v>57</v>
      </c>
      <c r="G695" s="1">
        <f t="shared" si="50"/>
        <v>2</v>
      </c>
      <c r="H695" s="1" t="s">
        <v>58</v>
      </c>
      <c r="I695" s="1" t="s">
        <v>49</v>
      </c>
      <c r="J695" s="23" t="s">
        <v>50</v>
      </c>
      <c r="K695" s="2" t="s">
        <v>51</v>
      </c>
      <c r="L695" s="1">
        <v>218</v>
      </c>
      <c r="M695" s="1">
        <v>17</v>
      </c>
      <c r="N695" s="1" t="str">
        <f t="shared" si="53"/>
        <v>Published</v>
      </c>
      <c r="O695" s="1">
        <f t="shared" si="51"/>
        <v>37.06</v>
      </c>
      <c r="P695" s="1">
        <v>6</v>
      </c>
      <c r="Q695" s="1">
        <v>920</v>
      </c>
      <c r="R695" s="1" t="str">
        <f t="shared" si="54"/>
        <v>2</v>
      </c>
      <c r="S695" s="1">
        <v>136</v>
      </c>
      <c r="T695" s="1" t="str">
        <f t="shared" si="52"/>
        <v>2</v>
      </c>
      <c r="U695" s="1">
        <v>-33.703254000000001</v>
      </c>
      <c r="V695" s="3">
        <v>149.86451700000001</v>
      </c>
    </row>
    <row r="696" spans="1:22" x14ac:dyDescent="0.35">
      <c r="A696" s="22" t="s">
        <v>2220</v>
      </c>
      <c r="B696" s="1" t="s">
        <v>2221</v>
      </c>
      <c r="C696" s="1" t="s">
        <v>2222</v>
      </c>
      <c r="D696" s="1" t="s">
        <v>291</v>
      </c>
      <c r="E696" s="1" t="s">
        <v>261</v>
      </c>
      <c r="F696" s="1" t="s">
        <v>57</v>
      </c>
      <c r="G696" s="1">
        <f t="shared" si="50"/>
        <v>2</v>
      </c>
      <c r="H696" s="1" t="s">
        <v>58</v>
      </c>
      <c r="I696" s="1" t="s">
        <v>49</v>
      </c>
      <c r="J696" s="23" t="s">
        <v>50</v>
      </c>
      <c r="K696" s="2" t="s">
        <v>51</v>
      </c>
      <c r="L696" s="1">
        <v>68</v>
      </c>
      <c r="M696" s="1"/>
      <c r="N696" s="1" t="str">
        <f t="shared" si="53"/>
        <v>Suppressed</v>
      </c>
      <c r="O696" s="1" t="str">
        <f t="shared" si="51"/>
        <v/>
      </c>
      <c r="P696" s="1">
        <v>0</v>
      </c>
      <c r="Q696" s="1">
        <v>1056</v>
      </c>
      <c r="R696" s="1" t="str">
        <f t="shared" si="54"/>
        <v>3</v>
      </c>
      <c r="S696" s="1">
        <v>56</v>
      </c>
      <c r="T696" s="1" t="str">
        <f t="shared" si="52"/>
        <v>1</v>
      </c>
      <c r="U696" s="1">
        <v>-33.524512999999999</v>
      </c>
      <c r="V696" s="3">
        <v>149.72007600000001</v>
      </c>
    </row>
    <row r="697" spans="1:22" x14ac:dyDescent="0.35">
      <c r="A697" s="22" t="s">
        <v>2223</v>
      </c>
      <c r="B697" s="1" t="s">
        <v>2224</v>
      </c>
      <c r="C697" s="1" t="s">
        <v>2225</v>
      </c>
      <c r="D697" s="1" t="s">
        <v>275</v>
      </c>
      <c r="E697" s="1" t="s">
        <v>276</v>
      </c>
      <c r="F697" s="1" t="s">
        <v>57</v>
      </c>
      <c r="G697" s="1">
        <f t="shared" si="50"/>
        <v>2</v>
      </c>
      <c r="H697" s="1" t="s">
        <v>58</v>
      </c>
      <c r="I697" s="1" t="s">
        <v>49</v>
      </c>
      <c r="J697" s="23" t="s">
        <v>50</v>
      </c>
      <c r="K697" s="2" t="s">
        <v>51</v>
      </c>
      <c r="L697" s="1">
        <v>480</v>
      </c>
      <c r="M697" s="1">
        <v>13</v>
      </c>
      <c r="N697" s="1" t="str">
        <f t="shared" si="53"/>
        <v>Published</v>
      </c>
      <c r="O697" s="1">
        <f t="shared" si="51"/>
        <v>62.400000000000006</v>
      </c>
      <c r="P697" s="1">
        <v>8</v>
      </c>
      <c r="Q697" s="1">
        <v>994</v>
      </c>
      <c r="R697" s="1" t="str">
        <f t="shared" si="54"/>
        <v>2</v>
      </c>
      <c r="S697" s="1">
        <v>89</v>
      </c>
      <c r="T697" s="1" t="str">
        <f t="shared" si="52"/>
        <v>3</v>
      </c>
      <c r="U697" s="1">
        <v>-31.972339000000002</v>
      </c>
      <c r="V697" s="3">
        <v>152.588536</v>
      </c>
    </row>
    <row r="698" spans="1:22" x14ac:dyDescent="0.35">
      <c r="A698" s="22" t="s">
        <v>2226</v>
      </c>
      <c r="B698" s="1" t="s">
        <v>2227</v>
      </c>
      <c r="C698" s="1" t="s">
        <v>2228</v>
      </c>
      <c r="D698" s="1" t="s">
        <v>256</v>
      </c>
      <c r="E698" s="1" t="s">
        <v>107</v>
      </c>
      <c r="F698" s="1" t="s">
        <v>69</v>
      </c>
      <c r="G698" s="1">
        <f t="shared" si="50"/>
        <v>3</v>
      </c>
      <c r="H698" s="1" t="s">
        <v>92</v>
      </c>
      <c r="I698" s="1" t="s">
        <v>49</v>
      </c>
      <c r="J698" s="23" t="s">
        <v>50</v>
      </c>
      <c r="K698" s="2" t="s">
        <v>51</v>
      </c>
      <c r="L698" s="1">
        <v>13</v>
      </c>
      <c r="M698" s="1">
        <v>46</v>
      </c>
      <c r="N698" s="1" t="str">
        <f t="shared" si="53"/>
        <v>Published</v>
      </c>
      <c r="O698" s="1">
        <f t="shared" si="51"/>
        <v>5.98</v>
      </c>
      <c r="P698" s="1">
        <v>0</v>
      </c>
      <c r="Q698" s="1">
        <v>776</v>
      </c>
      <c r="R698" s="1" t="str">
        <f t="shared" si="54"/>
        <v>1</v>
      </c>
      <c r="S698" s="1">
        <v>228</v>
      </c>
      <c r="T698" s="1" t="str">
        <f t="shared" si="52"/>
        <v>1</v>
      </c>
      <c r="U698" s="1">
        <v>-28.654622</v>
      </c>
      <c r="V698" s="3">
        <v>152.59741299999999</v>
      </c>
    </row>
    <row r="699" spans="1:22" x14ac:dyDescent="0.35">
      <c r="A699" s="22" t="s">
        <v>2229</v>
      </c>
      <c r="B699" s="1" t="s">
        <v>2230</v>
      </c>
      <c r="C699" s="1" t="s">
        <v>1360</v>
      </c>
      <c r="D699" s="1" t="s">
        <v>537</v>
      </c>
      <c r="E699" s="1" t="s">
        <v>170</v>
      </c>
      <c r="F699" s="1" t="s">
        <v>47</v>
      </c>
      <c r="G699" s="1">
        <f t="shared" si="50"/>
        <v>1</v>
      </c>
      <c r="H699" s="1" t="s">
        <v>48</v>
      </c>
      <c r="I699" s="1" t="s">
        <v>49</v>
      </c>
      <c r="J699" s="23" t="s">
        <v>50</v>
      </c>
      <c r="K699" s="2" t="s">
        <v>51</v>
      </c>
      <c r="L699" s="1">
        <v>411</v>
      </c>
      <c r="M699" s="1"/>
      <c r="N699" s="1" t="str">
        <f t="shared" si="53"/>
        <v>Suppressed</v>
      </c>
      <c r="O699" s="1" t="str">
        <f t="shared" si="51"/>
        <v/>
      </c>
      <c r="P699" s="1">
        <v>95</v>
      </c>
      <c r="Q699" s="1">
        <v>903</v>
      </c>
      <c r="R699" s="1" t="str">
        <f t="shared" si="54"/>
        <v>2</v>
      </c>
      <c r="S699" s="1">
        <v>190</v>
      </c>
      <c r="T699" s="1" t="str">
        <f t="shared" si="52"/>
        <v>3</v>
      </c>
      <c r="U699" s="1">
        <v>-33.867483999999997</v>
      </c>
      <c r="V699" s="3">
        <v>150.98650799999999</v>
      </c>
    </row>
    <row r="700" spans="1:22" x14ac:dyDescent="0.35">
      <c r="A700" s="22" t="s">
        <v>2231</v>
      </c>
      <c r="B700" s="1" t="s">
        <v>2232</v>
      </c>
      <c r="C700" s="1" t="s">
        <v>703</v>
      </c>
      <c r="D700" s="1" t="s">
        <v>703</v>
      </c>
      <c r="E700" s="1" t="s">
        <v>261</v>
      </c>
      <c r="F700" s="1" t="s">
        <v>57</v>
      </c>
      <c r="G700" s="1">
        <f t="shared" si="50"/>
        <v>2</v>
      </c>
      <c r="H700" s="1" t="s">
        <v>70</v>
      </c>
      <c r="I700" s="1" t="s">
        <v>49</v>
      </c>
      <c r="J700" s="23" t="s">
        <v>50</v>
      </c>
      <c r="K700" s="2" t="s">
        <v>51</v>
      </c>
      <c r="L700" s="1">
        <v>270</v>
      </c>
      <c r="M700" s="1">
        <v>24</v>
      </c>
      <c r="N700" s="1" t="str">
        <f t="shared" si="53"/>
        <v>Published</v>
      </c>
      <c r="O700" s="1">
        <f t="shared" si="51"/>
        <v>64.8</v>
      </c>
      <c r="P700" s="1">
        <v>6</v>
      </c>
      <c r="Q700" s="1">
        <v>951</v>
      </c>
      <c r="R700" s="1" t="str">
        <f t="shared" si="54"/>
        <v>2</v>
      </c>
      <c r="S700" s="1">
        <v>100</v>
      </c>
      <c r="T700" s="1" t="str">
        <f t="shared" si="52"/>
        <v>2</v>
      </c>
      <c r="U700" s="1">
        <v>-33.282069</v>
      </c>
      <c r="V700" s="3">
        <v>149.113698</v>
      </c>
    </row>
    <row r="701" spans="1:22" x14ac:dyDescent="0.35">
      <c r="A701" s="22" t="s">
        <v>2233</v>
      </c>
      <c r="B701" s="1" t="s">
        <v>2234</v>
      </c>
      <c r="C701" s="1" t="s">
        <v>1617</v>
      </c>
      <c r="D701" s="1" t="s">
        <v>115</v>
      </c>
      <c r="E701" s="1" t="s">
        <v>46</v>
      </c>
      <c r="F701" s="1" t="s">
        <v>47</v>
      </c>
      <c r="G701" s="1">
        <f t="shared" si="50"/>
        <v>1</v>
      </c>
      <c r="H701" s="1" t="s">
        <v>48</v>
      </c>
      <c r="I701" s="1" t="s">
        <v>49</v>
      </c>
      <c r="J701" s="23" t="s">
        <v>50</v>
      </c>
      <c r="K701" s="2" t="s">
        <v>51</v>
      </c>
      <c r="L701" s="1">
        <v>519</v>
      </c>
      <c r="M701" s="1">
        <v>2</v>
      </c>
      <c r="N701" s="1" t="str">
        <f t="shared" si="53"/>
        <v>Published</v>
      </c>
      <c r="O701" s="1">
        <f t="shared" si="51"/>
        <v>10.38</v>
      </c>
      <c r="P701" s="1">
        <v>22</v>
      </c>
      <c r="Q701" s="1">
        <v>1132</v>
      </c>
      <c r="R701" s="1" t="str">
        <f t="shared" si="54"/>
        <v>4</v>
      </c>
      <c r="S701" s="1">
        <v>14</v>
      </c>
      <c r="T701" s="1" t="str">
        <f t="shared" si="52"/>
        <v>3</v>
      </c>
      <c r="U701" s="1">
        <v>-33.872278000000001</v>
      </c>
      <c r="V701" s="3">
        <v>151.15867800000001</v>
      </c>
    </row>
    <row r="702" spans="1:22" x14ac:dyDescent="0.35">
      <c r="A702" s="22" t="s">
        <v>2235</v>
      </c>
      <c r="B702" s="1" t="s">
        <v>2236</v>
      </c>
      <c r="C702" s="1" t="s">
        <v>2237</v>
      </c>
      <c r="D702" s="1" t="s">
        <v>465</v>
      </c>
      <c r="E702" s="1" t="s">
        <v>281</v>
      </c>
      <c r="F702" s="1" t="s">
        <v>57</v>
      </c>
      <c r="G702" s="1">
        <f t="shared" si="50"/>
        <v>2</v>
      </c>
      <c r="H702" s="1" t="s">
        <v>58</v>
      </c>
      <c r="I702" s="1" t="s">
        <v>49</v>
      </c>
      <c r="J702" s="23" t="s">
        <v>50</v>
      </c>
      <c r="K702" s="2" t="s">
        <v>51</v>
      </c>
      <c r="L702" s="1">
        <v>33</v>
      </c>
      <c r="M702" s="1">
        <v>21</v>
      </c>
      <c r="N702" s="1" t="str">
        <f t="shared" si="53"/>
        <v>Published</v>
      </c>
      <c r="O702" s="1">
        <f t="shared" si="51"/>
        <v>6.93</v>
      </c>
      <c r="P702" s="1"/>
      <c r="Q702" s="1">
        <v>940</v>
      </c>
      <c r="R702" s="1" t="str">
        <f t="shared" si="54"/>
        <v>2</v>
      </c>
      <c r="S702" s="1">
        <v>119</v>
      </c>
      <c r="T702" s="1" t="str">
        <f t="shared" si="52"/>
        <v>1</v>
      </c>
      <c r="U702" s="1">
        <v>-30.289005</v>
      </c>
      <c r="V702" s="3">
        <v>153.01324</v>
      </c>
    </row>
    <row r="703" spans="1:22" x14ac:dyDescent="0.35">
      <c r="A703" s="22" t="s">
        <v>2238</v>
      </c>
      <c r="B703" s="1" t="s">
        <v>2239</v>
      </c>
      <c r="C703" s="1" t="s">
        <v>2240</v>
      </c>
      <c r="D703" s="1" t="s">
        <v>1131</v>
      </c>
      <c r="E703" s="1" t="s">
        <v>429</v>
      </c>
      <c r="F703" s="1" t="s">
        <v>47</v>
      </c>
      <c r="G703" s="1">
        <f t="shared" si="50"/>
        <v>1</v>
      </c>
      <c r="H703" s="1" t="s">
        <v>182</v>
      </c>
      <c r="I703" s="1" t="s">
        <v>49</v>
      </c>
      <c r="J703" s="23" t="s">
        <v>50</v>
      </c>
      <c r="K703" s="2" t="s">
        <v>51</v>
      </c>
      <c r="L703" s="1">
        <v>242</v>
      </c>
      <c r="M703" s="1">
        <v>7</v>
      </c>
      <c r="N703" s="1" t="str">
        <f t="shared" si="53"/>
        <v>Published</v>
      </c>
      <c r="O703" s="1">
        <f t="shared" si="51"/>
        <v>16.940000000000001</v>
      </c>
      <c r="P703" s="1">
        <v>40</v>
      </c>
      <c r="Q703" s="1">
        <v>995</v>
      </c>
      <c r="R703" s="1" t="str">
        <f t="shared" si="54"/>
        <v>2</v>
      </c>
      <c r="S703" s="1">
        <v>102</v>
      </c>
      <c r="T703" s="1" t="str">
        <f t="shared" si="52"/>
        <v>2</v>
      </c>
      <c r="U703" s="1">
        <v>-33.783028999999999</v>
      </c>
      <c r="V703" s="3">
        <v>150.72136499999999</v>
      </c>
    </row>
    <row r="704" spans="1:22" x14ac:dyDescent="0.35">
      <c r="A704" s="22" t="s">
        <v>2241</v>
      </c>
      <c r="B704" s="1" t="s">
        <v>2242</v>
      </c>
      <c r="C704" s="1" t="s">
        <v>2243</v>
      </c>
      <c r="D704" s="1" t="s">
        <v>176</v>
      </c>
      <c r="E704" s="1" t="s">
        <v>85</v>
      </c>
      <c r="F704" s="1" t="s">
        <v>57</v>
      </c>
      <c r="G704" s="1">
        <f t="shared" si="50"/>
        <v>2</v>
      </c>
      <c r="H704" s="1" t="s">
        <v>86</v>
      </c>
      <c r="I704" s="1" t="s">
        <v>49</v>
      </c>
      <c r="J704" s="23" t="s">
        <v>50</v>
      </c>
      <c r="K704" s="2" t="s">
        <v>51</v>
      </c>
      <c r="L704" s="1">
        <v>48</v>
      </c>
      <c r="M704" s="1"/>
      <c r="N704" s="1" t="str">
        <f t="shared" si="53"/>
        <v>Suppressed</v>
      </c>
      <c r="O704" s="1" t="str">
        <f t="shared" si="51"/>
        <v/>
      </c>
      <c r="P704" s="1">
        <v>20</v>
      </c>
      <c r="Q704" s="1">
        <v>1104</v>
      </c>
      <c r="R704" s="1" t="str">
        <f t="shared" si="54"/>
        <v>4</v>
      </c>
      <c r="S704" s="1">
        <v>30</v>
      </c>
      <c r="T704" s="1" t="str">
        <f t="shared" si="52"/>
        <v>1</v>
      </c>
      <c r="U704" s="1">
        <v>-34.212198000000001</v>
      </c>
      <c r="V704" s="3">
        <v>151.001507</v>
      </c>
    </row>
    <row r="705" spans="1:22" x14ac:dyDescent="0.35">
      <c r="A705" s="22" t="s">
        <v>2244</v>
      </c>
      <c r="B705" s="1" t="s">
        <v>2245</v>
      </c>
      <c r="C705" s="1" t="s">
        <v>2246</v>
      </c>
      <c r="D705" s="1" t="s">
        <v>186</v>
      </c>
      <c r="E705" s="1" t="s">
        <v>187</v>
      </c>
      <c r="F705" s="1" t="s">
        <v>47</v>
      </c>
      <c r="G705" s="1">
        <f t="shared" si="50"/>
        <v>1</v>
      </c>
      <c r="H705" s="1" t="s">
        <v>63</v>
      </c>
      <c r="I705" s="1" t="s">
        <v>49</v>
      </c>
      <c r="J705" s="23" t="s">
        <v>50</v>
      </c>
      <c r="K705" s="2" t="s">
        <v>51</v>
      </c>
      <c r="L705" s="1">
        <v>332</v>
      </c>
      <c r="M705" s="1">
        <v>9</v>
      </c>
      <c r="N705" s="1" t="str">
        <f t="shared" si="53"/>
        <v>Published</v>
      </c>
      <c r="O705" s="1">
        <f t="shared" si="51"/>
        <v>29.88</v>
      </c>
      <c r="P705" s="1">
        <v>9</v>
      </c>
      <c r="Q705" s="1">
        <v>1018</v>
      </c>
      <c r="R705" s="1" t="str">
        <f t="shared" si="54"/>
        <v>3</v>
      </c>
      <c r="S705" s="1">
        <v>80</v>
      </c>
      <c r="T705" s="1" t="str">
        <f t="shared" si="52"/>
        <v>3</v>
      </c>
      <c r="U705" s="1">
        <v>-33.354916000000003</v>
      </c>
      <c r="V705" s="3">
        <v>151.368168</v>
      </c>
    </row>
    <row r="706" spans="1:22" x14ac:dyDescent="0.35">
      <c r="A706" s="22" t="s">
        <v>2247</v>
      </c>
      <c r="B706" s="1" t="s">
        <v>2248</v>
      </c>
      <c r="C706" s="1" t="s">
        <v>2249</v>
      </c>
      <c r="D706" s="1" t="s">
        <v>152</v>
      </c>
      <c r="E706" s="1" t="s">
        <v>229</v>
      </c>
      <c r="F706" s="1" t="s">
        <v>47</v>
      </c>
      <c r="G706" s="1">
        <f t="shared" ref="G706:G769" si="55">IF(F706="Major Cities of Australia",1,IF(F706="Inner Regional Australia",2,IF(F706="Outer Regional Australia",3,IF(F706="Remote Australia",4,IF(F706="Very Remote Australia",5,6)))))</f>
        <v>1</v>
      </c>
      <c r="H706" s="1" t="s">
        <v>182</v>
      </c>
      <c r="I706" s="1" t="s">
        <v>49</v>
      </c>
      <c r="J706" s="23" t="s">
        <v>50</v>
      </c>
      <c r="K706" s="2" t="s">
        <v>51</v>
      </c>
      <c r="L706" s="1">
        <v>334</v>
      </c>
      <c r="M706" s="1">
        <v>5</v>
      </c>
      <c r="N706" s="1" t="str">
        <f t="shared" si="53"/>
        <v>Published</v>
      </c>
      <c r="O706" s="1">
        <f t="shared" ref="O706:O769" si="56">IF(OR(M706="",L706=""),"",M706/100*L706)</f>
        <v>16.7</v>
      </c>
      <c r="P706" s="1">
        <v>60</v>
      </c>
      <c r="Q706" s="1">
        <v>1019</v>
      </c>
      <c r="R706" s="1" t="str">
        <f t="shared" si="54"/>
        <v>3</v>
      </c>
      <c r="S706" s="1">
        <v>94</v>
      </c>
      <c r="T706" s="1" t="str">
        <f t="shared" ref="T706:T769" si="57">IF(L706="","No enrolment",IF(L706&lt;100,"1",IF(L706&lt;300,"2",IF(L706&lt;600,"3",IF(L706&lt;1000,"4","5")))))</f>
        <v>3</v>
      </c>
      <c r="U706" s="1">
        <v>-33.954954999999998</v>
      </c>
      <c r="V706" s="3">
        <v>151.03088199999999</v>
      </c>
    </row>
    <row r="707" spans="1:22" x14ac:dyDescent="0.35">
      <c r="A707" s="22" t="s">
        <v>2250</v>
      </c>
      <c r="B707" s="1" t="s">
        <v>2251</v>
      </c>
      <c r="C707" s="1" t="s">
        <v>2252</v>
      </c>
      <c r="D707" s="1" t="s">
        <v>482</v>
      </c>
      <c r="E707" s="1" t="s">
        <v>91</v>
      </c>
      <c r="F707" s="1" t="s">
        <v>69</v>
      </c>
      <c r="G707" s="1">
        <f t="shared" si="55"/>
        <v>3</v>
      </c>
      <c r="H707" s="1" t="s">
        <v>92</v>
      </c>
      <c r="I707" s="1" t="s">
        <v>49</v>
      </c>
      <c r="J707" s="23" t="s">
        <v>50</v>
      </c>
      <c r="K707" s="2" t="s">
        <v>51</v>
      </c>
      <c r="L707" s="1">
        <v>21</v>
      </c>
      <c r="M707" s="1"/>
      <c r="N707" s="1" t="str">
        <f t="shared" ref="N707:N770" si="58">IF(M707="","Suppressed","Published")</f>
        <v>Suppressed</v>
      </c>
      <c r="O707" s="1" t="str">
        <f t="shared" si="56"/>
        <v/>
      </c>
      <c r="P707" s="1">
        <v>0</v>
      </c>
      <c r="Q707" s="1">
        <v>857</v>
      </c>
      <c r="R707" s="1" t="str">
        <f t="shared" ref="R707:R770" si="59">IF(Q707="","No ICSEA",IF(Q707&lt;900,"1",IF(Q707&lt;1000,"2",IF(Q707&lt;1100,"3","4"))))</f>
        <v>1</v>
      </c>
      <c r="S707" s="1">
        <v>166</v>
      </c>
      <c r="T707" s="1" t="str">
        <f t="shared" si="57"/>
        <v>1</v>
      </c>
      <c r="U707" s="1">
        <v>-29.473894000000001</v>
      </c>
      <c r="V707" s="3">
        <v>150.14146400000001</v>
      </c>
    </row>
    <row r="708" spans="1:22" x14ac:dyDescent="0.35">
      <c r="A708" s="22" t="s">
        <v>2253</v>
      </c>
      <c r="B708" s="1" t="s">
        <v>2254</v>
      </c>
      <c r="C708" s="1" t="s">
        <v>2255</v>
      </c>
      <c r="D708" s="1" t="s">
        <v>280</v>
      </c>
      <c r="E708" s="1" t="s">
        <v>281</v>
      </c>
      <c r="F708" s="1" t="s">
        <v>57</v>
      </c>
      <c r="G708" s="1">
        <f t="shared" si="55"/>
        <v>2</v>
      </c>
      <c r="H708" s="1" t="s">
        <v>92</v>
      </c>
      <c r="I708" s="1" t="s">
        <v>49</v>
      </c>
      <c r="J708" s="23" t="s">
        <v>50</v>
      </c>
      <c r="K708" s="2" t="s">
        <v>51</v>
      </c>
      <c r="L708" s="1">
        <v>56</v>
      </c>
      <c r="M708" s="1">
        <v>14</v>
      </c>
      <c r="N708" s="1" t="str">
        <f t="shared" si="58"/>
        <v>Published</v>
      </c>
      <c r="O708" s="1">
        <f t="shared" si="56"/>
        <v>7.8400000000000007</v>
      </c>
      <c r="P708" s="1"/>
      <c r="Q708" s="1">
        <v>944</v>
      </c>
      <c r="R708" s="1" t="str">
        <f t="shared" si="59"/>
        <v>2</v>
      </c>
      <c r="S708" s="1">
        <v>134</v>
      </c>
      <c r="T708" s="1" t="str">
        <f t="shared" si="57"/>
        <v>1</v>
      </c>
      <c r="U708" s="1">
        <v>-29.419567000000001</v>
      </c>
      <c r="V708" s="3">
        <v>153.28822</v>
      </c>
    </row>
    <row r="709" spans="1:22" x14ac:dyDescent="0.35">
      <c r="A709" s="22" t="s">
        <v>2256</v>
      </c>
      <c r="B709" s="1" t="s">
        <v>2257</v>
      </c>
      <c r="C709" s="1" t="s">
        <v>2258</v>
      </c>
      <c r="D709" s="1" t="s">
        <v>314</v>
      </c>
      <c r="E709" s="1" t="s">
        <v>68</v>
      </c>
      <c r="F709" s="1" t="s">
        <v>69</v>
      </c>
      <c r="G709" s="1">
        <f t="shared" si="55"/>
        <v>3</v>
      </c>
      <c r="H709" s="1" t="s">
        <v>70</v>
      </c>
      <c r="I709" s="1" t="s">
        <v>49</v>
      </c>
      <c r="J709" s="23" t="s">
        <v>50</v>
      </c>
      <c r="K709" s="2" t="s">
        <v>51</v>
      </c>
      <c r="L709" s="1">
        <v>257</v>
      </c>
      <c r="M709" s="1">
        <v>7</v>
      </c>
      <c r="N709" s="1" t="str">
        <f t="shared" si="58"/>
        <v>Published</v>
      </c>
      <c r="O709" s="1">
        <f t="shared" si="56"/>
        <v>17.990000000000002</v>
      </c>
      <c r="P709" s="1">
        <v>7</v>
      </c>
      <c r="Q709" s="1">
        <v>994</v>
      </c>
      <c r="R709" s="1" t="str">
        <f t="shared" si="59"/>
        <v>2</v>
      </c>
      <c r="S709" s="1">
        <v>94</v>
      </c>
      <c r="T709" s="1" t="str">
        <f t="shared" si="57"/>
        <v>2</v>
      </c>
      <c r="U709" s="1">
        <v>-36.925482000000002</v>
      </c>
      <c r="V709" s="3">
        <v>149.871813</v>
      </c>
    </row>
    <row r="710" spans="1:22" x14ac:dyDescent="0.35">
      <c r="A710" s="22" t="s">
        <v>2259</v>
      </c>
      <c r="B710" s="1" t="s">
        <v>2260</v>
      </c>
      <c r="C710" s="1" t="s">
        <v>478</v>
      </c>
      <c r="D710" s="1" t="s">
        <v>478</v>
      </c>
      <c r="E710" s="1" t="s">
        <v>261</v>
      </c>
      <c r="F710" s="1" t="s">
        <v>69</v>
      </c>
      <c r="G710" s="1">
        <f t="shared" si="55"/>
        <v>3</v>
      </c>
      <c r="H710" s="1" t="s">
        <v>70</v>
      </c>
      <c r="I710" s="1" t="s">
        <v>49</v>
      </c>
      <c r="J710" s="23" t="s">
        <v>50</v>
      </c>
      <c r="K710" s="2" t="s">
        <v>51</v>
      </c>
      <c r="L710" s="1">
        <v>363</v>
      </c>
      <c r="M710" s="1">
        <v>36</v>
      </c>
      <c r="N710" s="1" t="str">
        <f t="shared" si="58"/>
        <v>Published</v>
      </c>
      <c r="O710" s="1">
        <f t="shared" si="56"/>
        <v>130.68</v>
      </c>
      <c r="P710" s="1">
        <v>3</v>
      </c>
      <c r="Q710" s="1">
        <v>896</v>
      </c>
      <c r="R710" s="1" t="str">
        <f t="shared" si="59"/>
        <v>1</v>
      </c>
      <c r="S710" s="1">
        <v>136</v>
      </c>
      <c r="T710" s="1" t="str">
        <f t="shared" si="57"/>
        <v>3</v>
      </c>
      <c r="U710" s="1">
        <v>-33.132289999999998</v>
      </c>
      <c r="V710" s="3">
        <v>148.17631399999999</v>
      </c>
    </row>
    <row r="711" spans="1:22" x14ac:dyDescent="0.35">
      <c r="A711" s="22" t="s">
        <v>2261</v>
      </c>
      <c r="B711" s="1" t="s">
        <v>2262</v>
      </c>
      <c r="C711" s="1" t="s">
        <v>2263</v>
      </c>
      <c r="D711" s="1" t="s">
        <v>837</v>
      </c>
      <c r="E711" s="1" t="s">
        <v>838</v>
      </c>
      <c r="F711" s="1" t="s">
        <v>47</v>
      </c>
      <c r="G711" s="1">
        <f t="shared" si="55"/>
        <v>1</v>
      </c>
      <c r="H711" s="1" t="s">
        <v>148</v>
      </c>
      <c r="I711" s="1" t="s">
        <v>49</v>
      </c>
      <c r="J711" s="23" t="s">
        <v>50</v>
      </c>
      <c r="K711" s="2" t="s">
        <v>51</v>
      </c>
      <c r="L711" s="1">
        <v>566</v>
      </c>
      <c r="M711" s="1">
        <v>4</v>
      </c>
      <c r="N711" s="1" t="str">
        <f t="shared" si="58"/>
        <v>Published</v>
      </c>
      <c r="O711" s="1">
        <f t="shared" si="56"/>
        <v>22.64</v>
      </c>
      <c r="P711" s="1">
        <v>62</v>
      </c>
      <c r="Q711" s="1">
        <v>1083</v>
      </c>
      <c r="R711" s="1" t="str">
        <f t="shared" si="59"/>
        <v>3</v>
      </c>
      <c r="S711" s="1">
        <v>40</v>
      </c>
      <c r="T711" s="1" t="str">
        <f t="shared" si="57"/>
        <v>3</v>
      </c>
      <c r="U711" s="1">
        <v>-33.725884999999998</v>
      </c>
      <c r="V711" s="3">
        <v>150.93476000000001</v>
      </c>
    </row>
    <row r="712" spans="1:22" x14ac:dyDescent="0.35">
      <c r="A712" s="22" t="s">
        <v>2264</v>
      </c>
      <c r="B712" s="1" t="s">
        <v>2265</v>
      </c>
      <c r="C712" s="1" t="s">
        <v>2266</v>
      </c>
      <c r="D712" s="1" t="s">
        <v>642</v>
      </c>
      <c r="E712" s="1" t="s">
        <v>170</v>
      </c>
      <c r="F712" s="1" t="s">
        <v>47</v>
      </c>
      <c r="G712" s="1">
        <f t="shared" si="55"/>
        <v>1</v>
      </c>
      <c r="H712" s="1" t="s">
        <v>48</v>
      </c>
      <c r="I712" s="1" t="s">
        <v>49</v>
      </c>
      <c r="J712" s="23" t="s">
        <v>50</v>
      </c>
      <c r="K712" s="2" t="s">
        <v>51</v>
      </c>
      <c r="L712" s="1">
        <v>671</v>
      </c>
      <c r="M712" s="1"/>
      <c r="N712" s="1" t="str">
        <f t="shared" si="58"/>
        <v>Suppressed</v>
      </c>
      <c r="O712" s="1" t="str">
        <f t="shared" si="56"/>
        <v/>
      </c>
      <c r="P712" s="1">
        <v>96</v>
      </c>
      <c r="Q712" s="1">
        <v>1134</v>
      </c>
      <c r="R712" s="1" t="str">
        <f t="shared" si="59"/>
        <v>4</v>
      </c>
      <c r="S712" s="1">
        <v>9</v>
      </c>
      <c r="T712" s="1" t="str">
        <f t="shared" si="57"/>
        <v>4</v>
      </c>
      <c r="U712" s="1">
        <v>-33.816820999999997</v>
      </c>
      <c r="V712" s="3">
        <v>151.008374</v>
      </c>
    </row>
    <row r="713" spans="1:22" x14ac:dyDescent="0.35">
      <c r="A713" s="22" t="s">
        <v>2267</v>
      </c>
      <c r="B713" s="1" t="s">
        <v>2268</v>
      </c>
      <c r="C713" s="1" t="s">
        <v>2269</v>
      </c>
      <c r="D713" s="1" t="s">
        <v>280</v>
      </c>
      <c r="E713" s="1" t="s">
        <v>281</v>
      </c>
      <c r="F713" s="1" t="s">
        <v>57</v>
      </c>
      <c r="G713" s="1">
        <f t="shared" si="55"/>
        <v>2</v>
      </c>
      <c r="H713" s="1" t="s">
        <v>92</v>
      </c>
      <c r="I713" s="1" t="s">
        <v>49</v>
      </c>
      <c r="J713" s="23" t="s">
        <v>50</v>
      </c>
      <c r="K713" s="2" t="s">
        <v>51</v>
      </c>
      <c r="L713" s="1">
        <v>29</v>
      </c>
      <c r="M713" s="1"/>
      <c r="N713" s="1" t="str">
        <f t="shared" si="58"/>
        <v>Suppressed</v>
      </c>
      <c r="O713" s="1" t="str">
        <f t="shared" si="56"/>
        <v/>
      </c>
      <c r="P713" s="1"/>
      <c r="Q713" s="1">
        <v>1021</v>
      </c>
      <c r="R713" s="1" t="str">
        <f t="shared" si="59"/>
        <v>3</v>
      </c>
      <c r="S713" s="1">
        <v>78</v>
      </c>
      <c r="T713" s="1" t="str">
        <f t="shared" si="57"/>
        <v>1</v>
      </c>
      <c r="U713" s="1">
        <v>-29.870923000000001</v>
      </c>
      <c r="V713" s="3">
        <v>153.265781</v>
      </c>
    </row>
    <row r="714" spans="1:22" x14ac:dyDescent="0.35">
      <c r="A714" s="22" t="s">
        <v>2270</v>
      </c>
      <c r="B714" s="1" t="s">
        <v>2271</v>
      </c>
      <c r="C714" s="1" t="s">
        <v>2272</v>
      </c>
      <c r="D714" s="1" t="s">
        <v>642</v>
      </c>
      <c r="E714" s="1" t="s">
        <v>170</v>
      </c>
      <c r="F714" s="1" t="s">
        <v>47</v>
      </c>
      <c r="G714" s="1">
        <f t="shared" si="55"/>
        <v>1</v>
      </c>
      <c r="H714" s="1" t="s">
        <v>48</v>
      </c>
      <c r="I714" s="1" t="s">
        <v>49</v>
      </c>
      <c r="J714" s="23" t="s">
        <v>50</v>
      </c>
      <c r="K714" s="2" t="s">
        <v>51</v>
      </c>
      <c r="L714" s="1">
        <v>253</v>
      </c>
      <c r="M714" s="1">
        <v>3</v>
      </c>
      <c r="N714" s="1" t="str">
        <f t="shared" si="58"/>
        <v>Published</v>
      </c>
      <c r="O714" s="1">
        <f t="shared" si="56"/>
        <v>7.59</v>
      </c>
      <c r="P714" s="1">
        <v>80</v>
      </c>
      <c r="Q714" s="1">
        <v>1077</v>
      </c>
      <c r="R714" s="1" t="str">
        <f t="shared" si="59"/>
        <v>3</v>
      </c>
      <c r="S714" s="1">
        <v>52</v>
      </c>
      <c r="T714" s="1" t="str">
        <f t="shared" si="57"/>
        <v>2</v>
      </c>
      <c r="U714" s="1">
        <v>-33.803950999999998</v>
      </c>
      <c r="V714" s="3">
        <v>151.004694</v>
      </c>
    </row>
    <row r="715" spans="1:22" x14ac:dyDescent="0.35">
      <c r="A715" s="22" t="s">
        <v>2273</v>
      </c>
      <c r="B715" s="1" t="s">
        <v>2274</v>
      </c>
      <c r="C715" s="1" t="s">
        <v>642</v>
      </c>
      <c r="D715" s="1" t="s">
        <v>642</v>
      </c>
      <c r="E715" s="1" t="s">
        <v>170</v>
      </c>
      <c r="F715" s="1" t="s">
        <v>47</v>
      </c>
      <c r="G715" s="1">
        <f t="shared" si="55"/>
        <v>1</v>
      </c>
      <c r="H715" s="1" t="s">
        <v>48</v>
      </c>
      <c r="I715" s="1" t="s">
        <v>49</v>
      </c>
      <c r="J715" s="23" t="s">
        <v>50</v>
      </c>
      <c r="K715" s="2" t="s">
        <v>51</v>
      </c>
      <c r="L715" s="1">
        <v>949</v>
      </c>
      <c r="M715" s="1">
        <v>1</v>
      </c>
      <c r="N715" s="1" t="str">
        <f t="shared" si="58"/>
        <v>Published</v>
      </c>
      <c r="O715" s="1">
        <f t="shared" si="56"/>
        <v>9.49</v>
      </c>
      <c r="P715" s="1">
        <v>90</v>
      </c>
      <c r="Q715" s="1">
        <v>1029</v>
      </c>
      <c r="R715" s="1" t="str">
        <f t="shared" si="59"/>
        <v>3</v>
      </c>
      <c r="S715" s="1">
        <v>85</v>
      </c>
      <c r="T715" s="1" t="str">
        <f t="shared" si="57"/>
        <v>4</v>
      </c>
      <c r="U715" s="1">
        <v>-33.824472</v>
      </c>
      <c r="V715" s="3">
        <v>150.99096800000001</v>
      </c>
    </row>
    <row r="716" spans="1:22" x14ac:dyDescent="0.35">
      <c r="A716" s="22" t="s">
        <v>2275</v>
      </c>
      <c r="B716" s="1" t="s">
        <v>2276</v>
      </c>
      <c r="C716" s="1" t="s">
        <v>2277</v>
      </c>
      <c r="D716" s="1" t="s">
        <v>798</v>
      </c>
      <c r="E716" s="1" t="s">
        <v>56</v>
      </c>
      <c r="F716" s="1" t="s">
        <v>57</v>
      </c>
      <c r="G716" s="1">
        <f t="shared" si="55"/>
        <v>2</v>
      </c>
      <c r="H716" s="1" t="s">
        <v>58</v>
      </c>
      <c r="I716" s="1" t="s">
        <v>49</v>
      </c>
      <c r="J716" s="23" t="s">
        <v>50</v>
      </c>
      <c r="K716" s="2" t="s">
        <v>51</v>
      </c>
      <c r="L716" s="1">
        <v>104</v>
      </c>
      <c r="M716" s="1"/>
      <c r="N716" s="1" t="str">
        <f t="shared" si="58"/>
        <v>Suppressed</v>
      </c>
      <c r="O716" s="1" t="str">
        <f t="shared" si="56"/>
        <v/>
      </c>
      <c r="P716" s="1">
        <v>0</v>
      </c>
      <c r="Q716" s="1">
        <v>1027</v>
      </c>
      <c r="R716" s="1" t="str">
        <f t="shared" si="59"/>
        <v>3</v>
      </c>
      <c r="S716" s="1">
        <v>79</v>
      </c>
      <c r="T716" s="1" t="str">
        <f t="shared" si="57"/>
        <v>2</v>
      </c>
      <c r="U716" s="1">
        <v>-32.602294000000001</v>
      </c>
      <c r="V716" s="3">
        <v>151.61231900000001</v>
      </c>
    </row>
    <row r="717" spans="1:22" x14ac:dyDescent="0.35">
      <c r="A717" s="22" t="s">
        <v>2278</v>
      </c>
      <c r="B717" s="1" t="s">
        <v>2279</v>
      </c>
      <c r="C717" s="1" t="s">
        <v>2280</v>
      </c>
      <c r="D717" s="1" t="s">
        <v>62</v>
      </c>
      <c r="E717" s="1" t="s">
        <v>56</v>
      </c>
      <c r="F717" s="1" t="s">
        <v>57</v>
      </c>
      <c r="G717" s="1">
        <f t="shared" si="55"/>
        <v>2</v>
      </c>
      <c r="H717" s="1" t="s">
        <v>63</v>
      </c>
      <c r="I717" s="1" t="s">
        <v>49</v>
      </c>
      <c r="J717" s="23" t="s">
        <v>50</v>
      </c>
      <c r="K717" s="2" t="s">
        <v>51</v>
      </c>
      <c r="L717" s="1">
        <v>80</v>
      </c>
      <c r="M717" s="1">
        <v>23</v>
      </c>
      <c r="N717" s="1" t="str">
        <f t="shared" si="58"/>
        <v>Published</v>
      </c>
      <c r="O717" s="1">
        <f t="shared" si="56"/>
        <v>18.400000000000002</v>
      </c>
      <c r="P717" s="1"/>
      <c r="Q717" s="1">
        <v>926</v>
      </c>
      <c r="R717" s="1" t="str">
        <f t="shared" si="59"/>
        <v>2</v>
      </c>
      <c r="S717" s="1">
        <v>126</v>
      </c>
      <c r="T717" s="1" t="str">
        <f t="shared" si="57"/>
        <v>1</v>
      </c>
      <c r="U717" s="1">
        <v>-32.900993</v>
      </c>
      <c r="V717" s="3">
        <v>151.28462099999999</v>
      </c>
    </row>
    <row r="718" spans="1:22" x14ac:dyDescent="0.35">
      <c r="A718" s="22" t="s">
        <v>2281</v>
      </c>
      <c r="B718" s="1" t="s">
        <v>2282</v>
      </c>
      <c r="C718" s="1" t="s">
        <v>2283</v>
      </c>
      <c r="D718" s="1" t="s">
        <v>478</v>
      </c>
      <c r="E718" s="1" t="s">
        <v>261</v>
      </c>
      <c r="F718" s="1" t="s">
        <v>69</v>
      </c>
      <c r="G718" s="1">
        <f t="shared" si="55"/>
        <v>3</v>
      </c>
      <c r="H718" s="1" t="s">
        <v>70</v>
      </c>
      <c r="I718" s="1" t="s">
        <v>132</v>
      </c>
      <c r="J718" s="23" t="s">
        <v>50</v>
      </c>
      <c r="K718" s="2" t="s">
        <v>51</v>
      </c>
      <c r="L718" s="1">
        <v>126</v>
      </c>
      <c r="M718" s="1">
        <v>62</v>
      </c>
      <c r="N718" s="1" t="str">
        <f t="shared" si="58"/>
        <v>Published</v>
      </c>
      <c r="O718" s="1">
        <f t="shared" si="56"/>
        <v>78.12</v>
      </c>
      <c r="P718" s="1">
        <v>4</v>
      </c>
      <c r="Q718" s="1">
        <v>815</v>
      </c>
      <c r="R718" s="1" t="str">
        <f t="shared" si="59"/>
        <v>1</v>
      </c>
      <c r="S718" s="1">
        <v>164</v>
      </c>
      <c r="T718" s="1" t="str">
        <f t="shared" si="57"/>
        <v>2</v>
      </c>
      <c r="U718" s="1">
        <v>-32.728855000000003</v>
      </c>
      <c r="V718" s="3">
        <v>148.19211100000001</v>
      </c>
    </row>
    <row r="719" spans="1:22" x14ac:dyDescent="0.35">
      <c r="A719" s="22" t="s">
        <v>2284</v>
      </c>
      <c r="B719" s="1" t="s">
        <v>2285</v>
      </c>
      <c r="C719" s="1" t="s">
        <v>2286</v>
      </c>
      <c r="D719" s="1" t="s">
        <v>386</v>
      </c>
      <c r="E719" s="1" t="s">
        <v>229</v>
      </c>
      <c r="F719" s="1" t="s">
        <v>47</v>
      </c>
      <c r="G719" s="1">
        <f t="shared" si="55"/>
        <v>1</v>
      </c>
      <c r="H719" s="1" t="s">
        <v>48</v>
      </c>
      <c r="I719" s="1" t="s">
        <v>49</v>
      </c>
      <c r="J719" s="23" t="s">
        <v>50</v>
      </c>
      <c r="K719" s="2" t="s">
        <v>51</v>
      </c>
      <c r="L719" s="1">
        <v>412</v>
      </c>
      <c r="M719" s="1">
        <v>2</v>
      </c>
      <c r="N719" s="1" t="str">
        <f t="shared" si="58"/>
        <v>Published</v>
      </c>
      <c r="O719" s="1">
        <f t="shared" si="56"/>
        <v>8.24</v>
      </c>
      <c r="P719" s="1">
        <v>75</v>
      </c>
      <c r="Q719" s="1">
        <v>1043</v>
      </c>
      <c r="R719" s="1" t="str">
        <f t="shared" si="59"/>
        <v>3</v>
      </c>
      <c r="S719" s="1">
        <v>74</v>
      </c>
      <c r="T719" s="1" t="str">
        <f t="shared" si="57"/>
        <v>3</v>
      </c>
      <c r="U719" s="1">
        <v>-33.955401999999999</v>
      </c>
      <c r="V719" s="3">
        <v>151.06230600000001</v>
      </c>
    </row>
    <row r="720" spans="1:22" x14ac:dyDescent="0.35">
      <c r="A720" s="22" t="s">
        <v>2287</v>
      </c>
      <c r="B720" s="1" t="s">
        <v>2288</v>
      </c>
      <c r="C720" s="1" t="s">
        <v>2289</v>
      </c>
      <c r="D720" s="1" t="s">
        <v>186</v>
      </c>
      <c r="E720" s="1" t="s">
        <v>187</v>
      </c>
      <c r="F720" s="1" t="s">
        <v>57</v>
      </c>
      <c r="G720" s="1">
        <f t="shared" si="55"/>
        <v>2</v>
      </c>
      <c r="H720" s="1" t="s">
        <v>63</v>
      </c>
      <c r="I720" s="1" t="s">
        <v>49</v>
      </c>
      <c r="J720" s="23" t="s">
        <v>50</v>
      </c>
      <c r="K720" s="2" t="s">
        <v>51</v>
      </c>
      <c r="L720" s="1">
        <v>19</v>
      </c>
      <c r="M720" s="1"/>
      <c r="N720" s="1" t="str">
        <f t="shared" si="58"/>
        <v>Suppressed</v>
      </c>
      <c r="O720" s="1" t="str">
        <f t="shared" si="56"/>
        <v/>
      </c>
      <c r="P720" s="1">
        <v>38</v>
      </c>
      <c r="Q720" s="1">
        <v>947</v>
      </c>
      <c r="R720" s="1" t="str">
        <f t="shared" si="59"/>
        <v>2</v>
      </c>
      <c r="S720" s="1">
        <v>91</v>
      </c>
      <c r="T720" s="1" t="str">
        <f t="shared" si="57"/>
        <v>1</v>
      </c>
      <c r="U720" s="1">
        <v>-33.325840999999997</v>
      </c>
      <c r="V720" s="3">
        <v>151.23275000000001</v>
      </c>
    </row>
    <row r="721" spans="1:22" x14ac:dyDescent="0.35">
      <c r="A721" s="22" t="s">
        <v>2290</v>
      </c>
      <c r="B721" s="1" t="s">
        <v>2291</v>
      </c>
      <c r="C721" s="1" t="s">
        <v>2292</v>
      </c>
      <c r="D721" s="1" t="s">
        <v>62</v>
      </c>
      <c r="E721" s="1" t="s">
        <v>56</v>
      </c>
      <c r="F721" s="1" t="s">
        <v>47</v>
      </c>
      <c r="G721" s="1">
        <f t="shared" si="55"/>
        <v>1</v>
      </c>
      <c r="H721" s="1" t="s">
        <v>63</v>
      </c>
      <c r="I721" s="1" t="s">
        <v>49</v>
      </c>
      <c r="J721" s="23" t="s">
        <v>50</v>
      </c>
      <c r="K721" s="2" t="s">
        <v>51</v>
      </c>
      <c r="L721" s="1">
        <v>115</v>
      </c>
      <c r="M721" s="1">
        <v>28</v>
      </c>
      <c r="N721" s="1" t="str">
        <f t="shared" si="58"/>
        <v>Published</v>
      </c>
      <c r="O721" s="1">
        <f t="shared" si="56"/>
        <v>32.200000000000003</v>
      </c>
      <c r="P721" s="1"/>
      <c r="Q721" s="1">
        <v>901</v>
      </c>
      <c r="R721" s="1" t="str">
        <f t="shared" si="59"/>
        <v>2</v>
      </c>
      <c r="S721" s="1">
        <v>133</v>
      </c>
      <c r="T721" s="1" t="str">
        <f t="shared" si="57"/>
        <v>2</v>
      </c>
      <c r="U721" s="1">
        <v>-32.831923000000003</v>
      </c>
      <c r="V721" s="3">
        <v>151.48474300000001</v>
      </c>
    </row>
    <row r="722" spans="1:22" x14ac:dyDescent="0.35">
      <c r="A722" s="22" t="s">
        <v>2293</v>
      </c>
      <c r="B722" s="1" t="s">
        <v>2294</v>
      </c>
      <c r="C722" s="1" t="s">
        <v>2295</v>
      </c>
      <c r="D722" s="1" t="s">
        <v>126</v>
      </c>
      <c r="E722" s="1" t="s">
        <v>306</v>
      </c>
      <c r="F722" s="1" t="s">
        <v>47</v>
      </c>
      <c r="G722" s="1">
        <f t="shared" si="55"/>
        <v>1</v>
      </c>
      <c r="H722" s="1" t="s">
        <v>148</v>
      </c>
      <c r="I722" s="1" t="s">
        <v>49</v>
      </c>
      <c r="J722" s="23" t="s">
        <v>50</v>
      </c>
      <c r="K722" s="2" t="s">
        <v>51</v>
      </c>
      <c r="L722" s="1">
        <v>490</v>
      </c>
      <c r="M722" s="1">
        <v>1</v>
      </c>
      <c r="N722" s="1" t="str">
        <f t="shared" si="58"/>
        <v>Published</v>
      </c>
      <c r="O722" s="1">
        <f t="shared" si="56"/>
        <v>4.9000000000000004</v>
      </c>
      <c r="P722" s="1">
        <v>51</v>
      </c>
      <c r="Q722" s="1">
        <v>1143</v>
      </c>
      <c r="R722" s="1" t="str">
        <f t="shared" si="59"/>
        <v>4</v>
      </c>
      <c r="S722" s="1">
        <v>10</v>
      </c>
      <c r="T722" s="1" t="str">
        <f t="shared" si="57"/>
        <v>3</v>
      </c>
      <c r="U722" s="1">
        <v>-33.735799999999998</v>
      </c>
      <c r="V722" s="3">
        <v>151.06805800000001</v>
      </c>
    </row>
    <row r="723" spans="1:22" x14ac:dyDescent="0.35">
      <c r="A723" s="22" t="s">
        <v>2296</v>
      </c>
      <c r="B723" s="1" t="s">
        <v>2297</v>
      </c>
      <c r="C723" s="1" t="s">
        <v>2298</v>
      </c>
      <c r="D723" s="1" t="s">
        <v>126</v>
      </c>
      <c r="E723" s="1" t="s">
        <v>306</v>
      </c>
      <c r="F723" s="1" t="s">
        <v>47</v>
      </c>
      <c r="G723" s="1">
        <f t="shared" si="55"/>
        <v>1</v>
      </c>
      <c r="H723" s="1" t="s">
        <v>148</v>
      </c>
      <c r="I723" s="1" t="s">
        <v>49</v>
      </c>
      <c r="J723" s="23" t="s">
        <v>50</v>
      </c>
      <c r="K723" s="2" t="s">
        <v>51</v>
      </c>
      <c r="L723" s="1">
        <v>510</v>
      </c>
      <c r="M723" s="1">
        <v>2</v>
      </c>
      <c r="N723" s="1" t="str">
        <f t="shared" si="58"/>
        <v>Published</v>
      </c>
      <c r="O723" s="1">
        <f t="shared" si="56"/>
        <v>10.200000000000001</v>
      </c>
      <c r="P723" s="1">
        <v>43</v>
      </c>
      <c r="Q723" s="1">
        <v>1134</v>
      </c>
      <c r="R723" s="1" t="str">
        <f t="shared" si="59"/>
        <v>4</v>
      </c>
      <c r="S723" s="1">
        <v>10</v>
      </c>
      <c r="T723" s="1" t="str">
        <f t="shared" si="57"/>
        <v>3</v>
      </c>
      <c r="U723" s="1">
        <v>-33.746074999999998</v>
      </c>
      <c r="V723" s="3">
        <v>151.05049099999999</v>
      </c>
    </row>
    <row r="724" spans="1:22" x14ac:dyDescent="0.35">
      <c r="A724" s="22" t="s">
        <v>2299</v>
      </c>
      <c r="B724" s="1" t="s">
        <v>2300</v>
      </c>
      <c r="C724" s="1" t="s">
        <v>1131</v>
      </c>
      <c r="D724" s="1" t="s">
        <v>1131</v>
      </c>
      <c r="E724" s="1" t="s">
        <v>429</v>
      </c>
      <c r="F724" s="1" t="s">
        <v>47</v>
      </c>
      <c r="G724" s="1">
        <f t="shared" si="55"/>
        <v>1</v>
      </c>
      <c r="H724" s="1" t="s">
        <v>182</v>
      </c>
      <c r="I724" s="1" t="s">
        <v>49</v>
      </c>
      <c r="J724" s="23" t="s">
        <v>50</v>
      </c>
      <c r="K724" s="2" t="s">
        <v>51</v>
      </c>
      <c r="L724" s="1">
        <v>524</v>
      </c>
      <c r="M724" s="1">
        <v>11</v>
      </c>
      <c r="N724" s="1" t="str">
        <f t="shared" si="58"/>
        <v>Published</v>
      </c>
      <c r="O724" s="1">
        <f t="shared" si="56"/>
        <v>57.64</v>
      </c>
      <c r="P724" s="1">
        <v>48</v>
      </c>
      <c r="Q724" s="1">
        <v>986</v>
      </c>
      <c r="R724" s="1" t="str">
        <f t="shared" si="59"/>
        <v>2</v>
      </c>
      <c r="S724" s="1">
        <v>101</v>
      </c>
      <c r="T724" s="1" t="str">
        <f t="shared" si="57"/>
        <v>3</v>
      </c>
      <c r="U724" s="1">
        <v>-33.755926000000002</v>
      </c>
      <c r="V724" s="3">
        <v>150.70438999999999</v>
      </c>
    </row>
    <row r="725" spans="1:22" x14ac:dyDescent="0.35">
      <c r="A725" s="22" t="s">
        <v>2301</v>
      </c>
      <c r="B725" s="1" t="s">
        <v>2302</v>
      </c>
      <c r="C725" s="1" t="s">
        <v>2303</v>
      </c>
      <c r="D725" s="1" t="s">
        <v>386</v>
      </c>
      <c r="E725" s="1" t="s">
        <v>229</v>
      </c>
      <c r="F725" s="1" t="s">
        <v>47</v>
      </c>
      <c r="G725" s="1">
        <f t="shared" si="55"/>
        <v>1</v>
      </c>
      <c r="H725" s="1" t="s">
        <v>48</v>
      </c>
      <c r="I725" s="1" t="s">
        <v>49</v>
      </c>
      <c r="J725" s="23" t="s">
        <v>50</v>
      </c>
      <c r="K725" s="2" t="s">
        <v>51</v>
      </c>
      <c r="L725" s="1">
        <v>458</v>
      </c>
      <c r="M725" s="1"/>
      <c r="N725" s="1" t="str">
        <f t="shared" si="58"/>
        <v>Suppressed</v>
      </c>
      <c r="O725" s="1" t="str">
        <f t="shared" si="56"/>
        <v/>
      </c>
      <c r="P725" s="1">
        <v>87</v>
      </c>
      <c r="Q725" s="1">
        <v>1061</v>
      </c>
      <c r="R725" s="1" t="str">
        <f t="shared" si="59"/>
        <v>3</v>
      </c>
      <c r="S725" s="1">
        <v>57</v>
      </c>
      <c r="T725" s="1" t="str">
        <f t="shared" si="57"/>
        <v>3</v>
      </c>
      <c r="U725" s="1">
        <v>-33.962636000000003</v>
      </c>
      <c r="V725" s="3">
        <v>151.08770200000001</v>
      </c>
    </row>
    <row r="726" spans="1:22" x14ac:dyDescent="0.35">
      <c r="A726" s="22" t="s">
        <v>2304</v>
      </c>
      <c r="B726" s="1" t="s">
        <v>2305</v>
      </c>
      <c r="C726" s="1" t="s">
        <v>2306</v>
      </c>
      <c r="D726" s="1" t="s">
        <v>291</v>
      </c>
      <c r="E726" s="1" t="s">
        <v>261</v>
      </c>
      <c r="F726" s="1" t="s">
        <v>57</v>
      </c>
      <c r="G726" s="1">
        <f t="shared" si="55"/>
        <v>2</v>
      </c>
      <c r="H726" s="1" t="s">
        <v>58</v>
      </c>
      <c r="I726" s="1" t="s">
        <v>49</v>
      </c>
      <c r="J726" s="23" t="s">
        <v>50</v>
      </c>
      <c r="K726" s="2" t="s">
        <v>51</v>
      </c>
      <c r="L726" s="1">
        <v>126</v>
      </c>
      <c r="M726" s="1">
        <v>7</v>
      </c>
      <c r="N726" s="1" t="str">
        <f t="shared" si="58"/>
        <v>Published</v>
      </c>
      <c r="O726" s="1">
        <f t="shared" si="56"/>
        <v>8.82</v>
      </c>
      <c r="P726" s="1">
        <v>5</v>
      </c>
      <c r="Q726" s="1">
        <v>1013</v>
      </c>
      <c r="R726" s="1" t="str">
        <f t="shared" si="59"/>
        <v>3</v>
      </c>
      <c r="S726" s="1">
        <v>81</v>
      </c>
      <c r="T726" s="1" t="str">
        <f t="shared" si="57"/>
        <v>2</v>
      </c>
      <c r="U726" s="1">
        <v>-33.491052000000003</v>
      </c>
      <c r="V726" s="3">
        <v>149.55005199999999</v>
      </c>
    </row>
    <row r="727" spans="1:22" x14ac:dyDescent="0.35">
      <c r="A727" s="22" t="s">
        <v>2307</v>
      </c>
      <c r="B727" s="1" t="s">
        <v>2308</v>
      </c>
      <c r="C727" s="1" t="s">
        <v>2309</v>
      </c>
      <c r="D727" s="1" t="s">
        <v>121</v>
      </c>
      <c r="E727" s="1" t="s">
        <v>122</v>
      </c>
      <c r="F727" s="1" t="s">
        <v>57</v>
      </c>
      <c r="G727" s="1">
        <f t="shared" si="55"/>
        <v>2</v>
      </c>
      <c r="H727" s="1" t="s">
        <v>86</v>
      </c>
      <c r="I727" s="1" t="s">
        <v>49</v>
      </c>
      <c r="J727" s="23" t="s">
        <v>50</v>
      </c>
      <c r="K727" s="2" t="s">
        <v>51</v>
      </c>
      <c r="L727" s="1">
        <v>307</v>
      </c>
      <c r="M727" s="1">
        <v>12</v>
      </c>
      <c r="N727" s="1" t="str">
        <f t="shared" si="58"/>
        <v>Published</v>
      </c>
      <c r="O727" s="1">
        <f t="shared" si="56"/>
        <v>36.839999999999996</v>
      </c>
      <c r="P727" s="1">
        <v>4</v>
      </c>
      <c r="Q727" s="1">
        <v>991</v>
      </c>
      <c r="R727" s="1" t="str">
        <f t="shared" si="59"/>
        <v>2</v>
      </c>
      <c r="S727" s="1">
        <v>98</v>
      </c>
      <c r="T727" s="1" t="str">
        <f t="shared" si="57"/>
        <v>3</v>
      </c>
      <c r="U727" s="1">
        <v>-34.17624</v>
      </c>
      <c r="V727" s="3">
        <v>150.60934599999999</v>
      </c>
    </row>
    <row r="728" spans="1:22" x14ac:dyDescent="0.35">
      <c r="A728" s="22" t="s">
        <v>2310</v>
      </c>
      <c r="B728" s="1" t="s">
        <v>2311</v>
      </c>
      <c r="C728" s="1" t="s">
        <v>2312</v>
      </c>
      <c r="D728" s="1" t="s">
        <v>318</v>
      </c>
      <c r="E728" s="1" t="s">
        <v>91</v>
      </c>
      <c r="F728" s="1" t="s">
        <v>241</v>
      </c>
      <c r="G728" s="1">
        <f t="shared" si="55"/>
        <v>4</v>
      </c>
      <c r="H728" s="1" t="s">
        <v>92</v>
      </c>
      <c r="I728" s="1" t="s">
        <v>49</v>
      </c>
      <c r="J728" s="23" t="s">
        <v>50</v>
      </c>
      <c r="K728" s="2" t="s">
        <v>51</v>
      </c>
      <c r="L728" s="1">
        <v>18</v>
      </c>
      <c r="M728" s="1">
        <v>67</v>
      </c>
      <c r="N728" s="1" t="str">
        <f t="shared" si="58"/>
        <v>Published</v>
      </c>
      <c r="O728" s="1">
        <f t="shared" si="56"/>
        <v>12.06</v>
      </c>
      <c r="P728" s="1">
        <v>0</v>
      </c>
      <c r="Q728" s="1">
        <v>747</v>
      </c>
      <c r="R728" s="1" t="str">
        <f t="shared" si="59"/>
        <v>1</v>
      </c>
      <c r="S728" s="1">
        <v>183</v>
      </c>
      <c r="T728" s="1" t="str">
        <f t="shared" si="57"/>
        <v>1</v>
      </c>
      <c r="U728" s="1">
        <v>-30.352247999999999</v>
      </c>
      <c r="V728" s="3">
        <v>148.889152</v>
      </c>
    </row>
    <row r="729" spans="1:22" x14ac:dyDescent="0.35">
      <c r="A729" s="22" t="s">
        <v>2313</v>
      </c>
      <c r="B729" s="1" t="s">
        <v>2314</v>
      </c>
      <c r="C729" s="1" t="s">
        <v>2315</v>
      </c>
      <c r="D729" s="1" t="s">
        <v>404</v>
      </c>
      <c r="E729" s="1" t="s">
        <v>127</v>
      </c>
      <c r="F729" s="1" t="s">
        <v>47</v>
      </c>
      <c r="G729" s="1">
        <f t="shared" si="55"/>
        <v>1</v>
      </c>
      <c r="H729" s="1" t="s">
        <v>63</v>
      </c>
      <c r="I729" s="1" t="s">
        <v>49</v>
      </c>
      <c r="J729" s="23" t="s">
        <v>50</v>
      </c>
      <c r="K729" s="2" t="s">
        <v>51</v>
      </c>
      <c r="L729" s="1">
        <v>290</v>
      </c>
      <c r="M729" s="1">
        <v>11</v>
      </c>
      <c r="N729" s="1" t="str">
        <f t="shared" si="58"/>
        <v>Published</v>
      </c>
      <c r="O729" s="1">
        <f t="shared" si="56"/>
        <v>31.9</v>
      </c>
      <c r="P729" s="1">
        <v>7</v>
      </c>
      <c r="Q729" s="1">
        <v>987</v>
      </c>
      <c r="R729" s="1" t="str">
        <f t="shared" si="59"/>
        <v>2</v>
      </c>
      <c r="S729" s="1">
        <v>100</v>
      </c>
      <c r="T729" s="1" t="str">
        <f t="shared" si="57"/>
        <v>2</v>
      </c>
      <c r="U729" s="1">
        <v>-33.583886999999997</v>
      </c>
      <c r="V729" s="3">
        <v>150.85963799999999</v>
      </c>
    </row>
    <row r="730" spans="1:22" x14ac:dyDescent="0.35">
      <c r="A730" s="22" t="s">
        <v>2316</v>
      </c>
      <c r="B730" s="1" t="s">
        <v>2317</v>
      </c>
      <c r="C730" s="1" t="s">
        <v>2318</v>
      </c>
      <c r="D730" s="1" t="s">
        <v>1796</v>
      </c>
      <c r="E730" s="1" t="s">
        <v>80</v>
      </c>
      <c r="F730" s="1" t="s">
        <v>69</v>
      </c>
      <c r="G730" s="1">
        <f t="shared" si="55"/>
        <v>3</v>
      </c>
      <c r="H730" s="1" t="s">
        <v>70</v>
      </c>
      <c r="I730" s="1" t="s">
        <v>49</v>
      </c>
      <c r="J730" s="23" t="s">
        <v>50</v>
      </c>
      <c r="K730" s="2" t="s">
        <v>51</v>
      </c>
      <c r="L730" s="1">
        <v>13</v>
      </c>
      <c r="M730" s="1"/>
      <c r="N730" s="1" t="str">
        <f t="shared" si="58"/>
        <v>Suppressed</v>
      </c>
      <c r="O730" s="1" t="str">
        <f t="shared" si="56"/>
        <v/>
      </c>
      <c r="P730" s="1">
        <v>0</v>
      </c>
      <c r="Q730" s="1">
        <v>920</v>
      </c>
      <c r="R730" s="1" t="str">
        <f t="shared" si="59"/>
        <v>2</v>
      </c>
      <c r="S730" s="1">
        <v>117</v>
      </c>
      <c r="T730" s="1" t="str">
        <f t="shared" si="57"/>
        <v>1</v>
      </c>
      <c r="U730" s="1">
        <v>-35.46651</v>
      </c>
      <c r="V730" s="3">
        <v>146.79851199999999</v>
      </c>
    </row>
    <row r="731" spans="1:22" x14ac:dyDescent="0.35">
      <c r="A731" s="22" t="s">
        <v>2319</v>
      </c>
      <c r="B731" s="1" t="s">
        <v>2320</v>
      </c>
      <c r="C731" s="1" t="s">
        <v>2321</v>
      </c>
      <c r="D731" s="1" t="s">
        <v>837</v>
      </c>
      <c r="E731" s="1" t="s">
        <v>838</v>
      </c>
      <c r="F731" s="1" t="s">
        <v>47</v>
      </c>
      <c r="G731" s="1">
        <f t="shared" si="55"/>
        <v>1</v>
      </c>
      <c r="H731" s="1" t="s">
        <v>182</v>
      </c>
      <c r="I731" s="1" t="s">
        <v>49</v>
      </c>
      <c r="J731" s="23" t="s">
        <v>50</v>
      </c>
      <c r="K731" s="2" t="s">
        <v>51</v>
      </c>
      <c r="L731" s="1">
        <v>504</v>
      </c>
      <c r="M731" s="1">
        <v>8</v>
      </c>
      <c r="N731" s="1" t="str">
        <f t="shared" si="58"/>
        <v>Published</v>
      </c>
      <c r="O731" s="1">
        <f t="shared" si="56"/>
        <v>40.32</v>
      </c>
      <c r="P731" s="1">
        <v>74</v>
      </c>
      <c r="Q731" s="1">
        <v>981</v>
      </c>
      <c r="R731" s="1" t="str">
        <f t="shared" si="59"/>
        <v>2</v>
      </c>
      <c r="S731" s="1">
        <v>98</v>
      </c>
      <c r="T731" s="1" t="str">
        <f t="shared" si="57"/>
        <v>3</v>
      </c>
      <c r="U731" s="1">
        <v>-33.749158000000001</v>
      </c>
      <c r="V731" s="3">
        <v>150.83855600000001</v>
      </c>
    </row>
    <row r="732" spans="1:22" x14ac:dyDescent="0.35">
      <c r="A732" s="22" t="s">
        <v>2322</v>
      </c>
      <c r="B732" s="1" t="s">
        <v>2323</v>
      </c>
      <c r="C732" s="1" t="s">
        <v>2324</v>
      </c>
      <c r="D732" s="1" t="s">
        <v>220</v>
      </c>
      <c r="E732" s="1" t="s">
        <v>107</v>
      </c>
      <c r="F732" s="1" t="s">
        <v>57</v>
      </c>
      <c r="G732" s="1">
        <f t="shared" si="55"/>
        <v>2</v>
      </c>
      <c r="H732" s="1" t="s">
        <v>92</v>
      </c>
      <c r="I732" s="1" t="s">
        <v>49</v>
      </c>
      <c r="J732" s="23" t="s">
        <v>50</v>
      </c>
      <c r="K732" s="2" t="s">
        <v>51</v>
      </c>
      <c r="L732" s="1">
        <v>111</v>
      </c>
      <c r="M732" s="1"/>
      <c r="N732" s="1" t="str">
        <f t="shared" si="58"/>
        <v>Suppressed</v>
      </c>
      <c r="O732" s="1" t="str">
        <f t="shared" si="56"/>
        <v/>
      </c>
      <c r="P732" s="1">
        <v>23</v>
      </c>
      <c r="Q732" s="1">
        <v>1068</v>
      </c>
      <c r="R732" s="1" t="str">
        <f t="shared" si="59"/>
        <v>3</v>
      </c>
      <c r="S732" s="1">
        <v>55</v>
      </c>
      <c r="T732" s="1" t="str">
        <f t="shared" si="57"/>
        <v>2</v>
      </c>
      <c r="U732" s="1">
        <v>-28.505413999999998</v>
      </c>
      <c r="V732" s="3">
        <v>153.47911199999999</v>
      </c>
    </row>
    <row r="733" spans="1:22" x14ac:dyDescent="0.35">
      <c r="A733" s="22" t="s">
        <v>2325</v>
      </c>
      <c r="B733" s="1" t="s">
        <v>2326</v>
      </c>
      <c r="C733" s="1" t="s">
        <v>2327</v>
      </c>
      <c r="D733" s="1" t="s">
        <v>963</v>
      </c>
      <c r="E733" s="1" t="s">
        <v>96</v>
      </c>
      <c r="F733" s="1" t="s">
        <v>241</v>
      </c>
      <c r="G733" s="1">
        <f t="shared" si="55"/>
        <v>4</v>
      </c>
      <c r="H733" s="1" t="s">
        <v>70</v>
      </c>
      <c r="I733" s="1" t="s">
        <v>49</v>
      </c>
      <c r="J733" s="23" t="s">
        <v>50</v>
      </c>
      <c r="K733" s="2" t="s">
        <v>51</v>
      </c>
      <c r="L733" s="1">
        <v>19</v>
      </c>
      <c r="M733" s="1"/>
      <c r="N733" s="1" t="str">
        <f t="shared" si="58"/>
        <v>Suppressed</v>
      </c>
      <c r="O733" s="1" t="str">
        <f t="shared" si="56"/>
        <v/>
      </c>
      <c r="P733" s="1">
        <v>0</v>
      </c>
      <c r="Q733" s="1">
        <v>929</v>
      </c>
      <c r="R733" s="1" t="str">
        <f t="shared" si="59"/>
        <v>2</v>
      </c>
      <c r="S733" s="1">
        <v>123</v>
      </c>
      <c r="T733" s="1" t="str">
        <f t="shared" si="57"/>
        <v>1</v>
      </c>
      <c r="U733" s="1">
        <v>-34.025725999999999</v>
      </c>
      <c r="V733" s="3">
        <v>141.89492999999999</v>
      </c>
    </row>
    <row r="734" spans="1:22" x14ac:dyDescent="0.35">
      <c r="A734" s="22" t="s">
        <v>2328</v>
      </c>
      <c r="B734" s="1" t="s">
        <v>2329</v>
      </c>
      <c r="C734" s="1" t="s">
        <v>2330</v>
      </c>
      <c r="D734" s="1" t="s">
        <v>963</v>
      </c>
      <c r="E734" s="1" t="s">
        <v>96</v>
      </c>
      <c r="F734" s="1" t="s">
        <v>241</v>
      </c>
      <c r="G734" s="1">
        <f t="shared" si="55"/>
        <v>4</v>
      </c>
      <c r="H734" s="1" t="s">
        <v>70</v>
      </c>
      <c r="I734" s="1" t="s">
        <v>49</v>
      </c>
      <c r="J734" s="23" t="s">
        <v>50</v>
      </c>
      <c r="K734" s="2" t="s">
        <v>51</v>
      </c>
      <c r="L734" s="1">
        <v>8</v>
      </c>
      <c r="M734" s="1">
        <v>0</v>
      </c>
      <c r="N734" s="1" t="str">
        <f t="shared" si="58"/>
        <v>Published</v>
      </c>
      <c r="O734" s="1">
        <f t="shared" si="56"/>
        <v>0</v>
      </c>
      <c r="P734" s="1">
        <v>0</v>
      </c>
      <c r="Q734" s="1">
        <v>937</v>
      </c>
      <c r="R734" s="1" t="str">
        <f t="shared" si="59"/>
        <v>2</v>
      </c>
      <c r="S734" s="1">
        <v>119</v>
      </c>
      <c r="T734" s="1" t="str">
        <f t="shared" si="57"/>
        <v>1</v>
      </c>
      <c r="U734" s="1">
        <v>-33.383032999999998</v>
      </c>
      <c r="V734" s="3">
        <v>142.56832399999999</v>
      </c>
    </row>
    <row r="735" spans="1:22" x14ac:dyDescent="0.35">
      <c r="A735" s="22" t="s">
        <v>2331</v>
      </c>
      <c r="B735" s="1" t="s">
        <v>2332</v>
      </c>
      <c r="C735" s="1" t="s">
        <v>2333</v>
      </c>
      <c r="D735" s="1" t="s">
        <v>176</v>
      </c>
      <c r="E735" s="1" t="s">
        <v>85</v>
      </c>
      <c r="F735" s="1" t="s">
        <v>47</v>
      </c>
      <c r="G735" s="1">
        <f t="shared" si="55"/>
        <v>1</v>
      </c>
      <c r="H735" s="1" t="s">
        <v>86</v>
      </c>
      <c r="I735" s="1" t="s">
        <v>49</v>
      </c>
      <c r="J735" s="23" t="s">
        <v>50</v>
      </c>
      <c r="K735" s="2" t="s">
        <v>51</v>
      </c>
      <c r="L735" s="1">
        <v>278</v>
      </c>
      <c r="M735" s="1">
        <v>13</v>
      </c>
      <c r="N735" s="1" t="str">
        <f t="shared" si="58"/>
        <v>Published</v>
      </c>
      <c r="O735" s="1">
        <f t="shared" si="56"/>
        <v>36.14</v>
      </c>
      <c r="P735" s="1">
        <v>17</v>
      </c>
      <c r="Q735" s="1">
        <v>1014</v>
      </c>
      <c r="R735" s="1" t="str">
        <f t="shared" si="59"/>
        <v>3</v>
      </c>
      <c r="S735" s="1">
        <v>83</v>
      </c>
      <c r="T735" s="1" t="str">
        <f t="shared" si="57"/>
        <v>2</v>
      </c>
      <c r="U735" s="1">
        <v>-34.486089999999997</v>
      </c>
      <c r="V735" s="3">
        <v>150.91472400000001</v>
      </c>
    </row>
    <row r="736" spans="1:22" x14ac:dyDescent="0.35">
      <c r="A736" s="22" t="s">
        <v>2334</v>
      </c>
      <c r="B736" s="1" t="s">
        <v>2335</v>
      </c>
      <c r="C736" s="1" t="s">
        <v>2336</v>
      </c>
      <c r="D736" s="1" t="s">
        <v>872</v>
      </c>
      <c r="E736" s="1" t="s">
        <v>261</v>
      </c>
      <c r="F736" s="1" t="s">
        <v>57</v>
      </c>
      <c r="G736" s="1">
        <f t="shared" si="55"/>
        <v>2</v>
      </c>
      <c r="H736" s="1" t="s">
        <v>58</v>
      </c>
      <c r="I736" s="1" t="s">
        <v>132</v>
      </c>
      <c r="J736" s="23" t="s">
        <v>50</v>
      </c>
      <c r="K736" s="2" t="s">
        <v>51</v>
      </c>
      <c r="L736" s="1">
        <v>202.6</v>
      </c>
      <c r="M736" s="1">
        <v>39</v>
      </c>
      <c r="N736" s="1" t="str">
        <f t="shared" si="58"/>
        <v>Published</v>
      </c>
      <c r="O736" s="1">
        <f t="shared" si="56"/>
        <v>79.013999999999996</v>
      </c>
      <c r="P736" s="1">
        <v>3</v>
      </c>
      <c r="Q736" s="1">
        <v>845</v>
      </c>
      <c r="R736" s="1" t="str">
        <f t="shared" si="59"/>
        <v>1</v>
      </c>
      <c r="S736" s="1">
        <v>168</v>
      </c>
      <c r="T736" s="1" t="str">
        <f t="shared" si="57"/>
        <v>2</v>
      </c>
      <c r="U736" s="1">
        <v>-33.354771999999997</v>
      </c>
      <c r="V736" s="3">
        <v>149.97965300000001</v>
      </c>
    </row>
    <row r="737" spans="1:22" x14ac:dyDescent="0.35">
      <c r="A737" s="22" t="s">
        <v>2337</v>
      </c>
      <c r="B737" s="1" t="s">
        <v>2338</v>
      </c>
      <c r="C737" s="1" t="s">
        <v>2339</v>
      </c>
      <c r="D737" s="1" t="s">
        <v>302</v>
      </c>
      <c r="E737" s="1" t="s">
        <v>276</v>
      </c>
      <c r="F737" s="1" t="s">
        <v>57</v>
      </c>
      <c r="G737" s="1">
        <f t="shared" si="55"/>
        <v>2</v>
      </c>
      <c r="H737" s="1" t="s">
        <v>58</v>
      </c>
      <c r="I737" s="1" t="s">
        <v>49</v>
      </c>
      <c r="J737" s="23" t="s">
        <v>50</v>
      </c>
      <c r="K737" s="2" t="s">
        <v>51</v>
      </c>
      <c r="L737" s="1">
        <v>451</v>
      </c>
      <c r="M737" s="1">
        <v>24</v>
      </c>
      <c r="N737" s="1" t="str">
        <f t="shared" si="58"/>
        <v>Published</v>
      </c>
      <c r="O737" s="1">
        <f t="shared" si="56"/>
        <v>108.24</v>
      </c>
      <c r="P737" s="1">
        <v>11</v>
      </c>
      <c r="Q737" s="1">
        <v>932</v>
      </c>
      <c r="R737" s="1" t="str">
        <f t="shared" si="59"/>
        <v>2</v>
      </c>
      <c r="S737" s="1">
        <v>116</v>
      </c>
      <c r="T737" s="1" t="str">
        <f t="shared" si="57"/>
        <v>3</v>
      </c>
      <c r="U737" s="1">
        <v>-31.429869</v>
      </c>
      <c r="V737" s="3">
        <v>152.913872</v>
      </c>
    </row>
    <row r="738" spans="1:22" x14ac:dyDescent="0.35">
      <c r="A738" s="22" t="s">
        <v>2340</v>
      </c>
      <c r="B738" s="1" t="s">
        <v>2341</v>
      </c>
      <c r="C738" s="1" t="s">
        <v>2342</v>
      </c>
      <c r="D738" s="1" t="s">
        <v>439</v>
      </c>
      <c r="E738" s="1" t="s">
        <v>91</v>
      </c>
      <c r="F738" s="1" t="s">
        <v>69</v>
      </c>
      <c r="G738" s="1">
        <f t="shared" si="55"/>
        <v>3</v>
      </c>
      <c r="H738" s="1" t="s">
        <v>92</v>
      </c>
      <c r="I738" s="1" t="s">
        <v>49</v>
      </c>
      <c r="J738" s="23" t="s">
        <v>50</v>
      </c>
      <c r="K738" s="2" t="s">
        <v>51</v>
      </c>
      <c r="L738" s="1">
        <v>12</v>
      </c>
      <c r="M738" s="1">
        <v>50</v>
      </c>
      <c r="N738" s="1" t="str">
        <f t="shared" si="58"/>
        <v>Published</v>
      </c>
      <c r="O738" s="1">
        <f t="shared" si="56"/>
        <v>6</v>
      </c>
      <c r="P738" s="1">
        <v>0</v>
      </c>
      <c r="Q738" s="1">
        <v>822</v>
      </c>
      <c r="R738" s="1" t="str">
        <f t="shared" si="59"/>
        <v>1</v>
      </c>
      <c r="S738" s="1">
        <v>149</v>
      </c>
      <c r="T738" s="1" t="str">
        <f t="shared" si="57"/>
        <v>1</v>
      </c>
      <c r="U738" s="1">
        <v>-31.453552999999999</v>
      </c>
      <c r="V738" s="3">
        <v>149.90048100000001</v>
      </c>
    </row>
    <row r="739" spans="1:22" x14ac:dyDescent="0.35">
      <c r="A739" s="22" t="s">
        <v>2343</v>
      </c>
      <c r="B739" s="1" t="s">
        <v>2344</v>
      </c>
      <c r="C739" s="1" t="s">
        <v>2345</v>
      </c>
      <c r="D739" s="1" t="s">
        <v>180</v>
      </c>
      <c r="E739" s="1" t="s">
        <v>181</v>
      </c>
      <c r="F739" s="1" t="s">
        <v>47</v>
      </c>
      <c r="G739" s="1">
        <f t="shared" si="55"/>
        <v>1</v>
      </c>
      <c r="H739" s="1" t="s">
        <v>182</v>
      </c>
      <c r="I739" s="1" t="s">
        <v>49</v>
      </c>
      <c r="J739" s="23" t="s">
        <v>50</v>
      </c>
      <c r="K739" s="2" t="s">
        <v>51</v>
      </c>
      <c r="L739" s="1">
        <v>586</v>
      </c>
      <c r="M739" s="1">
        <v>5</v>
      </c>
      <c r="N739" s="1" t="str">
        <f t="shared" si="58"/>
        <v>Published</v>
      </c>
      <c r="O739" s="1">
        <f t="shared" si="56"/>
        <v>29.3</v>
      </c>
      <c r="P739" s="1">
        <v>78</v>
      </c>
      <c r="Q739" s="1">
        <v>962</v>
      </c>
      <c r="R739" s="1" t="str">
        <f t="shared" si="59"/>
        <v>2</v>
      </c>
      <c r="S739" s="1">
        <v>128</v>
      </c>
      <c r="T739" s="1" t="str">
        <f t="shared" si="57"/>
        <v>3</v>
      </c>
      <c r="U739" s="1">
        <v>-33.946420000000003</v>
      </c>
      <c r="V739" s="3">
        <v>150.889961</v>
      </c>
    </row>
    <row r="740" spans="1:22" x14ac:dyDescent="0.35">
      <c r="A740" s="22" t="s">
        <v>2346</v>
      </c>
      <c r="B740" s="1" t="s">
        <v>2347</v>
      </c>
      <c r="C740" s="1" t="s">
        <v>2348</v>
      </c>
      <c r="D740" s="1" t="s">
        <v>186</v>
      </c>
      <c r="E740" s="1" t="s">
        <v>187</v>
      </c>
      <c r="F740" s="1" t="s">
        <v>47</v>
      </c>
      <c r="G740" s="1">
        <f t="shared" si="55"/>
        <v>1</v>
      </c>
      <c r="H740" s="1" t="s">
        <v>63</v>
      </c>
      <c r="I740" s="1" t="s">
        <v>49</v>
      </c>
      <c r="J740" s="23" t="s">
        <v>50</v>
      </c>
      <c r="K740" s="2" t="s">
        <v>51</v>
      </c>
      <c r="L740" s="1">
        <v>154</v>
      </c>
      <c r="M740" s="1"/>
      <c r="N740" s="1" t="str">
        <f t="shared" si="58"/>
        <v>Suppressed</v>
      </c>
      <c r="O740" s="1" t="str">
        <f t="shared" si="56"/>
        <v/>
      </c>
      <c r="P740" s="1">
        <v>16</v>
      </c>
      <c r="Q740" s="1">
        <v>1102</v>
      </c>
      <c r="R740" s="1" t="str">
        <f t="shared" si="59"/>
        <v>4</v>
      </c>
      <c r="S740" s="1">
        <v>41</v>
      </c>
      <c r="T740" s="1" t="str">
        <f t="shared" si="57"/>
        <v>2</v>
      </c>
      <c r="U740" s="1">
        <v>-33.528039</v>
      </c>
      <c r="V740" s="3">
        <v>151.350019</v>
      </c>
    </row>
    <row r="741" spans="1:22" x14ac:dyDescent="0.35">
      <c r="A741" s="22" t="s">
        <v>2349</v>
      </c>
      <c r="B741" s="1" t="s">
        <v>2350</v>
      </c>
      <c r="C741" s="1" t="s">
        <v>2351</v>
      </c>
      <c r="D741" s="1" t="s">
        <v>176</v>
      </c>
      <c r="E741" s="1" t="s">
        <v>85</v>
      </c>
      <c r="F741" s="1" t="s">
        <v>47</v>
      </c>
      <c r="G741" s="1">
        <f t="shared" si="55"/>
        <v>1</v>
      </c>
      <c r="H741" s="1" t="s">
        <v>86</v>
      </c>
      <c r="I741" s="1" t="s">
        <v>49</v>
      </c>
      <c r="J741" s="23" t="s">
        <v>50</v>
      </c>
      <c r="K741" s="2" t="s">
        <v>51</v>
      </c>
      <c r="L741" s="1">
        <v>88</v>
      </c>
      <c r="M741" s="1">
        <v>13</v>
      </c>
      <c r="N741" s="1" t="str">
        <f t="shared" si="58"/>
        <v>Published</v>
      </c>
      <c r="O741" s="1">
        <f t="shared" si="56"/>
        <v>11.440000000000001</v>
      </c>
      <c r="P741" s="1">
        <v>22</v>
      </c>
      <c r="Q741" s="1">
        <v>943</v>
      </c>
      <c r="R741" s="1" t="str">
        <f t="shared" si="59"/>
        <v>2</v>
      </c>
      <c r="S741" s="1">
        <v>134</v>
      </c>
      <c r="T741" s="1" t="str">
        <f t="shared" si="57"/>
        <v>1</v>
      </c>
      <c r="U741" s="1">
        <v>-34.501421000000001</v>
      </c>
      <c r="V741" s="3">
        <v>150.88230200000001</v>
      </c>
    </row>
    <row r="742" spans="1:22" x14ac:dyDescent="0.35">
      <c r="A742" s="22" t="s">
        <v>2352</v>
      </c>
      <c r="B742" s="1" t="s">
        <v>2353</v>
      </c>
      <c r="C742" s="1" t="s">
        <v>2354</v>
      </c>
      <c r="D742" s="1" t="s">
        <v>152</v>
      </c>
      <c r="E742" s="1" t="s">
        <v>229</v>
      </c>
      <c r="F742" s="1" t="s">
        <v>47</v>
      </c>
      <c r="G742" s="1">
        <f t="shared" si="55"/>
        <v>1</v>
      </c>
      <c r="H742" s="1" t="s">
        <v>48</v>
      </c>
      <c r="I742" s="1" t="s">
        <v>49</v>
      </c>
      <c r="J742" s="23" t="s">
        <v>50</v>
      </c>
      <c r="K742" s="2" t="s">
        <v>51</v>
      </c>
      <c r="L742" s="1">
        <v>528</v>
      </c>
      <c r="M742" s="1">
        <v>2</v>
      </c>
      <c r="N742" s="1" t="str">
        <f t="shared" si="58"/>
        <v>Published</v>
      </c>
      <c r="O742" s="1">
        <f t="shared" si="56"/>
        <v>10.56</v>
      </c>
      <c r="P742" s="1">
        <v>94</v>
      </c>
      <c r="Q742" s="1">
        <v>976</v>
      </c>
      <c r="R742" s="1" t="str">
        <f t="shared" si="59"/>
        <v>2</v>
      </c>
      <c r="S742" s="1">
        <v>119</v>
      </c>
      <c r="T742" s="1" t="str">
        <f t="shared" si="57"/>
        <v>3</v>
      </c>
      <c r="U742" s="1">
        <v>-33.930613000000001</v>
      </c>
      <c r="V742" s="3">
        <v>151.055905</v>
      </c>
    </row>
    <row r="743" spans="1:22" x14ac:dyDescent="0.35">
      <c r="A743" s="22" t="s">
        <v>2355</v>
      </c>
      <c r="B743" s="1" t="s">
        <v>2356</v>
      </c>
      <c r="C743" s="1" t="s">
        <v>1155</v>
      </c>
      <c r="D743" s="1" t="s">
        <v>1155</v>
      </c>
      <c r="E743" s="1" t="s">
        <v>306</v>
      </c>
      <c r="F743" s="1" t="s">
        <v>47</v>
      </c>
      <c r="G743" s="1">
        <f t="shared" si="55"/>
        <v>1</v>
      </c>
      <c r="H743" s="1" t="s">
        <v>148</v>
      </c>
      <c r="I743" s="1" t="s">
        <v>49</v>
      </c>
      <c r="J743" s="23" t="s">
        <v>50</v>
      </c>
      <c r="K743" s="2" t="s">
        <v>51</v>
      </c>
      <c r="L743" s="1">
        <v>357</v>
      </c>
      <c r="M743" s="1"/>
      <c r="N743" s="1" t="str">
        <f t="shared" si="58"/>
        <v>Suppressed</v>
      </c>
      <c r="O743" s="1" t="str">
        <f t="shared" si="56"/>
        <v/>
      </c>
      <c r="P743" s="1">
        <v>50</v>
      </c>
      <c r="Q743" s="1">
        <v>1114</v>
      </c>
      <c r="R743" s="1" t="str">
        <f t="shared" si="59"/>
        <v>4</v>
      </c>
      <c r="S743" s="1">
        <v>28</v>
      </c>
      <c r="T743" s="1" t="str">
        <f t="shared" si="57"/>
        <v>3</v>
      </c>
      <c r="U743" s="1">
        <v>-33.824562</v>
      </c>
      <c r="V743" s="3">
        <v>151.110973</v>
      </c>
    </row>
    <row r="744" spans="1:22" x14ac:dyDescent="0.35">
      <c r="A744" s="22" t="s">
        <v>2357</v>
      </c>
      <c r="B744" s="1" t="s">
        <v>2358</v>
      </c>
      <c r="C744" s="1" t="s">
        <v>2359</v>
      </c>
      <c r="D744" s="1" t="s">
        <v>314</v>
      </c>
      <c r="E744" s="1" t="s">
        <v>68</v>
      </c>
      <c r="F744" s="1" t="s">
        <v>69</v>
      </c>
      <c r="G744" s="1">
        <f t="shared" si="55"/>
        <v>3</v>
      </c>
      <c r="H744" s="1" t="s">
        <v>86</v>
      </c>
      <c r="I744" s="1" t="s">
        <v>49</v>
      </c>
      <c r="J744" s="23" t="s">
        <v>50</v>
      </c>
      <c r="K744" s="2" t="s">
        <v>51</v>
      </c>
      <c r="L744" s="1">
        <v>53</v>
      </c>
      <c r="M744" s="1"/>
      <c r="N744" s="1" t="str">
        <f t="shared" si="58"/>
        <v>Suppressed</v>
      </c>
      <c r="O744" s="1" t="str">
        <f t="shared" si="56"/>
        <v/>
      </c>
      <c r="P744" s="1"/>
      <c r="Q744" s="1">
        <v>987</v>
      </c>
      <c r="R744" s="1" t="str">
        <f t="shared" si="59"/>
        <v>2</v>
      </c>
      <c r="S744" s="1">
        <v>104</v>
      </c>
      <c r="T744" s="1" t="str">
        <f t="shared" si="57"/>
        <v>1</v>
      </c>
      <c r="U744" s="1">
        <v>-36.464225999999996</v>
      </c>
      <c r="V744" s="3">
        <v>149.86705000000001</v>
      </c>
    </row>
    <row r="745" spans="1:22" x14ac:dyDescent="0.35">
      <c r="A745" s="22" t="s">
        <v>2360</v>
      </c>
      <c r="B745" s="1" t="s">
        <v>2361</v>
      </c>
      <c r="C745" s="1" t="s">
        <v>2362</v>
      </c>
      <c r="D745" s="1" t="s">
        <v>837</v>
      </c>
      <c r="E745" s="1" t="s">
        <v>838</v>
      </c>
      <c r="F745" s="1" t="s">
        <v>47</v>
      </c>
      <c r="G745" s="1">
        <f t="shared" si="55"/>
        <v>1</v>
      </c>
      <c r="H745" s="1" t="s">
        <v>148</v>
      </c>
      <c r="I745" s="1" t="s">
        <v>49</v>
      </c>
      <c r="J745" s="23" t="s">
        <v>50</v>
      </c>
      <c r="K745" s="2" t="s">
        <v>51</v>
      </c>
      <c r="L745" s="1">
        <v>962</v>
      </c>
      <c r="M745" s="1">
        <v>5</v>
      </c>
      <c r="N745" s="1" t="str">
        <f t="shared" si="58"/>
        <v>Published</v>
      </c>
      <c r="O745" s="1">
        <f t="shared" si="56"/>
        <v>48.1</v>
      </c>
      <c r="P745" s="1">
        <v>81</v>
      </c>
      <c r="Q745" s="1">
        <v>1097</v>
      </c>
      <c r="R745" s="1" t="str">
        <f t="shared" si="59"/>
        <v>3</v>
      </c>
      <c r="S745" s="1">
        <v>29</v>
      </c>
      <c r="T745" s="1" t="str">
        <f t="shared" si="57"/>
        <v>4</v>
      </c>
      <c r="U745" s="1">
        <v>-33.737467000000002</v>
      </c>
      <c r="V745" s="3">
        <v>150.885265</v>
      </c>
    </row>
    <row r="746" spans="1:22" x14ac:dyDescent="0.35">
      <c r="A746" s="22" t="s">
        <v>2363</v>
      </c>
      <c r="B746" s="1" t="s">
        <v>2364</v>
      </c>
      <c r="C746" s="1" t="s">
        <v>2365</v>
      </c>
      <c r="D746" s="1" t="s">
        <v>897</v>
      </c>
      <c r="E746" s="1" t="s">
        <v>102</v>
      </c>
      <c r="F746" s="1" t="s">
        <v>241</v>
      </c>
      <c r="G746" s="1">
        <f t="shared" si="55"/>
        <v>4</v>
      </c>
      <c r="H746" s="1" t="s">
        <v>92</v>
      </c>
      <c r="I746" s="1" t="s">
        <v>49</v>
      </c>
      <c r="J746" s="23" t="s">
        <v>50</v>
      </c>
      <c r="K746" s="2" t="s">
        <v>51</v>
      </c>
      <c r="L746" s="1">
        <v>8</v>
      </c>
      <c r="M746" s="1"/>
      <c r="N746" s="1" t="str">
        <f t="shared" si="58"/>
        <v>Suppressed</v>
      </c>
      <c r="O746" s="1" t="str">
        <f t="shared" si="56"/>
        <v/>
      </c>
      <c r="P746" s="1">
        <v>0</v>
      </c>
      <c r="Q746" s="1">
        <v>826</v>
      </c>
      <c r="R746" s="1" t="str">
        <f t="shared" si="59"/>
        <v>1</v>
      </c>
      <c r="S746" s="1">
        <v>117</v>
      </c>
      <c r="T746" s="1" t="str">
        <f t="shared" si="57"/>
        <v>1</v>
      </c>
      <c r="U746" s="1">
        <v>-30.930706000000001</v>
      </c>
      <c r="V746" s="3">
        <v>147.87200100000001</v>
      </c>
    </row>
    <row r="747" spans="1:22" x14ac:dyDescent="0.35">
      <c r="A747" s="22" t="s">
        <v>2366</v>
      </c>
      <c r="B747" s="1" t="s">
        <v>2367</v>
      </c>
      <c r="C747" s="1" t="s">
        <v>2368</v>
      </c>
      <c r="D747" s="1" t="s">
        <v>720</v>
      </c>
      <c r="E747" s="1" t="s">
        <v>261</v>
      </c>
      <c r="F747" s="1" t="s">
        <v>69</v>
      </c>
      <c r="G747" s="1">
        <f t="shared" si="55"/>
        <v>3</v>
      </c>
      <c r="H747" s="1" t="s">
        <v>70</v>
      </c>
      <c r="I747" s="1" t="s">
        <v>49</v>
      </c>
      <c r="J747" s="23" t="s">
        <v>50</v>
      </c>
      <c r="K747" s="2" t="s">
        <v>51</v>
      </c>
      <c r="L747" s="1">
        <v>10</v>
      </c>
      <c r="M747" s="1">
        <v>0</v>
      </c>
      <c r="N747" s="1" t="str">
        <f t="shared" si="58"/>
        <v>Published</v>
      </c>
      <c r="O747" s="1">
        <f t="shared" si="56"/>
        <v>0</v>
      </c>
      <c r="P747" s="1">
        <v>0</v>
      </c>
      <c r="Q747" s="1">
        <v>942</v>
      </c>
      <c r="R747" s="1" t="str">
        <f t="shared" si="59"/>
        <v>2</v>
      </c>
      <c r="S747" s="1">
        <v>135</v>
      </c>
      <c r="T747" s="1" t="str">
        <f t="shared" si="57"/>
        <v>1</v>
      </c>
      <c r="U747" s="1">
        <v>-34.010362000000001</v>
      </c>
      <c r="V747" s="3">
        <v>147.79045400000001</v>
      </c>
    </row>
    <row r="748" spans="1:22" x14ac:dyDescent="0.35">
      <c r="A748" s="22" t="s">
        <v>2369</v>
      </c>
      <c r="B748" s="1" t="s">
        <v>2370</v>
      </c>
      <c r="C748" s="1" t="s">
        <v>2371</v>
      </c>
      <c r="D748" s="1" t="s">
        <v>558</v>
      </c>
      <c r="E748" s="1" t="s">
        <v>68</v>
      </c>
      <c r="F748" s="1" t="s">
        <v>47</v>
      </c>
      <c r="G748" s="1">
        <f t="shared" si="55"/>
        <v>1</v>
      </c>
      <c r="H748" s="1" t="s">
        <v>70</v>
      </c>
      <c r="I748" s="1" t="s">
        <v>49</v>
      </c>
      <c r="J748" s="23" t="s">
        <v>50</v>
      </c>
      <c r="K748" s="2" t="s">
        <v>51</v>
      </c>
      <c r="L748" s="1">
        <v>361</v>
      </c>
      <c r="M748" s="1">
        <v>12</v>
      </c>
      <c r="N748" s="1" t="str">
        <f t="shared" si="58"/>
        <v>Published</v>
      </c>
      <c r="O748" s="1">
        <f t="shared" si="56"/>
        <v>43.32</v>
      </c>
      <c r="P748" s="1">
        <v>26</v>
      </c>
      <c r="Q748" s="1">
        <v>997</v>
      </c>
      <c r="R748" s="1" t="str">
        <f t="shared" si="59"/>
        <v>2</v>
      </c>
      <c r="S748" s="1">
        <v>89</v>
      </c>
      <c r="T748" s="1" t="str">
        <f t="shared" si="57"/>
        <v>3</v>
      </c>
      <c r="U748" s="1">
        <v>-35.357526</v>
      </c>
      <c r="V748" s="3">
        <v>149.236154</v>
      </c>
    </row>
    <row r="749" spans="1:22" x14ac:dyDescent="0.35">
      <c r="A749" s="22" t="s">
        <v>2372</v>
      </c>
      <c r="B749" s="1" t="s">
        <v>2373</v>
      </c>
      <c r="C749" s="1" t="s">
        <v>2374</v>
      </c>
      <c r="D749" s="1" t="s">
        <v>678</v>
      </c>
      <c r="E749" s="1" t="s">
        <v>181</v>
      </c>
      <c r="F749" s="1" t="s">
        <v>47</v>
      </c>
      <c r="G749" s="1">
        <f t="shared" si="55"/>
        <v>1</v>
      </c>
      <c r="H749" s="1" t="s">
        <v>182</v>
      </c>
      <c r="I749" s="1" t="s">
        <v>49</v>
      </c>
      <c r="J749" s="23" t="s">
        <v>50</v>
      </c>
      <c r="K749" s="2" t="s">
        <v>51</v>
      </c>
      <c r="L749" s="1">
        <v>507</v>
      </c>
      <c r="M749" s="1">
        <v>3</v>
      </c>
      <c r="N749" s="1" t="str">
        <f t="shared" si="58"/>
        <v>Published</v>
      </c>
      <c r="O749" s="1">
        <f t="shared" si="56"/>
        <v>15.209999999999999</v>
      </c>
      <c r="P749" s="1">
        <v>73</v>
      </c>
      <c r="Q749" s="1">
        <v>1032</v>
      </c>
      <c r="R749" s="1" t="str">
        <f t="shared" si="59"/>
        <v>3</v>
      </c>
      <c r="S749" s="1">
        <v>71</v>
      </c>
      <c r="T749" s="1" t="str">
        <f t="shared" si="57"/>
        <v>3</v>
      </c>
      <c r="U749" s="1">
        <v>-33.959268999999999</v>
      </c>
      <c r="V749" s="3">
        <v>150.810901</v>
      </c>
    </row>
    <row r="750" spans="1:22" x14ac:dyDescent="0.35">
      <c r="A750" s="22" t="s">
        <v>2375</v>
      </c>
      <c r="B750" s="1" t="s">
        <v>2376</v>
      </c>
      <c r="C750" s="1" t="s">
        <v>2377</v>
      </c>
      <c r="D750" s="1" t="s">
        <v>291</v>
      </c>
      <c r="E750" s="1" t="s">
        <v>261</v>
      </c>
      <c r="F750" s="1" t="s">
        <v>57</v>
      </c>
      <c r="G750" s="1">
        <f t="shared" si="55"/>
        <v>2</v>
      </c>
      <c r="H750" s="1" t="s">
        <v>58</v>
      </c>
      <c r="I750" s="1" t="s">
        <v>49</v>
      </c>
      <c r="J750" s="23" t="s">
        <v>50</v>
      </c>
      <c r="K750" s="2" t="s">
        <v>51</v>
      </c>
      <c r="L750" s="1">
        <v>191</v>
      </c>
      <c r="M750" s="1">
        <v>12</v>
      </c>
      <c r="N750" s="1" t="str">
        <f t="shared" si="58"/>
        <v>Published</v>
      </c>
      <c r="O750" s="1">
        <f t="shared" si="56"/>
        <v>22.919999999999998</v>
      </c>
      <c r="P750" s="1">
        <v>8</v>
      </c>
      <c r="Q750" s="1">
        <v>978</v>
      </c>
      <c r="R750" s="1" t="str">
        <f t="shared" si="59"/>
        <v>2</v>
      </c>
      <c r="S750" s="1">
        <v>102</v>
      </c>
      <c r="T750" s="1" t="str">
        <f t="shared" si="57"/>
        <v>2</v>
      </c>
      <c r="U750" s="1">
        <v>-33.428033999999997</v>
      </c>
      <c r="V750" s="3">
        <v>149.648098</v>
      </c>
    </row>
    <row r="751" spans="1:22" x14ac:dyDescent="0.35">
      <c r="A751" s="22" t="s">
        <v>2378</v>
      </c>
      <c r="B751" s="1" t="s">
        <v>2379</v>
      </c>
      <c r="C751" s="1" t="s">
        <v>2380</v>
      </c>
      <c r="D751" s="1" t="s">
        <v>876</v>
      </c>
      <c r="E751" s="1" t="s">
        <v>330</v>
      </c>
      <c r="F751" s="1" t="s">
        <v>47</v>
      </c>
      <c r="G751" s="1">
        <f t="shared" si="55"/>
        <v>1</v>
      </c>
      <c r="H751" s="1" t="s">
        <v>48</v>
      </c>
      <c r="I751" s="1" t="s">
        <v>49</v>
      </c>
      <c r="J751" s="23" t="s">
        <v>50</v>
      </c>
      <c r="K751" s="2" t="s">
        <v>51</v>
      </c>
      <c r="L751" s="1">
        <v>454</v>
      </c>
      <c r="M751" s="1">
        <v>2</v>
      </c>
      <c r="N751" s="1" t="str">
        <f t="shared" si="58"/>
        <v>Published</v>
      </c>
      <c r="O751" s="1">
        <f t="shared" si="56"/>
        <v>9.08</v>
      </c>
      <c r="P751" s="1">
        <v>56</v>
      </c>
      <c r="Q751" s="1">
        <v>1122</v>
      </c>
      <c r="R751" s="1" t="str">
        <f t="shared" si="59"/>
        <v>4</v>
      </c>
      <c r="S751" s="1">
        <v>17</v>
      </c>
      <c r="T751" s="1" t="str">
        <f t="shared" si="57"/>
        <v>3</v>
      </c>
      <c r="U751" s="1">
        <v>-33.924647</v>
      </c>
      <c r="V751" s="3">
        <v>151.23716400000001</v>
      </c>
    </row>
    <row r="752" spans="1:22" x14ac:dyDescent="0.35">
      <c r="A752" s="22" t="s">
        <v>2381</v>
      </c>
      <c r="B752" s="1" t="s">
        <v>2382</v>
      </c>
      <c r="C752" s="1" t="s">
        <v>2383</v>
      </c>
      <c r="D752" s="1" t="s">
        <v>333</v>
      </c>
      <c r="E752" s="1" t="s">
        <v>281</v>
      </c>
      <c r="F752" s="1" t="s">
        <v>57</v>
      </c>
      <c r="G752" s="1">
        <f t="shared" si="55"/>
        <v>2</v>
      </c>
      <c r="H752" s="1" t="s">
        <v>58</v>
      </c>
      <c r="I752" s="1" t="s">
        <v>49</v>
      </c>
      <c r="J752" s="23" t="s">
        <v>50</v>
      </c>
      <c r="K752" s="2" t="s">
        <v>51</v>
      </c>
      <c r="L752" s="1">
        <v>24</v>
      </c>
      <c r="M752" s="1"/>
      <c r="N752" s="1" t="str">
        <f t="shared" si="58"/>
        <v>Suppressed</v>
      </c>
      <c r="O752" s="1" t="str">
        <f t="shared" si="56"/>
        <v/>
      </c>
      <c r="P752" s="1"/>
      <c r="Q752" s="1">
        <v>1097</v>
      </c>
      <c r="R752" s="1" t="str">
        <f t="shared" si="59"/>
        <v>3</v>
      </c>
      <c r="S752" s="1">
        <v>46</v>
      </c>
      <c r="T752" s="1" t="str">
        <f t="shared" si="57"/>
        <v>1</v>
      </c>
      <c r="U752" s="1">
        <v>-30.450064000000001</v>
      </c>
      <c r="V752" s="3">
        <v>153.012586</v>
      </c>
    </row>
    <row r="753" spans="1:22" x14ac:dyDescent="0.35">
      <c r="A753" s="22" t="s">
        <v>2384</v>
      </c>
      <c r="B753" s="1" t="s">
        <v>2385</v>
      </c>
      <c r="C753" s="1" t="s">
        <v>2386</v>
      </c>
      <c r="D753" s="1" t="s">
        <v>529</v>
      </c>
      <c r="E753" s="1" t="s">
        <v>96</v>
      </c>
      <c r="F753" s="1" t="s">
        <v>69</v>
      </c>
      <c r="G753" s="1">
        <f t="shared" si="55"/>
        <v>3</v>
      </c>
      <c r="H753" s="1" t="s">
        <v>70</v>
      </c>
      <c r="I753" s="1" t="s">
        <v>49</v>
      </c>
      <c r="J753" s="23" t="s">
        <v>50</v>
      </c>
      <c r="K753" s="2" t="s">
        <v>51</v>
      </c>
      <c r="L753" s="1">
        <v>30</v>
      </c>
      <c r="M753" s="1"/>
      <c r="N753" s="1" t="str">
        <f t="shared" si="58"/>
        <v>Suppressed</v>
      </c>
      <c r="O753" s="1" t="str">
        <f t="shared" si="56"/>
        <v/>
      </c>
      <c r="P753" s="1">
        <v>0</v>
      </c>
      <c r="Q753" s="1">
        <v>979</v>
      </c>
      <c r="R753" s="1" t="str">
        <f t="shared" si="59"/>
        <v>2</v>
      </c>
      <c r="S753" s="1">
        <v>97</v>
      </c>
      <c r="T753" s="1" t="str">
        <f t="shared" si="57"/>
        <v>1</v>
      </c>
      <c r="U753" s="1">
        <v>-35.596086999999997</v>
      </c>
      <c r="V753" s="3">
        <v>146.58044200000001</v>
      </c>
    </row>
    <row r="754" spans="1:22" x14ac:dyDescent="0.35">
      <c r="A754" s="22" t="s">
        <v>2387</v>
      </c>
      <c r="B754" s="1" t="s">
        <v>2388</v>
      </c>
      <c r="C754" s="1" t="s">
        <v>2389</v>
      </c>
      <c r="D754" s="1" t="s">
        <v>1326</v>
      </c>
      <c r="E754" s="1" t="s">
        <v>80</v>
      </c>
      <c r="F754" s="1" t="s">
        <v>69</v>
      </c>
      <c r="G754" s="1">
        <f t="shared" si="55"/>
        <v>3</v>
      </c>
      <c r="H754" s="1" t="s">
        <v>70</v>
      </c>
      <c r="I754" s="1" t="s">
        <v>49</v>
      </c>
      <c r="J754" s="23" t="s">
        <v>50</v>
      </c>
      <c r="K754" s="2" t="s">
        <v>51</v>
      </c>
      <c r="L754" s="1">
        <v>18</v>
      </c>
      <c r="M754" s="1">
        <v>0</v>
      </c>
      <c r="N754" s="1" t="str">
        <f t="shared" si="58"/>
        <v>Published</v>
      </c>
      <c r="O754" s="1">
        <f t="shared" si="56"/>
        <v>0</v>
      </c>
      <c r="P754" s="1"/>
      <c r="Q754" s="1">
        <v>988</v>
      </c>
      <c r="R754" s="1" t="str">
        <f t="shared" si="59"/>
        <v>2</v>
      </c>
      <c r="S754" s="1">
        <v>84</v>
      </c>
      <c r="T754" s="1" t="str">
        <f t="shared" si="57"/>
        <v>1</v>
      </c>
      <c r="U754" s="1">
        <v>-33.839979999999997</v>
      </c>
      <c r="V754" s="3">
        <v>146.25824499999999</v>
      </c>
    </row>
    <row r="755" spans="1:22" x14ac:dyDescent="0.35">
      <c r="A755" s="22" t="s">
        <v>2390</v>
      </c>
      <c r="B755" s="1" t="s">
        <v>2391</v>
      </c>
      <c r="C755" s="1" t="s">
        <v>2392</v>
      </c>
      <c r="D755" s="1" t="s">
        <v>587</v>
      </c>
      <c r="E755" s="1" t="s">
        <v>107</v>
      </c>
      <c r="F755" s="1" t="s">
        <v>69</v>
      </c>
      <c r="G755" s="1">
        <f t="shared" si="55"/>
        <v>3</v>
      </c>
      <c r="H755" s="1" t="s">
        <v>92</v>
      </c>
      <c r="I755" s="1" t="s">
        <v>49</v>
      </c>
      <c r="J755" s="23" t="s">
        <v>50</v>
      </c>
      <c r="K755" s="2" t="s">
        <v>51</v>
      </c>
      <c r="L755" s="1">
        <v>17</v>
      </c>
      <c r="M755" s="1"/>
      <c r="N755" s="1" t="str">
        <f t="shared" si="58"/>
        <v>Suppressed</v>
      </c>
      <c r="O755" s="1" t="str">
        <f t="shared" si="56"/>
        <v/>
      </c>
      <c r="P755" s="1"/>
      <c r="Q755" s="1">
        <v>896</v>
      </c>
      <c r="R755" s="1" t="str">
        <f t="shared" si="59"/>
        <v>1</v>
      </c>
      <c r="S755" s="1">
        <v>142</v>
      </c>
      <c r="T755" s="1" t="str">
        <f t="shared" si="57"/>
        <v>1</v>
      </c>
      <c r="U755" s="1">
        <v>-29.085815</v>
      </c>
      <c r="V755" s="3">
        <v>152.95533</v>
      </c>
    </row>
    <row r="756" spans="1:22" x14ac:dyDescent="0.35">
      <c r="A756" s="22" t="s">
        <v>2393</v>
      </c>
      <c r="B756" s="1" t="s">
        <v>2394</v>
      </c>
      <c r="C756" s="1" t="s">
        <v>2395</v>
      </c>
      <c r="D756" s="1" t="s">
        <v>111</v>
      </c>
      <c r="E756" s="1" t="s">
        <v>56</v>
      </c>
      <c r="F756" s="1" t="s">
        <v>47</v>
      </c>
      <c r="G756" s="1">
        <f t="shared" si="55"/>
        <v>1</v>
      </c>
      <c r="H756" s="1" t="s">
        <v>63</v>
      </c>
      <c r="I756" s="1" t="s">
        <v>49</v>
      </c>
      <c r="J756" s="23" t="s">
        <v>50</v>
      </c>
      <c r="K756" s="2" t="s">
        <v>51</v>
      </c>
      <c r="L756" s="1">
        <v>322</v>
      </c>
      <c r="M756" s="1">
        <v>39</v>
      </c>
      <c r="N756" s="1" t="str">
        <f t="shared" si="58"/>
        <v>Published</v>
      </c>
      <c r="O756" s="1">
        <f t="shared" si="56"/>
        <v>125.58</v>
      </c>
      <c r="P756" s="1">
        <v>6</v>
      </c>
      <c r="Q756" s="1">
        <v>864</v>
      </c>
      <c r="R756" s="1" t="str">
        <f t="shared" si="59"/>
        <v>1</v>
      </c>
      <c r="S756" s="1">
        <v>152</v>
      </c>
      <c r="T756" s="1" t="str">
        <f t="shared" si="57"/>
        <v>3</v>
      </c>
      <c r="U756" s="1">
        <v>-32.767015999999998</v>
      </c>
      <c r="V756" s="3">
        <v>151.74001000000001</v>
      </c>
    </row>
    <row r="757" spans="1:22" x14ac:dyDescent="0.35">
      <c r="A757" s="22" t="s">
        <v>2396</v>
      </c>
      <c r="B757" s="1" t="s">
        <v>2397</v>
      </c>
      <c r="C757" s="1" t="s">
        <v>2398</v>
      </c>
      <c r="D757" s="1" t="s">
        <v>191</v>
      </c>
      <c r="E757" s="1" t="s">
        <v>75</v>
      </c>
      <c r="F757" s="1" t="s">
        <v>47</v>
      </c>
      <c r="G757" s="1">
        <f t="shared" si="55"/>
        <v>1</v>
      </c>
      <c r="H757" s="1" t="s">
        <v>63</v>
      </c>
      <c r="I757" s="1" t="s">
        <v>49</v>
      </c>
      <c r="J757" s="23" t="s">
        <v>50</v>
      </c>
      <c r="K757" s="2" t="s">
        <v>51</v>
      </c>
      <c r="L757" s="1">
        <v>240</v>
      </c>
      <c r="M757" s="1">
        <v>7</v>
      </c>
      <c r="N757" s="1" t="str">
        <f t="shared" si="58"/>
        <v>Published</v>
      </c>
      <c r="O757" s="1">
        <f t="shared" si="56"/>
        <v>16.8</v>
      </c>
      <c r="P757" s="1">
        <v>8</v>
      </c>
      <c r="Q757" s="1">
        <v>1089</v>
      </c>
      <c r="R757" s="1" t="str">
        <f t="shared" si="59"/>
        <v>3</v>
      </c>
      <c r="S757" s="1">
        <v>42</v>
      </c>
      <c r="T757" s="1" t="str">
        <f t="shared" si="57"/>
        <v>2</v>
      </c>
      <c r="U757" s="1">
        <v>-33.011645999999999</v>
      </c>
      <c r="V757" s="3">
        <v>151.71142499999999</v>
      </c>
    </row>
    <row r="758" spans="1:22" x14ac:dyDescent="0.35">
      <c r="A758" s="22" t="s">
        <v>2399</v>
      </c>
      <c r="B758" s="1" t="s">
        <v>2400</v>
      </c>
      <c r="C758" s="1" t="s">
        <v>2401</v>
      </c>
      <c r="D758" s="1" t="s">
        <v>1014</v>
      </c>
      <c r="E758" s="1" t="s">
        <v>91</v>
      </c>
      <c r="F758" s="1" t="s">
        <v>69</v>
      </c>
      <c r="G758" s="1">
        <f t="shared" si="55"/>
        <v>3</v>
      </c>
      <c r="H758" s="1" t="s">
        <v>92</v>
      </c>
      <c r="I758" s="1" t="s">
        <v>49</v>
      </c>
      <c r="J758" s="23" t="s">
        <v>50</v>
      </c>
      <c r="K758" s="2" t="s">
        <v>51</v>
      </c>
      <c r="L758" s="1">
        <v>28</v>
      </c>
      <c r="M758" s="1">
        <v>36</v>
      </c>
      <c r="N758" s="1" t="str">
        <f t="shared" si="58"/>
        <v>Published</v>
      </c>
      <c r="O758" s="1">
        <f t="shared" si="56"/>
        <v>10.08</v>
      </c>
      <c r="P758" s="1"/>
      <c r="Q758" s="1">
        <v>858</v>
      </c>
      <c r="R758" s="1" t="str">
        <f t="shared" si="59"/>
        <v>1</v>
      </c>
      <c r="S758" s="1">
        <v>151</v>
      </c>
      <c r="T758" s="1" t="str">
        <f t="shared" si="57"/>
        <v>1</v>
      </c>
      <c r="U758" s="1">
        <v>-29.776132</v>
      </c>
      <c r="V758" s="3">
        <v>151.89737299999999</v>
      </c>
    </row>
    <row r="759" spans="1:22" x14ac:dyDescent="0.35">
      <c r="A759" s="22" t="s">
        <v>2402</v>
      </c>
      <c r="B759" s="1" t="s">
        <v>2403</v>
      </c>
      <c r="C759" s="1" t="s">
        <v>2404</v>
      </c>
      <c r="D759" s="1" t="s">
        <v>152</v>
      </c>
      <c r="E759" s="1" t="s">
        <v>170</v>
      </c>
      <c r="F759" s="1" t="s">
        <v>47</v>
      </c>
      <c r="G759" s="1">
        <f t="shared" si="55"/>
        <v>1</v>
      </c>
      <c r="H759" s="1" t="s">
        <v>48</v>
      </c>
      <c r="I759" s="1" t="s">
        <v>49</v>
      </c>
      <c r="J759" s="23" t="s">
        <v>50</v>
      </c>
      <c r="K759" s="2" t="s">
        <v>51</v>
      </c>
      <c r="L759" s="1">
        <v>268</v>
      </c>
      <c r="M759" s="1"/>
      <c r="N759" s="1" t="str">
        <f t="shared" si="58"/>
        <v>Suppressed</v>
      </c>
      <c r="O759" s="1" t="str">
        <f t="shared" si="56"/>
        <v/>
      </c>
      <c r="P759" s="1">
        <v>89</v>
      </c>
      <c r="Q759" s="1">
        <v>968</v>
      </c>
      <c r="R759" s="1" t="str">
        <f t="shared" si="59"/>
        <v>2</v>
      </c>
      <c r="S759" s="1">
        <v>128</v>
      </c>
      <c r="T759" s="1" t="str">
        <f t="shared" si="57"/>
        <v>2</v>
      </c>
      <c r="U759" s="1">
        <v>-33.885517999999998</v>
      </c>
      <c r="V759" s="3">
        <v>151.02469300000001</v>
      </c>
    </row>
    <row r="760" spans="1:22" x14ac:dyDescent="0.35">
      <c r="A760" s="22" t="s">
        <v>2405</v>
      </c>
      <c r="B760" s="1" t="s">
        <v>2406</v>
      </c>
      <c r="C760" s="1" t="s">
        <v>2407</v>
      </c>
      <c r="D760" s="1" t="s">
        <v>1131</v>
      </c>
      <c r="E760" s="1" t="s">
        <v>429</v>
      </c>
      <c r="F760" s="1" t="s">
        <v>47</v>
      </c>
      <c r="G760" s="1">
        <f t="shared" si="55"/>
        <v>1</v>
      </c>
      <c r="H760" s="1" t="s">
        <v>182</v>
      </c>
      <c r="I760" s="1" t="s">
        <v>49</v>
      </c>
      <c r="J760" s="23" t="s">
        <v>50</v>
      </c>
      <c r="K760" s="2" t="s">
        <v>51</v>
      </c>
      <c r="L760" s="1">
        <v>523</v>
      </c>
      <c r="M760" s="1">
        <v>10</v>
      </c>
      <c r="N760" s="1" t="str">
        <f t="shared" si="58"/>
        <v>Published</v>
      </c>
      <c r="O760" s="1">
        <f t="shared" si="56"/>
        <v>52.300000000000004</v>
      </c>
      <c r="P760" s="1">
        <v>14</v>
      </c>
      <c r="Q760" s="1">
        <v>1003</v>
      </c>
      <c r="R760" s="1" t="str">
        <f t="shared" si="59"/>
        <v>3</v>
      </c>
      <c r="S760" s="1">
        <v>93</v>
      </c>
      <c r="T760" s="1" t="str">
        <f t="shared" si="57"/>
        <v>3</v>
      </c>
      <c r="U760" s="1">
        <v>-33.777279999999998</v>
      </c>
      <c r="V760" s="3">
        <v>150.66831099999999</v>
      </c>
    </row>
    <row r="761" spans="1:22" x14ac:dyDescent="0.35">
      <c r="A761" s="22" t="s">
        <v>2408</v>
      </c>
      <c r="B761" s="1" t="s">
        <v>2409</v>
      </c>
      <c r="C761" s="1" t="s">
        <v>2410</v>
      </c>
      <c r="D761" s="1" t="s">
        <v>333</v>
      </c>
      <c r="E761" s="1" t="s">
        <v>281</v>
      </c>
      <c r="F761" s="1" t="s">
        <v>57</v>
      </c>
      <c r="G761" s="1">
        <f t="shared" si="55"/>
        <v>2</v>
      </c>
      <c r="H761" s="1" t="s">
        <v>58</v>
      </c>
      <c r="I761" s="1" t="s">
        <v>49</v>
      </c>
      <c r="J761" s="23" t="s">
        <v>50</v>
      </c>
      <c r="K761" s="2" t="s">
        <v>51</v>
      </c>
      <c r="L761" s="1">
        <v>63</v>
      </c>
      <c r="M761" s="1"/>
      <c r="N761" s="1" t="str">
        <f t="shared" si="58"/>
        <v>Suppressed</v>
      </c>
      <c r="O761" s="1" t="str">
        <f t="shared" si="56"/>
        <v/>
      </c>
      <c r="P761" s="1"/>
      <c r="Q761" s="1">
        <v>1030</v>
      </c>
      <c r="R761" s="1" t="str">
        <f t="shared" si="59"/>
        <v>3</v>
      </c>
      <c r="S761" s="1">
        <v>75</v>
      </c>
      <c r="T761" s="1" t="str">
        <f t="shared" si="57"/>
        <v>1</v>
      </c>
      <c r="U761" s="1">
        <v>-30.446021000000002</v>
      </c>
      <c r="V761" s="3">
        <v>153.02903699999999</v>
      </c>
    </row>
    <row r="762" spans="1:22" x14ac:dyDescent="0.35">
      <c r="A762" s="22" t="s">
        <v>2411</v>
      </c>
      <c r="B762" s="1" t="s">
        <v>2412</v>
      </c>
      <c r="C762" s="1" t="s">
        <v>2413</v>
      </c>
      <c r="D762" s="1" t="s">
        <v>152</v>
      </c>
      <c r="E762" s="1" t="s">
        <v>229</v>
      </c>
      <c r="F762" s="1" t="s">
        <v>47</v>
      </c>
      <c r="G762" s="1">
        <f t="shared" si="55"/>
        <v>1</v>
      </c>
      <c r="H762" s="1" t="s">
        <v>182</v>
      </c>
      <c r="I762" s="1" t="s">
        <v>49</v>
      </c>
      <c r="J762" s="23" t="s">
        <v>50</v>
      </c>
      <c r="K762" s="2" t="s">
        <v>51</v>
      </c>
      <c r="L762" s="1">
        <v>303</v>
      </c>
      <c r="M762" s="1">
        <v>4</v>
      </c>
      <c r="N762" s="1" t="str">
        <f t="shared" si="58"/>
        <v>Published</v>
      </c>
      <c r="O762" s="1">
        <f t="shared" si="56"/>
        <v>12.120000000000001</v>
      </c>
      <c r="P762" s="1">
        <v>73</v>
      </c>
      <c r="Q762" s="1">
        <v>999</v>
      </c>
      <c r="R762" s="1" t="str">
        <f t="shared" si="59"/>
        <v>2</v>
      </c>
      <c r="S762" s="1">
        <v>115</v>
      </c>
      <c r="T762" s="1" t="str">
        <f t="shared" si="57"/>
        <v>3</v>
      </c>
      <c r="U762" s="1">
        <v>-33.944448999999999</v>
      </c>
      <c r="V762" s="3">
        <v>151.017145</v>
      </c>
    </row>
    <row r="763" spans="1:22" x14ac:dyDescent="0.35">
      <c r="A763" s="22" t="s">
        <v>2414</v>
      </c>
      <c r="B763" s="1" t="s">
        <v>2415</v>
      </c>
      <c r="C763" s="1" t="s">
        <v>2416</v>
      </c>
      <c r="D763" s="1" t="s">
        <v>404</v>
      </c>
      <c r="E763" s="1" t="s">
        <v>429</v>
      </c>
      <c r="F763" s="1" t="s">
        <v>47</v>
      </c>
      <c r="G763" s="1">
        <f t="shared" si="55"/>
        <v>1</v>
      </c>
      <c r="H763" s="1" t="s">
        <v>63</v>
      </c>
      <c r="I763" s="1" t="s">
        <v>49</v>
      </c>
      <c r="J763" s="23" t="s">
        <v>50</v>
      </c>
      <c r="K763" s="2" t="s">
        <v>51</v>
      </c>
      <c r="L763" s="1">
        <v>309</v>
      </c>
      <c r="M763" s="1">
        <v>14</v>
      </c>
      <c r="N763" s="1" t="str">
        <f t="shared" si="58"/>
        <v>Published</v>
      </c>
      <c r="O763" s="1">
        <f t="shared" si="56"/>
        <v>43.260000000000005</v>
      </c>
      <c r="P763" s="1">
        <v>13</v>
      </c>
      <c r="Q763" s="1">
        <v>984</v>
      </c>
      <c r="R763" s="1" t="str">
        <f t="shared" si="59"/>
        <v>2</v>
      </c>
      <c r="S763" s="1">
        <v>92</v>
      </c>
      <c r="T763" s="1" t="str">
        <f t="shared" si="57"/>
        <v>3</v>
      </c>
      <c r="U763" s="1">
        <v>-33.580590999999998</v>
      </c>
      <c r="V763" s="3">
        <v>150.716871</v>
      </c>
    </row>
    <row r="764" spans="1:22" x14ac:dyDescent="0.35">
      <c r="A764" s="22" t="s">
        <v>2417</v>
      </c>
      <c r="B764" s="1" t="s">
        <v>2418</v>
      </c>
      <c r="C764" s="1" t="s">
        <v>2419</v>
      </c>
      <c r="D764" s="1" t="s">
        <v>256</v>
      </c>
      <c r="E764" s="1" t="s">
        <v>107</v>
      </c>
      <c r="F764" s="1" t="s">
        <v>57</v>
      </c>
      <c r="G764" s="1">
        <f t="shared" si="55"/>
        <v>2</v>
      </c>
      <c r="H764" s="1" t="s">
        <v>92</v>
      </c>
      <c r="I764" s="1" t="s">
        <v>49</v>
      </c>
      <c r="J764" s="23" t="s">
        <v>50</v>
      </c>
      <c r="K764" s="2" t="s">
        <v>51</v>
      </c>
      <c r="L764" s="1">
        <v>23</v>
      </c>
      <c r="M764" s="1"/>
      <c r="N764" s="1" t="str">
        <f t="shared" si="58"/>
        <v>Suppressed</v>
      </c>
      <c r="O764" s="1" t="str">
        <f t="shared" si="56"/>
        <v/>
      </c>
      <c r="P764" s="1"/>
      <c r="Q764" s="1">
        <v>869</v>
      </c>
      <c r="R764" s="1" t="str">
        <f t="shared" si="59"/>
        <v>1</v>
      </c>
      <c r="S764" s="1">
        <v>169</v>
      </c>
      <c r="T764" s="1" t="str">
        <f t="shared" si="57"/>
        <v>1</v>
      </c>
      <c r="U764" s="1">
        <v>-28.476942999999999</v>
      </c>
      <c r="V764" s="3">
        <v>152.93396999999999</v>
      </c>
    </row>
    <row r="765" spans="1:22" x14ac:dyDescent="0.35">
      <c r="A765" s="22" t="s">
        <v>2420</v>
      </c>
      <c r="B765" s="1" t="s">
        <v>2421</v>
      </c>
      <c r="C765" s="1" t="s">
        <v>2422</v>
      </c>
      <c r="D765" s="1" t="s">
        <v>837</v>
      </c>
      <c r="E765" s="1" t="s">
        <v>838</v>
      </c>
      <c r="F765" s="1" t="s">
        <v>47</v>
      </c>
      <c r="G765" s="1">
        <f t="shared" si="55"/>
        <v>1</v>
      </c>
      <c r="H765" s="1" t="s">
        <v>148</v>
      </c>
      <c r="I765" s="1" t="s">
        <v>49</v>
      </c>
      <c r="J765" s="23" t="s">
        <v>50</v>
      </c>
      <c r="K765" s="2" t="s">
        <v>51</v>
      </c>
      <c r="L765" s="1">
        <v>599</v>
      </c>
      <c r="M765" s="1">
        <v>14</v>
      </c>
      <c r="N765" s="1" t="str">
        <f t="shared" si="58"/>
        <v>Published</v>
      </c>
      <c r="O765" s="1">
        <f t="shared" si="56"/>
        <v>83.860000000000014</v>
      </c>
      <c r="P765" s="1">
        <v>54</v>
      </c>
      <c r="Q765" s="1">
        <v>986</v>
      </c>
      <c r="R765" s="1" t="str">
        <f t="shared" si="59"/>
        <v>2</v>
      </c>
      <c r="S765" s="1">
        <v>83</v>
      </c>
      <c r="T765" s="1" t="str">
        <f t="shared" si="57"/>
        <v>3</v>
      </c>
      <c r="U765" s="1">
        <v>-33.678387000000001</v>
      </c>
      <c r="V765" s="3">
        <v>150.87101899999999</v>
      </c>
    </row>
    <row r="766" spans="1:22" x14ac:dyDescent="0.35">
      <c r="A766" s="22" t="s">
        <v>2423</v>
      </c>
      <c r="B766" s="1" t="s">
        <v>2424</v>
      </c>
      <c r="C766" s="1" t="s">
        <v>2425</v>
      </c>
      <c r="D766" s="1" t="s">
        <v>195</v>
      </c>
      <c r="E766" s="1" t="s">
        <v>196</v>
      </c>
      <c r="F766" s="1" t="s">
        <v>57</v>
      </c>
      <c r="G766" s="1">
        <f t="shared" si="55"/>
        <v>2</v>
      </c>
      <c r="H766" s="1" t="s">
        <v>86</v>
      </c>
      <c r="I766" s="1" t="s">
        <v>49</v>
      </c>
      <c r="J766" s="23" t="s">
        <v>50</v>
      </c>
      <c r="K766" s="2" t="s">
        <v>51</v>
      </c>
      <c r="L766" s="1">
        <v>147</v>
      </c>
      <c r="M766" s="1">
        <v>5</v>
      </c>
      <c r="N766" s="1" t="str">
        <f t="shared" si="58"/>
        <v>Published</v>
      </c>
      <c r="O766" s="1">
        <f t="shared" si="56"/>
        <v>7.3500000000000005</v>
      </c>
      <c r="P766" s="1">
        <v>11</v>
      </c>
      <c r="Q766" s="1">
        <v>1025</v>
      </c>
      <c r="R766" s="1" t="str">
        <f t="shared" si="59"/>
        <v>3</v>
      </c>
      <c r="S766" s="1">
        <v>76</v>
      </c>
      <c r="T766" s="1" t="str">
        <f t="shared" si="57"/>
        <v>2</v>
      </c>
      <c r="U766" s="1">
        <v>-34.589624999999998</v>
      </c>
      <c r="V766" s="3">
        <v>150.59248299999999</v>
      </c>
    </row>
    <row r="767" spans="1:22" x14ac:dyDescent="0.35">
      <c r="A767" s="22" t="s">
        <v>2426</v>
      </c>
      <c r="B767" s="1" t="s">
        <v>2427</v>
      </c>
      <c r="C767" s="1" t="s">
        <v>2428</v>
      </c>
      <c r="D767" s="1" t="s">
        <v>224</v>
      </c>
      <c r="E767" s="1" t="s">
        <v>229</v>
      </c>
      <c r="F767" s="1" t="s">
        <v>47</v>
      </c>
      <c r="G767" s="1">
        <f t="shared" si="55"/>
        <v>1</v>
      </c>
      <c r="H767" s="1" t="s">
        <v>48</v>
      </c>
      <c r="I767" s="1" t="s">
        <v>49</v>
      </c>
      <c r="J767" s="23" t="s">
        <v>50</v>
      </c>
      <c r="K767" s="2" t="s">
        <v>51</v>
      </c>
      <c r="L767" s="1">
        <v>321</v>
      </c>
      <c r="M767" s="1">
        <v>3</v>
      </c>
      <c r="N767" s="1" t="str">
        <f t="shared" si="58"/>
        <v>Published</v>
      </c>
      <c r="O767" s="1">
        <f t="shared" si="56"/>
        <v>9.629999999999999</v>
      </c>
      <c r="P767" s="1">
        <v>93</v>
      </c>
      <c r="Q767" s="1">
        <v>1053</v>
      </c>
      <c r="R767" s="1" t="str">
        <f t="shared" si="59"/>
        <v>3</v>
      </c>
      <c r="S767" s="1">
        <v>53</v>
      </c>
      <c r="T767" s="1" t="str">
        <f t="shared" si="57"/>
        <v>3</v>
      </c>
      <c r="U767" s="1">
        <v>-33.952626000000002</v>
      </c>
      <c r="V767" s="3">
        <v>151.14168100000001</v>
      </c>
    </row>
    <row r="768" spans="1:22" x14ac:dyDescent="0.35">
      <c r="A768" s="22" t="s">
        <v>2429</v>
      </c>
      <c r="B768" s="1" t="s">
        <v>2430</v>
      </c>
      <c r="C768" s="1" t="s">
        <v>2431</v>
      </c>
      <c r="D768" s="1" t="s">
        <v>291</v>
      </c>
      <c r="E768" s="1" t="s">
        <v>261</v>
      </c>
      <c r="F768" s="1" t="s">
        <v>57</v>
      </c>
      <c r="G768" s="1">
        <f t="shared" si="55"/>
        <v>2</v>
      </c>
      <c r="H768" s="1" t="s">
        <v>58</v>
      </c>
      <c r="I768" s="1" t="s">
        <v>49</v>
      </c>
      <c r="J768" s="23" t="s">
        <v>50</v>
      </c>
      <c r="K768" s="2" t="s">
        <v>51</v>
      </c>
      <c r="L768" s="1">
        <v>13</v>
      </c>
      <c r="M768" s="1"/>
      <c r="N768" s="1" t="str">
        <f t="shared" si="58"/>
        <v>Suppressed</v>
      </c>
      <c r="O768" s="1" t="str">
        <f t="shared" si="56"/>
        <v/>
      </c>
      <c r="P768" s="1">
        <v>0</v>
      </c>
      <c r="Q768" s="1">
        <v>941</v>
      </c>
      <c r="R768" s="1" t="str">
        <f t="shared" si="59"/>
        <v>2</v>
      </c>
      <c r="S768" s="1">
        <v>108</v>
      </c>
      <c r="T768" s="1" t="str">
        <f t="shared" si="57"/>
        <v>1</v>
      </c>
      <c r="U768" s="1">
        <v>-33.691929999999999</v>
      </c>
      <c r="V768" s="3">
        <v>149.56255400000001</v>
      </c>
    </row>
    <row r="769" spans="1:22" x14ac:dyDescent="0.35">
      <c r="A769" s="22" t="s">
        <v>2432</v>
      </c>
      <c r="B769" s="1" t="s">
        <v>2433</v>
      </c>
      <c r="C769" s="1" t="s">
        <v>2434</v>
      </c>
      <c r="D769" s="1" t="s">
        <v>1796</v>
      </c>
      <c r="E769" s="1" t="s">
        <v>80</v>
      </c>
      <c r="F769" s="1" t="s">
        <v>57</v>
      </c>
      <c r="G769" s="1">
        <f t="shared" si="55"/>
        <v>2</v>
      </c>
      <c r="H769" s="1" t="s">
        <v>70</v>
      </c>
      <c r="I769" s="1" t="s">
        <v>132</v>
      </c>
      <c r="J769" s="23" t="s">
        <v>50</v>
      </c>
      <c r="K769" s="2" t="s">
        <v>51</v>
      </c>
      <c r="L769" s="1">
        <v>169</v>
      </c>
      <c r="M769" s="1">
        <v>15</v>
      </c>
      <c r="N769" s="1" t="str">
        <f t="shared" si="58"/>
        <v>Published</v>
      </c>
      <c r="O769" s="1">
        <f t="shared" si="56"/>
        <v>25.349999999999998</v>
      </c>
      <c r="P769" s="1">
        <v>4</v>
      </c>
      <c r="Q769" s="1">
        <v>953</v>
      </c>
      <c r="R769" s="1" t="str">
        <f t="shared" si="59"/>
        <v>2</v>
      </c>
      <c r="S769" s="1">
        <v>124</v>
      </c>
      <c r="T769" s="1" t="str">
        <f t="shared" si="57"/>
        <v>2</v>
      </c>
      <c r="U769" s="1">
        <v>-35.266334999999998</v>
      </c>
      <c r="V769" s="3">
        <v>147.115239</v>
      </c>
    </row>
    <row r="770" spans="1:22" x14ac:dyDescent="0.35">
      <c r="A770" s="22" t="s">
        <v>2435</v>
      </c>
      <c r="B770" s="1" t="s">
        <v>2436</v>
      </c>
      <c r="C770" s="1" t="s">
        <v>2437</v>
      </c>
      <c r="D770" s="1" t="s">
        <v>390</v>
      </c>
      <c r="E770" s="1" t="s">
        <v>107</v>
      </c>
      <c r="F770" s="1" t="s">
        <v>57</v>
      </c>
      <c r="G770" s="1">
        <f t="shared" ref="G770:G833" si="60">IF(F770="Major Cities of Australia",1,IF(F770="Inner Regional Australia",2,IF(F770="Outer Regional Australia",3,IF(F770="Remote Australia",4,IF(F770="Very Remote Australia",5,6)))))</f>
        <v>2</v>
      </c>
      <c r="H770" s="1" t="s">
        <v>92</v>
      </c>
      <c r="I770" s="1" t="s">
        <v>49</v>
      </c>
      <c r="J770" s="23" t="s">
        <v>50</v>
      </c>
      <c r="K770" s="2" t="s">
        <v>51</v>
      </c>
      <c r="L770" s="1">
        <v>8</v>
      </c>
      <c r="M770" s="1">
        <v>0</v>
      </c>
      <c r="N770" s="1" t="str">
        <f t="shared" si="58"/>
        <v>Published</v>
      </c>
      <c r="O770" s="1">
        <f t="shared" ref="O770:O833" si="61">IF(OR(M770="",L770=""),"",M770/100*L770)</f>
        <v>0</v>
      </c>
      <c r="P770" s="1"/>
      <c r="Q770" s="1">
        <v>1052</v>
      </c>
      <c r="R770" s="1" t="str">
        <f t="shared" si="59"/>
        <v>3</v>
      </c>
      <c r="S770" s="1">
        <v>65</v>
      </c>
      <c r="T770" s="1" t="str">
        <f t="shared" ref="T770:T833" si="62">IF(L770="","No enrolment",IF(L770&lt;100,"1",IF(L770&lt;300,"2",IF(L770&lt;600,"3",IF(L770&lt;1000,"4","5")))))</f>
        <v>1</v>
      </c>
      <c r="U770" s="1">
        <v>-28.638211999999999</v>
      </c>
      <c r="V770" s="3">
        <v>153.31431699999999</v>
      </c>
    </row>
    <row r="771" spans="1:22" x14ac:dyDescent="0.35">
      <c r="A771" s="22" t="s">
        <v>2438</v>
      </c>
      <c r="B771" s="1" t="s">
        <v>2439</v>
      </c>
      <c r="C771" s="1" t="s">
        <v>627</v>
      </c>
      <c r="D771" s="1" t="s">
        <v>627</v>
      </c>
      <c r="E771" s="1" t="s">
        <v>91</v>
      </c>
      <c r="F771" s="1" t="s">
        <v>57</v>
      </c>
      <c r="G771" s="1">
        <f t="shared" si="60"/>
        <v>2</v>
      </c>
      <c r="H771" s="1" t="s">
        <v>92</v>
      </c>
      <c r="I771" s="1" t="s">
        <v>49</v>
      </c>
      <c r="J771" s="23" t="s">
        <v>50</v>
      </c>
      <c r="K771" s="2" t="s">
        <v>51</v>
      </c>
      <c r="L771" s="1">
        <v>39</v>
      </c>
      <c r="M771" s="1">
        <v>31</v>
      </c>
      <c r="N771" s="1" t="str">
        <f t="shared" ref="N771:N834" si="63">IF(M771="","Suppressed","Published")</f>
        <v>Published</v>
      </c>
      <c r="O771" s="1">
        <f t="shared" si="61"/>
        <v>12.09</v>
      </c>
      <c r="P771" s="1"/>
      <c r="Q771" s="1">
        <v>963</v>
      </c>
      <c r="R771" s="1" t="str">
        <f t="shared" ref="R771:R834" si="64">IF(Q771="","No ICSEA",IF(Q771&lt;900,"1",IF(Q771&lt;1000,"2",IF(Q771&lt;1100,"3","4"))))</f>
        <v>2</v>
      </c>
      <c r="S771" s="1">
        <v>101</v>
      </c>
      <c r="T771" s="1" t="str">
        <f t="shared" si="62"/>
        <v>1</v>
      </c>
      <c r="U771" s="1">
        <v>-30.612856000000001</v>
      </c>
      <c r="V771" s="3">
        <v>151.49178800000001</v>
      </c>
    </row>
    <row r="772" spans="1:22" x14ac:dyDescent="0.35">
      <c r="A772" s="22" t="s">
        <v>2440</v>
      </c>
      <c r="B772" s="1" t="s">
        <v>2441</v>
      </c>
      <c r="C772" s="1" t="s">
        <v>2442</v>
      </c>
      <c r="D772" s="1" t="s">
        <v>302</v>
      </c>
      <c r="E772" s="1" t="s">
        <v>276</v>
      </c>
      <c r="F772" s="1" t="s">
        <v>57</v>
      </c>
      <c r="G772" s="1">
        <f t="shared" si="60"/>
        <v>2</v>
      </c>
      <c r="H772" s="1" t="s">
        <v>58</v>
      </c>
      <c r="I772" s="1" t="s">
        <v>49</v>
      </c>
      <c r="J772" s="23" t="s">
        <v>50</v>
      </c>
      <c r="K772" s="2" t="s">
        <v>51</v>
      </c>
      <c r="L772" s="1">
        <v>24</v>
      </c>
      <c r="M772" s="1">
        <v>25</v>
      </c>
      <c r="N772" s="1" t="str">
        <f t="shared" si="63"/>
        <v>Published</v>
      </c>
      <c r="O772" s="1">
        <f t="shared" si="61"/>
        <v>6</v>
      </c>
      <c r="P772" s="1">
        <v>0</v>
      </c>
      <c r="Q772" s="1">
        <v>939</v>
      </c>
      <c r="R772" s="1" t="str">
        <f t="shared" si="64"/>
        <v>2</v>
      </c>
      <c r="S772" s="1">
        <v>119</v>
      </c>
      <c r="T772" s="1" t="str">
        <f t="shared" si="62"/>
        <v>1</v>
      </c>
      <c r="U772" s="1">
        <v>-31.239301999999999</v>
      </c>
      <c r="V772" s="3">
        <v>152.63180500000001</v>
      </c>
    </row>
    <row r="773" spans="1:22" x14ac:dyDescent="0.35">
      <c r="A773" s="22" t="s">
        <v>2443</v>
      </c>
      <c r="B773" s="1" t="s">
        <v>2444</v>
      </c>
      <c r="C773" s="1" t="s">
        <v>2445</v>
      </c>
      <c r="D773" s="1" t="s">
        <v>390</v>
      </c>
      <c r="E773" s="1" t="s">
        <v>107</v>
      </c>
      <c r="F773" s="1" t="s">
        <v>57</v>
      </c>
      <c r="G773" s="1">
        <f t="shared" si="60"/>
        <v>2</v>
      </c>
      <c r="H773" s="1" t="s">
        <v>92</v>
      </c>
      <c r="I773" s="1" t="s">
        <v>49</v>
      </c>
      <c r="J773" s="23" t="s">
        <v>50</v>
      </c>
      <c r="K773" s="2" t="s">
        <v>51</v>
      </c>
      <c r="L773" s="1">
        <v>20</v>
      </c>
      <c r="M773" s="1"/>
      <c r="N773" s="1" t="str">
        <f t="shared" si="63"/>
        <v>Suppressed</v>
      </c>
      <c r="O773" s="1" t="str">
        <f t="shared" si="61"/>
        <v/>
      </c>
      <c r="P773" s="1">
        <v>33</v>
      </c>
      <c r="Q773" s="1">
        <v>989</v>
      </c>
      <c r="R773" s="1" t="str">
        <f t="shared" si="64"/>
        <v>2</v>
      </c>
      <c r="S773" s="1">
        <v>100</v>
      </c>
      <c r="T773" s="1" t="str">
        <f t="shared" si="62"/>
        <v>1</v>
      </c>
      <c r="U773" s="1">
        <v>-28.678336000000002</v>
      </c>
      <c r="V773" s="3">
        <v>153.388262</v>
      </c>
    </row>
    <row r="774" spans="1:22" x14ac:dyDescent="0.35">
      <c r="A774" s="22" t="s">
        <v>2446</v>
      </c>
      <c r="B774" s="1" t="s">
        <v>2447</v>
      </c>
      <c r="C774" s="1" t="s">
        <v>2448</v>
      </c>
      <c r="D774" s="1" t="s">
        <v>329</v>
      </c>
      <c r="E774" s="1" t="s">
        <v>330</v>
      </c>
      <c r="F774" s="1" t="s">
        <v>47</v>
      </c>
      <c r="G774" s="1">
        <f t="shared" si="60"/>
        <v>1</v>
      </c>
      <c r="H774" s="1" t="s">
        <v>48</v>
      </c>
      <c r="I774" s="1" t="s">
        <v>49</v>
      </c>
      <c r="J774" s="23" t="s">
        <v>50</v>
      </c>
      <c r="K774" s="2" t="s">
        <v>51</v>
      </c>
      <c r="L774" s="1">
        <v>377</v>
      </c>
      <c r="M774" s="1"/>
      <c r="N774" s="1" t="str">
        <f t="shared" si="63"/>
        <v>Suppressed</v>
      </c>
      <c r="O774" s="1" t="str">
        <f t="shared" si="61"/>
        <v/>
      </c>
      <c r="P774" s="1">
        <v>55</v>
      </c>
      <c r="Q774" s="1">
        <v>1145</v>
      </c>
      <c r="R774" s="1" t="str">
        <f t="shared" si="64"/>
        <v>4</v>
      </c>
      <c r="S774" s="1">
        <v>15</v>
      </c>
      <c r="T774" s="1" t="str">
        <f t="shared" si="62"/>
        <v>3</v>
      </c>
      <c r="U774" s="1">
        <v>-33.873010999999998</v>
      </c>
      <c r="V774" s="3">
        <v>151.270962</v>
      </c>
    </row>
    <row r="775" spans="1:22" x14ac:dyDescent="0.35">
      <c r="A775" s="22" t="s">
        <v>2449</v>
      </c>
      <c r="B775" s="1" t="s">
        <v>2450</v>
      </c>
      <c r="C775" s="1" t="s">
        <v>2451</v>
      </c>
      <c r="D775" s="1" t="s">
        <v>1776</v>
      </c>
      <c r="E775" s="1" t="s">
        <v>147</v>
      </c>
      <c r="F775" s="1" t="s">
        <v>47</v>
      </c>
      <c r="G775" s="1">
        <f t="shared" si="60"/>
        <v>1</v>
      </c>
      <c r="H775" s="1" t="s">
        <v>148</v>
      </c>
      <c r="I775" s="1" t="s">
        <v>49</v>
      </c>
      <c r="J775" s="23" t="s">
        <v>50</v>
      </c>
      <c r="K775" s="2" t="s">
        <v>51</v>
      </c>
      <c r="L775" s="1">
        <v>520</v>
      </c>
      <c r="M775" s="1">
        <v>0</v>
      </c>
      <c r="N775" s="1" t="str">
        <f t="shared" si="63"/>
        <v>Published</v>
      </c>
      <c r="O775" s="1">
        <f t="shared" si="61"/>
        <v>0</v>
      </c>
      <c r="P775" s="1">
        <v>62</v>
      </c>
      <c r="Q775" s="1">
        <v>1172</v>
      </c>
      <c r="R775" s="1" t="str">
        <f t="shared" si="64"/>
        <v>4</v>
      </c>
      <c r="S775" s="1">
        <v>0</v>
      </c>
      <c r="T775" s="1" t="str">
        <f t="shared" si="62"/>
        <v>3</v>
      </c>
      <c r="U775" s="1">
        <v>-33.781883000000001</v>
      </c>
      <c r="V775" s="3">
        <v>151.18866600000001</v>
      </c>
    </row>
    <row r="776" spans="1:22" x14ac:dyDescent="0.35">
      <c r="A776" s="22" t="s">
        <v>2452</v>
      </c>
      <c r="B776" s="1" t="s">
        <v>2453</v>
      </c>
      <c r="C776" s="1" t="s">
        <v>2454</v>
      </c>
      <c r="D776" s="1" t="s">
        <v>79</v>
      </c>
      <c r="E776" s="1" t="s">
        <v>80</v>
      </c>
      <c r="F776" s="1" t="s">
        <v>69</v>
      </c>
      <c r="G776" s="1">
        <f t="shared" si="60"/>
        <v>3</v>
      </c>
      <c r="H776" s="1" t="s">
        <v>70</v>
      </c>
      <c r="I776" s="1" t="s">
        <v>49</v>
      </c>
      <c r="J776" s="23" t="s">
        <v>50</v>
      </c>
      <c r="K776" s="2" t="s">
        <v>51</v>
      </c>
      <c r="L776" s="1">
        <v>14</v>
      </c>
      <c r="M776" s="1">
        <v>57</v>
      </c>
      <c r="N776" s="1" t="str">
        <f t="shared" si="63"/>
        <v>Published</v>
      </c>
      <c r="O776" s="1">
        <f t="shared" si="61"/>
        <v>7.9799999999999995</v>
      </c>
      <c r="P776" s="1">
        <v>0</v>
      </c>
      <c r="Q776" s="1">
        <v>739</v>
      </c>
      <c r="R776" s="1" t="str">
        <f t="shared" si="64"/>
        <v>1</v>
      </c>
      <c r="S776" s="1">
        <v>179</v>
      </c>
      <c r="T776" s="1" t="str">
        <f t="shared" si="62"/>
        <v>1</v>
      </c>
      <c r="U776" s="1">
        <v>-35.670202000000003</v>
      </c>
      <c r="V776" s="3">
        <v>147.86083199999999</v>
      </c>
    </row>
    <row r="777" spans="1:22" x14ac:dyDescent="0.35">
      <c r="A777" s="22" t="s">
        <v>2455</v>
      </c>
      <c r="B777" s="1" t="s">
        <v>2456</v>
      </c>
      <c r="C777" s="1" t="s">
        <v>159</v>
      </c>
      <c r="D777" s="1" t="s">
        <v>159</v>
      </c>
      <c r="E777" s="1" t="s">
        <v>91</v>
      </c>
      <c r="F777" s="1" t="s">
        <v>69</v>
      </c>
      <c r="G777" s="1">
        <f t="shared" si="60"/>
        <v>3</v>
      </c>
      <c r="H777" s="1" t="s">
        <v>92</v>
      </c>
      <c r="I777" s="1" t="s">
        <v>49</v>
      </c>
      <c r="J777" s="23" t="s">
        <v>50</v>
      </c>
      <c r="K777" s="2" t="s">
        <v>51</v>
      </c>
      <c r="L777" s="1">
        <v>475</v>
      </c>
      <c r="M777" s="1">
        <v>38</v>
      </c>
      <c r="N777" s="1" t="str">
        <f t="shared" si="63"/>
        <v>Published</v>
      </c>
      <c r="O777" s="1">
        <f t="shared" si="61"/>
        <v>180.5</v>
      </c>
      <c r="P777" s="1">
        <v>2</v>
      </c>
      <c r="Q777" s="1">
        <v>871</v>
      </c>
      <c r="R777" s="1" t="str">
        <f t="shared" si="64"/>
        <v>1</v>
      </c>
      <c r="S777" s="1">
        <v>142</v>
      </c>
      <c r="T777" s="1" t="str">
        <f t="shared" si="62"/>
        <v>3</v>
      </c>
      <c r="U777" s="1">
        <v>-29.770175999999999</v>
      </c>
      <c r="V777" s="3">
        <v>151.10309100000001</v>
      </c>
    </row>
    <row r="778" spans="1:22" x14ac:dyDescent="0.35">
      <c r="A778" s="22" t="s">
        <v>2457</v>
      </c>
      <c r="B778" s="1" t="s">
        <v>2458</v>
      </c>
      <c r="C778" s="1" t="s">
        <v>2459</v>
      </c>
      <c r="D778" s="1" t="s">
        <v>678</v>
      </c>
      <c r="E778" s="1" t="s">
        <v>181</v>
      </c>
      <c r="F778" s="1" t="s">
        <v>47</v>
      </c>
      <c r="G778" s="1">
        <f t="shared" si="60"/>
        <v>1</v>
      </c>
      <c r="H778" s="1" t="s">
        <v>86</v>
      </c>
      <c r="I778" s="1" t="s">
        <v>49</v>
      </c>
      <c r="J778" s="23" t="s">
        <v>50</v>
      </c>
      <c r="K778" s="2" t="s">
        <v>51</v>
      </c>
      <c r="L778" s="1">
        <v>113</v>
      </c>
      <c r="M778" s="1">
        <v>17</v>
      </c>
      <c r="N778" s="1" t="str">
        <f t="shared" si="63"/>
        <v>Published</v>
      </c>
      <c r="O778" s="1">
        <f t="shared" si="61"/>
        <v>19.21</v>
      </c>
      <c r="P778" s="1">
        <v>54</v>
      </c>
      <c r="Q778" s="1">
        <v>937</v>
      </c>
      <c r="R778" s="1" t="str">
        <f t="shared" si="64"/>
        <v>2</v>
      </c>
      <c r="S778" s="1">
        <v>139</v>
      </c>
      <c r="T778" s="1" t="str">
        <f t="shared" si="62"/>
        <v>2</v>
      </c>
      <c r="U778" s="1">
        <v>-33.946492999999997</v>
      </c>
      <c r="V778" s="3">
        <v>150.77085700000001</v>
      </c>
    </row>
    <row r="779" spans="1:22" x14ac:dyDescent="0.35">
      <c r="A779" s="22" t="s">
        <v>2460</v>
      </c>
      <c r="B779" s="1" t="s">
        <v>2461</v>
      </c>
      <c r="C779" s="1" t="s">
        <v>105</v>
      </c>
      <c r="D779" s="1" t="s">
        <v>106</v>
      </c>
      <c r="E779" s="1" t="s">
        <v>107</v>
      </c>
      <c r="F779" s="1" t="s">
        <v>57</v>
      </c>
      <c r="G779" s="1">
        <f t="shared" si="60"/>
        <v>2</v>
      </c>
      <c r="H779" s="1" t="s">
        <v>92</v>
      </c>
      <c r="I779" s="1" t="s">
        <v>49</v>
      </c>
      <c r="J779" s="23" t="s">
        <v>50</v>
      </c>
      <c r="K779" s="2" t="s">
        <v>51</v>
      </c>
      <c r="L779" s="1">
        <v>85</v>
      </c>
      <c r="M779" s="1"/>
      <c r="N779" s="1" t="str">
        <f t="shared" si="63"/>
        <v>Suppressed</v>
      </c>
      <c r="O779" s="1" t="str">
        <f t="shared" si="61"/>
        <v/>
      </c>
      <c r="P779" s="1">
        <v>13</v>
      </c>
      <c r="Q779" s="1">
        <v>1031</v>
      </c>
      <c r="R779" s="1" t="str">
        <f t="shared" si="64"/>
        <v>3</v>
      </c>
      <c r="S779" s="1">
        <v>73</v>
      </c>
      <c r="T779" s="1" t="str">
        <f t="shared" si="62"/>
        <v>1</v>
      </c>
      <c r="U779" s="1">
        <v>-28.870683</v>
      </c>
      <c r="V779" s="3">
        <v>153.40662399999999</v>
      </c>
    </row>
    <row r="780" spans="1:22" x14ac:dyDescent="0.35">
      <c r="A780" s="22" t="s">
        <v>2462</v>
      </c>
      <c r="B780" s="1" t="s">
        <v>2463</v>
      </c>
      <c r="C780" s="1" t="s">
        <v>2464</v>
      </c>
      <c r="D780" s="1" t="s">
        <v>761</v>
      </c>
      <c r="E780" s="1" t="s">
        <v>127</v>
      </c>
      <c r="F780" s="1" t="s">
        <v>47</v>
      </c>
      <c r="G780" s="1">
        <f t="shared" si="60"/>
        <v>1</v>
      </c>
      <c r="H780" s="1" t="s">
        <v>148</v>
      </c>
      <c r="I780" s="1" t="s">
        <v>49</v>
      </c>
      <c r="J780" s="23" t="s">
        <v>50</v>
      </c>
      <c r="K780" s="2" t="s">
        <v>51</v>
      </c>
      <c r="L780" s="1">
        <v>1058</v>
      </c>
      <c r="M780" s="1">
        <v>1</v>
      </c>
      <c r="N780" s="1" t="str">
        <f t="shared" si="63"/>
        <v>Published</v>
      </c>
      <c r="O780" s="1">
        <f t="shared" si="61"/>
        <v>10.58</v>
      </c>
      <c r="P780" s="1">
        <v>68</v>
      </c>
      <c r="Q780" s="1">
        <v>1093</v>
      </c>
      <c r="R780" s="1" t="str">
        <f t="shared" si="64"/>
        <v>3</v>
      </c>
      <c r="S780" s="1">
        <v>29</v>
      </c>
      <c r="T780" s="1" t="str">
        <f t="shared" si="62"/>
        <v>5</v>
      </c>
      <c r="U780" s="1">
        <v>-33.679219000000003</v>
      </c>
      <c r="V780" s="3">
        <v>150.920985</v>
      </c>
    </row>
    <row r="781" spans="1:22" x14ac:dyDescent="0.35">
      <c r="A781" s="22" t="s">
        <v>2465</v>
      </c>
      <c r="B781" s="1" t="s">
        <v>2466</v>
      </c>
      <c r="C781" s="1" t="s">
        <v>2467</v>
      </c>
      <c r="D781" s="1" t="s">
        <v>642</v>
      </c>
      <c r="E781" s="1" t="s">
        <v>170</v>
      </c>
      <c r="F781" s="1" t="s">
        <v>47</v>
      </c>
      <c r="G781" s="1">
        <f t="shared" si="60"/>
        <v>1</v>
      </c>
      <c r="H781" s="1" t="s">
        <v>148</v>
      </c>
      <c r="I781" s="1" t="s">
        <v>49</v>
      </c>
      <c r="J781" s="23" t="s">
        <v>50</v>
      </c>
      <c r="K781" s="2" t="s">
        <v>51</v>
      </c>
      <c r="L781" s="1">
        <v>151</v>
      </c>
      <c r="M781" s="1"/>
      <c r="N781" s="1" t="str">
        <f t="shared" si="63"/>
        <v>Suppressed</v>
      </c>
      <c r="O781" s="1" t="str">
        <f t="shared" si="61"/>
        <v/>
      </c>
      <c r="P781" s="1">
        <v>64</v>
      </c>
      <c r="Q781" s="1">
        <v>1018</v>
      </c>
      <c r="R781" s="1" t="str">
        <f t="shared" si="64"/>
        <v>3</v>
      </c>
      <c r="S781" s="1">
        <v>77</v>
      </c>
      <c r="T781" s="1" t="str">
        <f t="shared" si="62"/>
        <v>2</v>
      </c>
      <c r="U781" s="1">
        <v>-33.814317000000003</v>
      </c>
      <c r="V781" s="3">
        <v>151.04470499999999</v>
      </c>
    </row>
    <row r="782" spans="1:22" x14ac:dyDescent="0.35">
      <c r="A782" s="22" t="s">
        <v>2468</v>
      </c>
      <c r="B782" s="1" t="s">
        <v>2469</v>
      </c>
      <c r="C782" s="1" t="s">
        <v>1155</v>
      </c>
      <c r="D782" s="1" t="s">
        <v>1155</v>
      </c>
      <c r="E782" s="1" t="s">
        <v>306</v>
      </c>
      <c r="F782" s="1" t="s">
        <v>47</v>
      </c>
      <c r="G782" s="1">
        <f t="shared" si="60"/>
        <v>1</v>
      </c>
      <c r="H782" s="1" t="s">
        <v>148</v>
      </c>
      <c r="I782" s="1" t="s">
        <v>49</v>
      </c>
      <c r="J782" s="23" t="s">
        <v>50</v>
      </c>
      <c r="K782" s="2" t="s">
        <v>51</v>
      </c>
      <c r="L782" s="1">
        <v>497</v>
      </c>
      <c r="M782" s="1">
        <v>1</v>
      </c>
      <c r="N782" s="1" t="str">
        <f t="shared" si="63"/>
        <v>Published</v>
      </c>
      <c r="O782" s="1">
        <f t="shared" si="61"/>
        <v>4.97</v>
      </c>
      <c r="P782" s="1">
        <v>82</v>
      </c>
      <c r="Q782" s="1">
        <v>1096</v>
      </c>
      <c r="R782" s="1" t="str">
        <f t="shared" si="64"/>
        <v>3</v>
      </c>
      <c r="S782" s="1">
        <v>33</v>
      </c>
      <c r="T782" s="1" t="str">
        <f t="shared" si="62"/>
        <v>3</v>
      </c>
      <c r="U782" s="1">
        <v>-33.812551999999997</v>
      </c>
      <c r="V782" s="3">
        <v>151.10801499999999</v>
      </c>
    </row>
    <row r="783" spans="1:22" x14ac:dyDescent="0.35">
      <c r="A783" s="22" t="s">
        <v>2470</v>
      </c>
      <c r="B783" s="1" t="s">
        <v>2471</v>
      </c>
      <c r="C783" s="1" t="s">
        <v>2472</v>
      </c>
      <c r="D783" s="1" t="s">
        <v>1155</v>
      </c>
      <c r="E783" s="1" t="s">
        <v>306</v>
      </c>
      <c r="F783" s="1" t="s">
        <v>47</v>
      </c>
      <c r="G783" s="1">
        <f t="shared" si="60"/>
        <v>1</v>
      </c>
      <c r="H783" s="1" t="s">
        <v>148</v>
      </c>
      <c r="I783" s="1" t="s">
        <v>49</v>
      </c>
      <c r="J783" s="23" t="s">
        <v>50</v>
      </c>
      <c r="K783" s="2" t="s">
        <v>51</v>
      </c>
      <c r="L783" s="1">
        <v>316</v>
      </c>
      <c r="M783" s="1"/>
      <c r="N783" s="1" t="str">
        <f t="shared" si="63"/>
        <v>Suppressed</v>
      </c>
      <c r="O783" s="1" t="str">
        <f t="shared" si="61"/>
        <v/>
      </c>
      <c r="P783" s="1">
        <v>69</v>
      </c>
      <c r="Q783" s="1">
        <v>1123</v>
      </c>
      <c r="R783" s="1" t="str">
        <f t="shared" si="64"/>
        <v>4</v>
      </c>
      <c r="S783" s="1">
        <v>19</v>
      </c>
      <c r="T783" s="1" t="str">
        <f t="shared" si="62"/>
        <v>3</v>
      </c>
      <c r="U783" s="1">
        <v>-33.794766000000003</v>
      </c>
      <c r="V783" s="3">
        <v>151.12004200000001</v>
      </c>
    </row>
    <row r="784" spans="1:22" x14ac:dyDescent="0.35">
      <c r="A784" s="22" t="s">
        <v>2473</v>
      </c>
      <c r="B784" s="1" t="s">
        <v>2474</v>
      </c>
      <c r="C784" s="1" t="s">
        <v>1154</v>
      </c>
      <c r="D784" s="1" t="s">
        <v>1155</v>
      </c>
      <c r="E784" s="1" t="s">
        <v>306</v>
      </c>
      <c r="F784" s="1" t="s">
        <v>47</v>
      </c>
      <c r="G784" s="1">
        <f t="shared" si="60"/>
        <v>1</v>
      </c>
      <c r="H784" s="1" t="s">
        <v>148</v>
      </c>
      <c r="I784" s="1" t="s">
        <v>49</v>
      </c>
      <c r="J784" s="23" t="s">
        <v>50</v>
      </c>
      <c r="K784" s="2" t="s">
        <v>51</v>
      </c>
      <c r="L784" s="1">
        <v>512</v>
      </c>
      <c r="M784" s="1"/>
      <c r="N784" s="1" t="str">
        <f t="shared" si="63"/>
        <v>Suppressed</v>
      </c>
      <c r="O784" s="1" t="str">
        <f t="shared" si="61"/>
        <v/>
      </c>
      <c r="P784" s="1">
        <v>83</v>
      </c>
      <c r="Q784" s="1">
        <v>1117</v>
      </c>
      <c r="R784" s="1" t="str">
        <f t="shared" si="64"/>
        <v>4</v>
      </c>
      <c r="S784" s="1">
        <v>21</v>
      </c>
      <c r="T784" s="1" t="str">
        <f t="shared" si="62"/>
        <v>3</v>
      </c>
      <c r="U784" s="1">
        <v>-33.808363</v>
      </c>
      <c r="V784" s="3">
        <v>151.08509699999999</v>
      </c>
    </row>
    <row r="785" spans="1:22" x14ac:dyDescent="0.35">
      <c r="A785" s="22" t="s">
        <v>2475</v>
      </c>
      <c r="B785" s="1" t="s">
        <v>2476</v>
      </c>
      <c r="C785" s="1" t="s">
        <v>2477</v>
      </c>
      <c r="D785" s="1" t="s">
        <v>1399</v>
      </c>
      <c r="E785" s="1" t="s">
        <v>261</v>
      </c>
      <c r="F785" s="1" t="s">
        <v>69</v>
      </c>
      <c r="G785" s="1">
        <f t="shared" si="60"/>
        <v>3</v>
      </c>
      <c r="H785" s="1" t="s">
        <v>58</v>
      </c>
      <c r="I785" s="1" t="s">
        <v>49</v>
      </c>
      <c r="J785" s="23" t="s">
        <v>50</v>
      </c>
      <c r="K785" s="2" t="s">
        <v>51</v>
      </c>
      <c r="L785" s="1">
        <v>99</v>
      </c>
      <c r="M785" s="1">
        <v>11</v>
      </c>
      <c r="N785" s="1" t="str">
        <f t="shared" si="63"/>
        <v>Published</v>
      </c>
      <c r="O785" s="1">
        <f t="shared" si="61"/>
        <v>10.89</v>
      </c>
      <c r="P785" s="1"/>
      <c r="Q785" s="1">
        <v>989</v>
      </c>
      <c r="R785" s="1" t="str">
        <f t="shared" si="64"/>
        <v>2</v>
      </c>
      <c r="S785" s="1">
        <v>86</v>
      </c>
      <c r="T785" s="1" t="str">
        <f t="shared" si="62"/>
        <v>1</v>
      </c>
      <c r="U785" s="1">
        <v>-32.795563999999999</v>
      </c>
      <c r="V785" s="3">
        <v>149.97287700000001</v>
      </c>
    </row>
    <row r="786" spans="1:22" x14ac:dyDescent="0.35">
      <c r="A786" s="22" t="s">
        <v>2478</v>
      </c>
      <c r="B786" s="1" t="s">
        <v>2479</v>
      </c>
      <c r="C786" s="1" t="s">
        <v>2480</v>
      </c>
      <c r="D786" s="1" t="s">
        <v>537</v>
      </c>
      <c r="E786" s="1" t="s">
        <v>181</v>
      </c>
      <c r="F786" s="1" t="s">
        <v>47</v>
      </c>
      <c r="G786" s="1">
        <f t="shared" si="60"/>
        <v>1</v>
      </c>
      <c r="H786" s="1" t="s">
        <v>182</v>
      </c>
      <c r="I786" s="1" t="s">
        <v>49</v>
      </c>
      <c r="J786" s="23" t="s">
        <v>50</v>
      </c>
      <c r="K786" s="2" t="s">
        <v>51</v>
      </c>
      <c r="L786" s="1">
        <v>673</v>
      </c>
      <c r="M786" s="1"/>
      <c r="N786" s="1" t="str">
        <f t="shared" si="63"/>
        <v>Suppressed</v>
      </c>
      <c r="O786" s="1" t="str">
        <f t="shared" si="61"/>
        <v/>
      </c>
      <c r="P786" s="1">
        <v>90</v>
      </c>
      <c r="Q786" s="1">
        <v>1023</v>
      </c>
      <c r="R786" s="1" t="str">
        <f t="shared" si="64"/>
        <v>3</v>
      </c>
      <c r="S786" s="1">
        <v>92</v>
      </c>
      <c r="T786" s="1" t="str">
        <f t="shared" si="62"/>
        <v>4</v>
      </c>
      <c r="U786" s="1">
        <v>-33.887203999999997</v>
      </c>
      <c r="V786" s="3">
        <v>150.89927800000001</v>
      </c>
    </row>
    <row r="787" spans="1:22" x14ac:dyDescent="0.35">
      <c r="A787" s="22" t="s">
        <v>2481</v>
      </c>
      <c r="B787" s="1" t="s">
        <v>2482</v>
      </c>
      <c r="C787" s="1" t="s">
        <v>2483</v>
      </c>
      <c r="D787" s="1" t="s">
        <v>1131</v>
      </c>
      <c r="E787" s="1" t="s">
        <v>429</v>
      </c>
      <c r="F787" s="1" t="s">
        <v>47</v>
      </c>
      <c r="G787" s="1">
        <f t="shared" si="60"/>
        <v>1</v>
      </c>
      <c r="H787" s="1" t="s">
        <v>148</v>
      </c>
      <c r="I787" s="1" t="s">
        <v>49</v>
      </c>
      <c r="J787" s="23" t="s">
        <v>50</v>
      </c>
      <c r="K787" s="2" t="s">
        <v>51</v>
      </c>
      <c r="L787" s="1">
        <v>258</v>
      </c>
      <c r="M787" s="1">
        <v>17</v>
      </c>
      <c r="N787" s="1" t="str">
        <f t="shared" si="63"/>
        <v>Published</v>
      </c>
      <c r="O787" s="1">
        <f t="shared" si="61"/>
        <v>43.860000000000007</v>
      </c>
      <c r="P787" s="1">
        <v>56</v>
      </c>
      <c r="Q787" s="1">
        <v>954</v>
      </c>
      <c r="R787" s="1" t="str">
        <f t="shared" si="64"/>
        <v>2</v>
      </c>
      <c r="S787" s="1">
        <v>109</v>
      </c>
      <c r="T787" s="1" t="str">
        <f t="shared" si="62"/>
        <v>2</v>
      </c>
      <c r="U787" s="1">
        <v>-33.768363999999998</v>
      </c>
      <c r="V787" s="3">
        <v>150.770634</v>
      </c>
    </row>
    <row r="788" spans="1:22" x14ac:dyDescent="0.35">
      <c r="A788" s="22" t="s">
        <v>2484</v>
      </c>
      <c r="B788" s="1" t="s">
        <v>2485</v>
      </c>
      <c r="C788" s="1" t="s">
        <v>2486</v>
      </c>
      <c r="D788" s="1" t="s">
        <v>115</v>
      </c>
      <c r="E788" s="1" t="s">
        <v>225</v>
      </c>
      <c r="F788" s="1" t="s">
        <v>47</v>
      </c>
      <c r="G788" s="1">
        <f t="shared" si="60"/>
        <v>1</v>
      </c>
      <c r="H788" s="1" t="s">
        <v>48</v>
      </c>
      <c r="I788" s="1" t="s">
        <v>49</v>
      </c>
      <c r="J788" s="23" t="s">
        <v>50</v>
      </c>
      <c r="K788" s="2" t="s">
        <v>51</v>
      </c>
      <c r="L788" s="1">
        <v>154</v>
      </c>
      <c r="M788" s="1">
        <v>5</v>
      </c>
      <c r="N788" s="1" t="str">
        <f t="shared" si="63"/>
        <v>Published</v>
      </c>
      <c r="O788" s="1">
        <f t="shared" si="61"/>
        <v>7.7</v>
      </c>
      <c r="P788" s="1">
        <v>30</v>
      </c>
      <c r="Q788" s="1">
        <v>1099</v>
      </c>
      <c r="R788" s="1" t="str">
        <f t="shared" si="64"/>
        <v>3</v>
      </c>
      <c r="S788" s="1">
        <v>32</v>
      </c>
      <c r="T788" s="1" t="str">
        <f t="shared" si="62"/>
        <v>2</v>
      </c>
      <c r="U788" s="1">
        <v>-33.912993</v>
      </c>
      <c r="V788" s="3">
        <v>151.17669599999999</v>
      </c>
    </row>
    <row r="789" spans="1:22" x14ac:dyDescent="0.35">
      <c r="A789" s="22" t="s">
        <v>2487</v>
      </c>
      <c r="B789" s="1" t="s">
        <v>2488</v>
      </c>
      <c r="C789" s="1" t="s">
        <v>2489</v>
      </c>
      <c r="D789" s="1" t="s">
        <v>111</v>
      </c>
      <c r="E789" s="1" t="s">
        <v>56</v>
      </c>
      <c r="F789" s="1" t="s">
        <v>57</v>
      </c>
      <c r="G789" s="1">
        <f t="shared" si="60"/>
        <v>2</v>
      </c>
      <c r="H789" s="1" t="s">
        <v>63</v>
      </c>
      <c r="I789" s="1" t="s">
        <v>49</v>
      </c>
      <c r="J789" s="23" t="s">
        <v>50</v>
      </c>
      <c r="K789" s="2" t="s">
        <v>51</v>
      </c>
      <c r="L789" s="1">
        <v>142</v>
      </c>
      <c r="M789" s="1">
        <v>32</v>
      </c>
      <c r="N789" s="1" t="str">
        <f t="shared" si="63"/>
        <v>Published</v>
      </c>
      <c r="O789" s="1">
        <f t="shared" si="61"/>
        <v>45.44</v>
      </c>
      <c r="P789" s="1"/>
      <c r="Q789" s="1">
        <v>904</v>
      </c>
      <c r="R789" s="1" t="str">
        <f t="shared" si="64"/>
        <v>2</v>
      </c>
      <c r="S789" s="1">
        <v>136</v>
      </c>
      <c r="T789" s="1" t="str">
        <f t="shared" si="62"/>
        <v>2</v>
      </c>
      <c r="U789" s="1">
        <v>-32.787841</v>
      </c>
      <c r="V789" s="3">
        <v>151.90384800000001</v>
      </c>
    </row>
    <row r="790" spans="1:22" x14ac:dyDescent="0.35">
      <c r="A790" s="22" t="s">
        <v>2490</v>
      </c>
      <c r="B790" s="1" t="s">
        <v>2491</v>
      </c>
      <c r="C790" s="1" t="s">
        <v>2492</v>
      </c>
      <c r="D790" s="1" t="s">
        <v>386</v>
      </c>
      <c r="E790" s="1" t="s">
        <v>229</v>
      </c>
      <c r="F790" s="1" t="s">
        <v>47</v>
      </c>
      <c r="G790" s="1">
        <f t="shared" si="60"/>
        <v>1</v>
      </c>
      <c r="H790" s="1" t="s">
        <v>48</v>
      </c>
      <c r="I790" s="1" t="s">
        <v>49</v>
      </c>
      <c r="J790" s="23" t="s">
        <v>50</v>
      </c>
      <c r="K790" s="2" t="s">
        <v>51</v>
      </c>
      <c r="L790" s="1">
        <v>523</v>
      </c>
      <c r="M790" s="1">
        <v>2</v>
      </c>
      <c r="N790" s="1" t="str">
        <f t="shared" si="63"/>
        <v>Published</v>
      </c>
      <c r="O790" s="1">
        <f t="shared" si="61"/>
        <v>10.46</v>
      </c>
      <c r="P790" s="1">
        <v>71</v>
      </c>
      <c r="Q790" s="1">
        <v>1060</v>
      </c>
      <c r="R790" s="1" t="str">
        <f t="shared" si="64"/>
        <v>3</v>
      </c>
      <c r="S790" s="1">
        <v>60</v>
      </c>
      <c r="T790" s="1" t="str">
        <f t="shared" si="62"/>
        <v>3</v>
      </c>
      <c r="U790" s="1">
        <v>-33.994990000000001</v>
      </c>
      <c r="V790" s="3">
        <v>151.12923000000001</v>
      </c>
    </row>
    <row r="791" spans="1:22" x14ac:dyDescent="0.35">
      <c r="A791" s="22" t="s">
        <v>2493</v>
      </c>
      <c r="B791" s="1" t="s">
        <v>2494</v>
      </c>
      <c r="C791" s="1" t="s">
        <v>2495</v>
      </c>
      <c r="D791" s="1" t="s">
        <v>465</v>
      </c>
      <c r="E791" s="1" t="s">
        <v>281</v>
      </c>
      <c r="F791" s="1" t="s">
        <v>57</v>
      </c>
      <c r="G791" s="1">
        <f t="shared" si="60"/>
        <v>2</v>
      </c>
      <c r="H791" s="1" t="s">
        <v>58</v>
      </c>
      <c r="I791" s="1" t="s">
        <v>49</v>
      </c>
      <c r="J791" s="23" t="s">
        <v>50</v>
      </c>
      <c r="K791" s="2" t="s">
        <v>51</v>
      </c>
      <c r="L791" s="1">
        <v>293</v>
      </c>
      <c r="M791" s="1">
        <v>16</v>
      </c>
      <c r="N791" s="1" t="str">
        <f t="shared" si="63"/>
        <v>Published</v>
      </c>
      <c r="O791" s="1">
        <f t="shared" si="61"/>
        <v>46.88</v>
      </c>
      <c r="P791" s="1">
        <v>11</v>
      </c>
      <c r="Q791" s="1">
        <v>1003</v>
      </c>
      <c r="R791" s="1" t="str">
        <f t="shared" si="64"/>
        <v>3</v>
      </c>
      <c r="S791" s="1">
        <v>85</v>
      </c>
      <c r="T791" s="1" t="str">
        <f t="shared" si="62"/>
        <v>2</v>
      </c>
      <c r="U791" s="1">
        <v>-30.363316000000001</v>
      </c>
      <c r="V791" s="3">
        <v>153.09764000000001</v>
      </c>
    </row>
    <row r="792" spans="1:22" x14ac:dyDescent="0.35">
      <c r="A792" s="22" t="s">
        <v>2496</v>
      </c>
      <c r="B792" s="1" t="s">
        <v>2497</v>
      </c>
      <c r="C792" s="1" t="s">
        <v>2498</v>
      </c>
      <c r="D792" s="1" t="s">
        <v>176</v>
      </c>
      <c r="E792" s="1" t="s">
        <v>85</v>
      </c>
      <c r="F792" s="1" t="s">
        <v>47</v>
      </c>
      <c r="G792" s="1">
        <f t="shared" si="60"/>
        <v>1</v>
      </c>
      <c r="H792" s="1" t="s">
        <v>86</v>
      </c>
      <c r="I792" s="1" t="s">
        <v>49</v>
      </c>
      <c r="J792" s="23" t="s">
        <v>50</v>
      </c>
      <c r="K792" s="2" t="s">
        <v>51</v>
      </c>
      <c r="L792" s="1">
        <v>54</v>
      </c>
      <c r="M792" s="1"/>
      <c r="N792" s="1" t="str">
        <f t="shared" si="63"/>
        <v>Suppressed</v>
      </c>
      <c r="O792" s="1" t="str">
        <f t="shared" si="61"/>
        <v/>
      </c>
      <c r="P792" s="1">
        <v>11</v>
      </c>
      <c r="Q792" s="1">
        <v>1080</v>
      </c>
      <c r="R792" s="1" t="str">
        <f t="shared" si="64"/>
        <v>3</v>
      </c>
      <c r="S792" s="1">
        <v>59</v>
      </c>
      <c r="T792" s="1" t="str">
        <f t="shared" si="62"/>
        <v>1</v>
      </c>
      <c r="U792" s="1">
        <v>-34.266182000000001</v>
      </c>
      <c r="V792" s="3">
        <v>150.966036</v>
      </c>
    </row>
    <row r="793" spans="1:22" x14ac:dyDescent="0.35">
      <c r="A793" s="22" t="s">
        <v>2499</v>
      </c>
      <c r="B793" s="1" t="s">
        <v>2500</v>
      </c>
      <c r="C793" s="1" t="s">
        <v>2501</v>
      </c>
      <c r="D793" s="1" t="s">
        <v>837</v>
      </c>
      <c r="E793" s="1" t="s">
        <v>838</v>
      </c>
      <c r="F793" s="1" t="s">
        <v>47</v>
      </c>
      <c r="G793" s="1">
        <f t="shared" si="60"/>
        <v>1</v>
      </c>
      <c r="H793" s="1" t="s">
        <v>148</v>
      </c>
      <c r="I793" s="1" t="s">
        <v>49</v>
      </c>
      <c r="J793" s="23" t="s">
        <v>50</v>
      </c>
      <c r="K793" s="2" t="s">
        <v>51</v>
      </c>
      <c r="L793" s="1">
        <v>1119</v>
      </c>
      <c r="M793" s="1">
        <v>2</v>
      </c>
      <c r="N793" s="1" t="str">
        <f t="shared" si="63"/>
        <v>Published</v>
      </c>
      <c r="O793" s="1">
        <f t="shared" si="61"/>
        <v>22.38</v>
      </c>
      <c r="P793" s="1">
        <v>78</v>
      </c>
      <c r="Q793" s="1">
        <v>1086</v>
      </c>
      <c r="R793" s="1" t="str">
        <f t="shared" si="64"/>
        <v>3</v>
      </c>
      <c r="S793" s="1">
        <v>29</v>
      </c>
      <c r="T793" s="1" t="str">
        <f t="shared" si="62"/>
        <v>5</v>
      </c>
      <c r="U793" s="1">
        <v>-33.693114999999999</v>
      </c>
      <c r="V793" s="3">
        <v>150.875247</v>
      </c>
    </row>
    <row r="794" spans="1:22" x14ac:dyDescent="0.35">
      <c r="A794" s="22" t="s">
        <v>2502</v>
      </c>
      <c r="B794" s="1" t="s">
        <v>2503</v>
      </c>
      <c r="C794" s="1" t="s">
        <v>2504</v>
      </c>
      <c r="D794" s="1" t="s">
        <v>111</v>
      </c>
      <c r="E794" s="1" t="s">
        <v>56</v>
      </c>
      <c r="F794" s="1" t="s">
        <v>57</v>
      </c>
      <c r="G794" s="1">
        <f t="shared" si="60"/>
        <v>2</v>
      </c>
      <c r="H794" s="1" t="s">
        <v>63</v>
      </c>
      <c r="I794" s="1" t="s">
        <v>49</v>
      </c>
      <c r="J794" s="23" t="s">
        <v>50</v>
      </c>
      <c r="K794" s="2" t="s">
        <v>51</v>
      </c>
      <c r="L794" s="1">
        <v>156</v>
      </c>
      <c r="M794" s="1">
        <v>13</v>
      </c>
      <c r="N794" s="1" t="str">
        <f t="shared" si="63"/>
        <v>Published</v>
      </c>
      <c r="O794" s="1">
        <f t="shared" si="61"/>
        <v>20.28</v>
      </c>
      <c r="P794" s="1">
        <v>4</v>
      </c>
      <c r="Q794" s="1">
        <v>990</v>
      </c>
      <c r="R794" s="1" t="str">
        <f t="shared" si="64"/>
        <v>2</v>
      </c>
      <c r="S794" s="1">
        <v>95</v>
      </c>
      <c r="T794" s="1" t="str">
        <f t="shared" si="62"/>
        <v>2</v>
      </c>
      <c r="U794" s="1">
        <v>-32.662095000000001</v>
      </c>
      <c r="V794" s="3">
        <v>151.72936200000001</v>
      </c>
    </row>
    <row r="795" spans="1:22" x14ac:dyDescent="0.35">
      <c r="A795" s="22" t="s">
        <v>2505</v>
      </c>
      <c r="B795" s="1" t="s">
        <v>2506</v>
      </c>
      <c r="C795" s="1" t="s">
        <v>1897</v>
      </c>
      <c r="D795" s="1" t="s">
        <v>837</v>
      </c>
      <c r="E795" s="1" t="s">
        <v>838</v>
      </c>
      <c r="F795" s="1" t="s">
        <v>47</v>
      </c>
      <c r="G795" s="1">
        <f t="shared" si="60"/>
        <v>1</v>
      </c>
      <c r="H795" s="1" t="s">
        <v>182</v>
      </c>
      <c r="I795" s="1" t="s">
        <v>49</v>
      </c>
      <c r="J795" s="23" t="s">
        <v>50</v>
      </c>
      <c r="K795" s="2" t="s">
        <v>51</v>
      </c>
      <c r="L795" s="1">
        <v>246</v>
      </c>
      <c r="M795" s="1">
        <v>7</v>
      </c>
      <c r="N795" s="1" t="str">
        <f t="shared" si="63"/>
        <v>Published</v>
      </c>
      <c r="O795" s="1">
        <f t="shared" si="61"/>
        <v>17.220000000000002</v>
      </c>
      <c r="P795" s="1">
        <v>46</v>
      </c>
      <c r="Q795" s="1">
        <v>1066</v>
      </c>
      <c r="R795" s="1" t="str">
        <f t="shared" si="64"/>
        <v>3</v>
      </c>
      <c r="S795" s="1">
        <v>48</v>
      </c>
      <c r="T795" s="1" t="str">
        <f t="shared" si="62"/>
        <v>2</v>
      </c>
      <c r="U795" s="1">
        <v>-33.759976000000002</v>
      </c>
      <c r="V795" s="3">
        <v>150.95504099999999</v>
      </c>
    </row>
    <row r="796" spans="1:22" x14ac:dyDescent="0.35">
      <c r="A796" s="22" t="s">
        <v>2507</v>
      </c>
      <c r="B796" s="1" t="s">
        <v>2508</v>
      </c>
      <c r="C796" s="1" t="s">
        <v>84</v>
      </c>
      <c r="D796" s="1" t="s">
        <v>84</v>
      </c>
      <c r="E796" s="1" t="s">
        <v>85</v>
      </c>
      <c r="F796" s="1" t="s">
        <v>47</v>
      </c>
      <c r="G796" s="1">
        <f t="shared" si="60"/>
        <v>1</v>
      </c>
      <c r="H796" s="1" t="s">
        <v>86</v>
      </c>
      <c r="I796" s="1" t="s">
        <v>49</v>
      </c>
      <c r="J796" s="23" t="s">
        <v>50</v>
      </c>
      <c r="K796" s="2" t="s">
        <v>51</v>
      </c>
      <c r="L796" s="1">
        <v>368</v>
      </c>
      <c r="M796" s="1">
        <v>10</v>
      </c>
      <c r="N796" s="1" t="str">
        <f t="shared" si="63"/>
        <v>Published</v>
      </c>
      <c r="O796" s="1">
        <f t="shared" si="61"/>
        <v>36.800000000000004</v>
      </c>
      <c r="P796" s="1">
        <v>6</v>
      </c>
      <c r="Q796" s="1">
        <v>999</v>
      </c>
      <c r="R796" s="1" t="str">
        <f t="shared" si="64"/>
        <v>2</v>
      </c>
      <c r="S796" s="1">
        <v>92</v>
      </c>
      <c r="T796" s="1" t="str">
        <f t="shared" si="62"/>
        <v>3</v>
      </c>
      <c r="U796" s="1">
        <v>-34.578968000000003</v>
      </c>
      <c r="V796" s="3">
        <v>150.86510899999999</v>
      </c>
    </row>
    <row r="797" spans="1:22" x14ac:dyDescent="0.35">
      <c r="A797" s="22" t="s">
        <v>2509</v>
      </c>
      <c r="B797" s="1" t="s">
        <v>2510</v>
      </c>
      <c r="C797" s="1" t="s">
        <v>2511</v>
      </c>
      <c r="D797" s="1" t="s">
        <v>74</v>
      </c>
      <c r="E797" s="1" t="s">
        <v>75</v>
      </c>
      <c r="F797" s="1" t="s">
        <v>47</v>
      </c>
      <c r="G797" s="1">
        <f t="shared" si="60"/>
        <v>1</v>
      </c>
      <c r="H797" s="1" t="s">
        <v>63</v>
      </c>
      <c r="I797" s="1" t="s">
        <v>49</v>
      </c>
      <c r="J797" s="23" t="s">
        <v>50</v>
      </c>
      <c r="K797" s="2" t="s">
        <v>51</v>
      </c>
      <c r="L797" s="1">
        <v>271</v>
      </c>
      <c r="M797" s="1">
        <v>28</v>
      </c>
      <c r="N797" s="1" t="str">
        <f t="shared" si="63"/>
        <v>Published</v>
      </c>
      <c r="O797" s="1">
        <f t="shared" si="61"/>
        <v>75.88000000000001</v>
      </c>
      <c r="P797" s="1">
        <v>20</v>
      </c>
      <c r="Q797" s="1">
        <v>926</v>
      </c>
      <c r="R797" s="1" t="str">
        <f t="shared" si="64"/>
        <v>2</v>
      </c>
      <c r="S797" s="1">
        <v>124</v>
      </c>
      <c r="T797" s="1" t="str">
        <f t="shared" si="62"/>
        <v>2</v>
      </c>
      <c r="U797" s="1">
        <v>-32.881435000000003</v>
      </c>
      <c r="V797" s="3">
        <v>151.695063</v>
      </c>
    </row>
    <row r="798" spans="1:22" x14ac:dyDescent="0.35">
      <c r="A798" s="22" t="s">
        <v>2512</v>
      </c>
      <c r="B798" s="1" t="s">
        <v>2513</v>
      </c>
      <c r="C798" s="1" t="s">
        <v>2035</v>
      </c>
      <c r="D798" s="1" t="s">
        <v>595</v>
      </c>
      <c r="E798" s="1" t="s">
        <v>56</v>
      </c>
      <c r="F798" s="1" t="s">
        <v>57</v>
      </c>
      <c r="G798" s="1">
        <f t="shared" si="60"/>
        <v>2</v>
      </c>
      <c r="H798" s="1" t="s">
        <v>58</v>
      </c>
      <c r="I798" s="1" t="s">
        <v>49</v>
      </c>
      <c r="J798" s="23" t="s">
        <v>50</v>
      </c>
      <c r="K798" s="2" t="s">
        <v>51</v>
      </c>
      <c r="L798" s="1">
        <v>353</v>
      </c>
      <c r="M798" s="1">
        <v>22</v>
      </c>
      <c r="N798" s="1" t="str">
        <f t="shared" si="63"/>
        <v>Published</v>
      </c>
      <c r="O798" s="1">
        <f t="shared" si="61"/>
        <v>77.66</v>
      </c>
      <c r="P798" s="1">
        <v>5</v>
      </c>
      <c r="Q798" s="1">
        <v>950</v>
      </c>
      <c r="R798" s="1" t="str">
        <f t="shared" si="64"/>
        <v>2</v>
      </c>
      <c r="S798" s="1">
        <v>109</v>
      </c>
      <c r="T798" s="1" t="str">
        <f t="shared" si="62"/>
        <v>3</v>
      </c>
      <c r="U798" s="1">
        <v>-32.563135000000003</v>
      </c>
      <c r="V798" s="3">
        <v>151.171752</v>
      </c>
    </row>
    <row r="799" spans="1:22" x14ac:dyDescent="0.35">
      <c r="A799" s="22" t="s">
        <v>2514</v>
      </c>
      <c r="B799" s="1" t="s">
        <v>2515</v>
      </c>
      <c r="C799" s="1" t="s">
        <v>2516</v>
      </c>
      <c r="D799" s="1" t="s">
        <v>537</v>
      </c>
      <c r="E799" s="1" t="s">
        <v>181</v>
      </c>
      <c r="F799" s="1" t="s">
        <v>47</v>
      </c>
      <c r="G799" s="1">
        <f t="shared" si="60"/>
        <v>1</v>
      </c>
      <c r="H799" s="1" t="s">
        <v>182</v>
      </c>
      <c r="I799" s="1" t="s">
        <v>49</v>
      </c>
      <c r="J799" s="23" t="s">
        <v>50</v>
      </c>
      <c r="K799" s="2" t="s">
        <v>51</v>
      </c>
      <c r="L799" s="1">
        <v>517</v>
      </c>
      <c r="M799" s="1">
        <v>6</v>
      </c>
      <c r="N799" s="1" t="str">
        <f t="shared" si="63"/>
        <v>Published</v>
      </c>
      <c r="O799" s="1">
        <f t="shared" si="61"/>
        <v>31.02</v>
      </c>
      <c r="P799" s="1">
        <v>81</v>
      </c>
      <c r="Q799" s="1">
        <v>948</v>
      </c>
      <c r="R799" s="1" t="str">
        <f t="shared" si="64"/>
        <v>2</v>
      </c>
      <c r="S799" s="1">
        <v>143</v>
      </c>
      <c r="T799" s="1" t="str">
        <f t="shared" si="62"/>
        <v>3</v>
      </c>
      <c r="U799" s="1">
        <v>-33.853583</v>
      </c>
      <c r="V799" s="3">
        <v>150.93349499999999</v>
      </c>
    </row>
    <row r="800" spans="1:22" x14ac:dyDescent="0.35">
      <c r="A800" s="22" t="s">
        <v>2517</v>
      </c>
      <c r="B800" s="1" t="s">
        <v>2518</v>
      </c>
      <c r="C800" s="1" t="s">
        <v>2519</v>
      </c>
      <c r="D800" s="1" t="s">
        <v>325</v>
      </c>
      <c r="E800" s="1" t="s">
        <v>276</v>
      </c>
      <c r="F800" s="1" t="s">
        <v>57</v>
      </c>
      <c r="G800" s="1">
        <f t="shared" si="60"/>
        <v>2</v>
      </c>
      <c r="H800" s="1" t="s">
        <v>58</v>
      </c>
      <c r="I800" s="1" t="s">
        <v>49</v>
      </c>
      <c r="J800" s="23" t="s">
        <v>50</v>
      </c>
      <c r="K800" s="2" t="s">
        <v>51</v>
      </c>
      <c r="L800" s="1">
        <v>54</v>
      </c>
      <c r="M800" s="1">
        <v>35</v>
      </c>
      <c r="N800" s="1" t="str">
        <f t="shared" si="63"/>
        <v>Published</v>
      </c>
      <c r="O800" s="1">
        <f t="shared" si="61"/>
        <v>18.899999999999999</v>
      </c>
      <c r="P800" s="1"/>
      <c r="Q800" s="1">
        <v>885</v>
      </c>
      <c r="R800" s="1" t="str">
        <f t="shared" si="64"/>
        <v>1</v>
      </c>
      <c r="S800" s="1">
        <v>128</v>
      </c>
      <c r="T800" s="1" t="str">
        <f t="shared" si="62"/>
        <v>1</v>
      </c>
      <c r="U800" s="1">
        <v>-31.018187999999999</v>
      </c>
      <c r="V800" s="3">
        <v>152.94136499999999</v>
      </c>
    </row>
    <row r="801" spans="1:22" x14ac:dyDescent="0.35">
      <c r="A801" s="22" t="s">
        <v>2520</v>
      </c>
      <c r="B801" s="1" t="s">
        <v>2521</v>
      </c>
      <c r="C801" s="1" t="s">
        <v>2522</v>
      </c>
      <c r="D801" s="1" t="s">
        <v>291</v>
      </c>
      <c r="E801" s="1" t="s">
        <v>261</v>
      </c>
      <c r="F801" s="1" t="s">
        <v>57</v>
      </c>
      <c r="G801" s="1">
        <f t="shared" si="60"/>
        <v>2</v>
      </c>
      <c r="H801" s="1" t="s">
        <v>58</v>
      </c>
      <c r="I801" s="1" t="s">
        <v>49</v>
      </c>
      <c r="J801" s="23" t="s">
        <v>50</v>
      </c>
      <c r="K801" s="2" t="s">
        <v>51</v>
      </c>
      <c r="L801" s="1">
        <v>8</v>
      </c>
      <c r="M801" s="1"/>
      <c r="N801" s="1" t="str">
        <f t="shared" si="63"/>
        <v>Suppressed</v>
      </c>
      <c r="O801" s="1" t="str">
        <f t="shared" si="61"/>
        <v/>
      </c>
      <c r="P801" s="1">
        <v>0</v>
      </c>
      <c r="Q801" s="1">
        <v>946</v>
      </c>
      <c r="R801" s="1" t="str">
        <f t="shared" si="64"/>
        <v>2</v>
      </c>
      <c r="S801" s="1">
        <v>140</v>
      </c>
      <c r="T801" s="1" t="str">
        <f t="shared" si="62"/>
        <v>1</v>
      </c>
      <c r="U801" s="1">
        <v>-33.082242000000001</v>
      </c>
      <c r="V801" s="3">
        <v>149.69517200000001</v>
      </c>
    </row>
    <row r="802" spans="1:22" x14ac:dyDescent="0.35">
      <c r="A802" s="22" t="s">
        <v>2523</v>
      </c>
      <c r="B802" s="1" t="s">
        <v>2524</v>
      </c>
      <c r="C802" s="1" t="s">
        <v>2525</v>
      </c>
      <c r="D802" s="1" t="s">
        <v>186</v>
      </c>
      <c r="E802" s="1" t="s">
        <v>187</v>
      </c>
      <c r="F802" s="1" t="s">
        <v>57</v>
      </c>
      <c r="G802" s="1">
        <f t="shared" si="60"/>
        <v>2</v>
      </c>
      <c r="H802" s="1" t="s">
        <v>63</v>
      </c>
      <c r="I802" s="1" t="s">
        <v>49</v>
      </c>
      <c r="J802" s="23" t="s">
        <v>50</v>
      </c>
      <c r="K802" s="2" t="s">
        <v>51</v>
      </c>
      <c r="L802" s="1">
        <v>56</v>
      </c>
      <c r="M802" s="1">
        <v>18</v>
      </c>
      <c r="N802" s="1" t="str">
        <f t="shared" si="63"/>
        <v>Published</v>
      </c>
      <c r="O802" s="1">
        <f t="shared" si="61"/>
        <v>10.08</v>
      </c>
      <c r="P802" s="1">
        <v>18</v>
      </c>
      <c r="Q802" s="1">
        <v>1034</v>
      </c>
      <c r="R802" s="1" t="str">
        <f t="shared" si="64"/>
        <v>3</v>
      </c>
      <c r="S802" s="1">
        <v>62</v>
      </c>
      <c r="T802" s="1" t="str">
        <f t="shared" si="62"/>
        <v>1</v>
      </c>
      <c r="U802" s="1">
        <v>-33.358367999999999</v>
      </c>
      <c r="V802" s="3">
        <v>151.291312</v>
      </c>
    </row>
    <row r="803" spans="1:22" x14ac:dyDescent="0.35">
      <c r="A803" s="22" t="s">
        <v>2526</v>
      </c>
      <c r="B803" s="1" t="s">
        <v>2527</v>
      </c>
      <c r="C803" s="1" t="s">
        <v>2528</v>
      </c>
      <c r="D803" s="1" t="s">
        <v>90</v>
      </c>
      <c r="E803" s="1" t="s">
        <v>91</v>
      </c>
      <c r="F803" s="1" t="s">
        <v>69</v>
      </c>
      <c r="G803" s="1">
        <f t="shared" si="60"/>
        <v>3</v>
      </c>
      <c r="H803" s="1" t="s">
        <v>92</v>
      </c>
      <c r="I803" s="1" t="s">
        <v>49</v>
      </c>
      <c r="J803" s="23" t="s">
        <v>50</v>
      </c>
      <c r="K803" s="2" t="s">
        <v>51</v>
      </c>
      <c r="L803" s="1">
        <v>17</v>
      </c>
      <c r="M803" s="1">
        <v>47</v>
      </c>
      <c r="N803" s="1" t="str">
        <f t="shared" si="63"/>
        <v>Published</v>
      </c>
      <c r="O803" s="1">
        <f t="shared" si="61"/>
        <v>7.9899999999999993</v>
      </c>
      <c r="P803" s="1"/>
      <c r="Q803" s="1">
        <v>895</v>
      </c>
      <c r="R803" s="1" t="str">
        <f t="shared" si="64"/>
        <v>1</v>
      </c>
      <c r="S803" s="1">
        <v>128</v>
      </c>
      <c r="T803" s="1" t="str">
        <f t="shared" si="62"/>
        <v>1</v>
      </c>
      <c r="U803" s="1">
        <v>-30.938431999999999</v>
      </c>
      <c r="V803" s="3">
        <v>150.64155600000001</v>
      </c>
    </row>
    <row r="804" spans="1:22" x14ac:dyDescent="0.35">
      <c r="A804" s="22" t="s">
        <v>2529</v>
      </c>
      <c r="B804" s="1" t="s">
        <v>2530</v>
      </c>
      <c r="C804" s="1" t="s">
        <v>2531</v>
      </c>
      <c r="D804" s="1" t="s">
        <v>325</v>
      </c>
      <c r="E804" s="1" t="s">
        <v>276</v>
      </c>
      <c r="F804" s="1" t="s">
        <v>57</v>
      </c>
      <c r="G804" s="1">
        <f t="shared" si="60"/>
        <v>2</v>
      </c>
      <c r="H804" s="1" t="s">
        <v>58</v>
      </c>
      <c r="I804" s="1" t="s">
        <v>49</v>
      </c>
      <c r="J804" s="23" t="s">
        <v>50</v>
      </c>
      <c r="K804" s="2" t="s">
        <v>51</v>
      </c>
      <c r="L804" s="1">
        <v>348</v>
      </c>
      <c r="M804" s="1">
        <v>23</v>
      </c>
      <c r="N804" s="1" t="str">
        <f t="shared" si="63"/>
        <v>Published</v>
      </c>
      <c r="O804" s="1">
        <f t="shared" si="61"/>
        <v>80.040000000000006</v>
      </c>
      <c r="P804" s="1">
        <v>10</v>
      </c>
      <c r="Q804" s="1">
        <v>952</v>
      </c>
      <c r="R804" s="1" t="str">
        <f t="shared" si="64"/>
        <v>2</v>
      </c>
      <c r="S804" s="1">
        <v>100</v>
      </c>
      <c r="T804" s="1" t="str">
        <f t="shared" si="62"/>
        <v>3</v>
      </c>
      <c r="U804" s="1">
        <v>-30.891501999999999</v>
      </c>
      <c r="V804" s="3">
        <v>153.03987900000001</v>
      </c>
    </row>
    <row r="805" spans="1:22" x14ac:dyDescent="0.35">
      <c r="A805" s="22" t="s">
        <v>2532</v>
      </c>
      <c r="B805" s="1" t="s">
        <v>2533</v>
      </c>
      <c r="C805" s="1" t="s">
        <v>2534</v>
      </c>
      <c r="D805" s="1" t="s">
        <v>703</v>
      </c>
      <c r="E805" s="1" t="s">
        <v>261</v>
      </c>
      <c r="F805" s="1" t="s">
        <v>57</v>
      </c>
      <c r="G805" s="1">
        <f t="shared" si="60"/>
        <v>2</v>
      </c>
      <c r="H805" s="1" t="s">
        <v>70</v>
      </c>
      <c r="I805" s="1" t="s">
        <v>49</v>
      </c>
      <c r="J805" s="23" t="s">
        <v>50</v>
      </c>
      <c r="K805" s="2" t="s">
        <v>51</v>
      </c>
      <c r="L805" s="1">
        <v>57</v>
      </c>
      <c r="M805" s="1">
        <v>26</v>
      </c>
      <c r="N805" s="1" t="str">
        <f t="shared" si="63"/>
        <v>Published</v>
      </c>
      <c r="O805" s="1">
        <f t="shared" si="61"/>
        <v>14.82</v>
      </c>
      <c r="P805" s="1"/>
      <c r="Q805" s="1">
        <v>969</v>
      </c>
      <c r="R805" s="1" t="str">
        <f t="shared" si="64"/>
        <v>2</v>
      </c>
      <c r="S805" s="1">
        <v>85</v>
      </c>
      <c r="T805" s="1" t="str">
        <f t="shared" si="62"/>
        <v>1</v>
      </c>
      <c r="U805" s="1">
        <v>-33.399574000000001</v>
      </c>
      <c r="V805" s="3">
        <v>149.15129400000001</v>
      </c>
    </row>
    <row r="806" spans="1:22" x14ac:dyDescent="0.35">
      <c r="A806" s="22" t="s">
        <v>2535</v>
      </c>
      <c r="B806" s="1" t="s">
        <v>2536</v>
      </c>
      <c r="C806" s="1" t="s">
        <v>2537</v>
      </c>
      <c r="D806" s="1" t="s">
        <v>439</v>
      </c>
      <c r="E806" s="1" t="s">
        <v>91</v>
      </c>
      <c r="F806" s="1" t="s">
        <v>69</v>
      </c>
      <c r="G806" s="1">
        <f t="shared" si="60"/>
        <v>3</v>
      </c>
      <c r="H806" s="1" t="s">
        <v>92</v>
      </c>
      <c r="I806" s="1" t="s">
        <v>49</v>
      </c>
      <c r="J806" s="23" t="s">
        <v>50</v>
      </c>
      <c r="K806" s="2" t="s">
        <v>51</v>
      </c>
      <c r="L806" s="1">
        <v>25</v>
      </c>
      <c r="M806" s="1">
        <v>0</v>
      </c>
      <c r="N806" s="1" t="str">
        <f t="shared" si="63"/>
        <v>Published</v>
      </c>
      <c r="O806" s="1">
        <f t="shared" si="61"/>
        <v>0</v>
      </c>
      <c r="P806" s="1">
        <v>0</v>
      </c>
      <c r="Q806" s="1">
        <v>1004</v>
      </c>
      <c r="R806" s="1" t="str">
        <f t="shared" si="64"/>
        <v>3</v>
      </c>
      <c r="S806" s="1">
        <v>76</v>
      </c>
      <c r="T806" s="1" t="str">
        <f t="shared" si="62"/>
        <v>1</v>
      </c>
      <c r="U806" s="1">
        <v>-31.392399000000001</v>
      </c>
      <c r="V806" s="3">
        <v>150.254649</v>
      </c>
    </row>
    <row r="807" spans="1:22" x14ac:dyDescent="0.35">
      <c r="A807" s="22" t="s">
        <v>2538</v>
      </c>
      <c r="B807" s="1" t="s">
        <v>2539</v>
      </c>
      <c r="C807" s="1" t="s">
        <v>2540</v>
      </c>
      <c r="D807" s="1" t="s">
        <v>730</v>
      </c>
      <c r="E807" s="1" t="s">
        <v>261</v>
      </c>
      <c r="F807" s="1" t="s">
        <v>57</v>
      </c>
      <c r="G807" s="1">
        <f t="shared" si="60"/>
        <v>2</v>
      </c>
      <c r="H807" s="1" t="s">
        <v>70</v>
      </c>
      <c r="I807" s="1" t="s">
        <v>49</v>
      </c>
      <c r="J807" s="23" t="s">
        <v>50</v>
      </c>
      <c r="K807" s="2" t="s">
        <v>51</v>
      </c>
      <c r="L807" s="1">
        <v>40</v>
      </c>
      <c r="M807" s="1"/>
      <c r="N807" s="1" t="str">
        <f t="shared" si="63"/>
        <v>Suppressed</v>
      </c>
      <c r="O807" s="1" t="str">
        <f t="shared" si="61"/>
        <v/>
      </c>
      <c r="P807" s="1">
        <v>0</v>
      </c>
      <c r="Q807" s="1">
        <v>927</v>
      </c>
      <c r="R807" s="1" t="str">
        <f t="shared" si="64"/>
        <v>2</v>
      </c>
      <c r="S807" s="1">
        <v>127</v>
      </c>
      <c r="T807" s="1" t="str">
        <f t="shared" si="62"/>
        <v>1</v>
      </c>
      <c r="U807" s="1">
        <v>-33.393976000000002</v>
      </c>
      <c r="V807" s="3">
        <v>149.09736899999999</v>
      </c>
    </row>
    <row r="808" spans="1:22" x14ac:dyDescent="0.35">
      <c r="A808" s="22" t="s">
        <v>2541</v>
      </c>
      <c r="B808" s="1" t="s">
        <v>2542</v>
      </c>
      <c r="C808" s="1" t="s">
        <v>2543</v>
      </c>
      <c r="D808" s="1" t="s">
        <v>428</v>
      </c>
      <c r="E808" s="1" t="s">
        <v>429</v>
      </c>
      <c r="F808" s="1" t="s">
        <v>47</v>
      </c>
      <c r="G808" s="1">
        <f t="shared" si="60"/>
        <v>1</v>
      </c>
      <c r="H808" s="1" t="s">
        <v>63</v>
      </c>
      <c r="I808" s="1" t="s">
        <v>49</v>
      </c>
      <c r="J808" s="23" t="s">
        <v>50</v>
      </c>
      <c r="K808" s="2" t="s">
        <v>51</v>
      </c>
      <c r="L808" s="1">
        <v>370</v>
      </c>
      <c r="M808" s="1">
        <v>9</v>
      </c>
      <c r="N808" s="1" t="str">
        <f t="shared" si="63"/>
        <v>Published</v>
      </c>
      <c r="O808" s="1">
        <f t="shared" si="61"/>
        <v>33.299999999999997</v>
      </c>
      <c r="P808" s="1">
        <v>13</v>
      </c>
      <c r="Q808" s="1">
        <v>1059</v>
      </c>
      <c r="R808" s="1" t="str">
        <f t="shared" si="64"/>
        <v>3</v>
      </c>
      <c r="S808" s="1">
        <v>52</v>
      </c>
      <c r="T808" s="1" t="str">
        <f t="shared" si="62"/>
        <v>3</v>
      </c>
      <c r="U808" s="1">
        <v>-33.704613000000002</v>
      </c>
      <c r="V808" s="3">
        <v>150.57347200000001</v>
      </c>
    </row>
    <row r="809" spans="1:22" x14ac:dyDescent="0.35">
      <c r="A809" s="22" t="s">
        <v>2544</v>
      </c>
      <c r="B809" s="1" t="s">
        <v>2545</v>
      </c>
      <c r="C809" s="1" t="s">
        <v>2546</v>
      </c>
      <c r="D809" s="1" t="s">
        <v>176</v>
      </c>
      <c r="E809" s="1" t="s">
        <v>85</v>
      </c>
      <c r="F809" s="1" t="s">
        <v>47</v>
      </c>
      <c r="G809" s="1">
        <f t="shared" si="60"/>
        <v>1</v>
      </c>
      <c r="H809" s="1" t="s">
        <v>86</v>
      </c>
      <c r="I809" s="1" t="s">
        <v>49</v>
      </c>
      <c r="J809" s="23" t="s">
        <v>50</v>
      </c>
      <c r="K809" s="2" t="s">
        <v>51</v>
      </c>
      <c r="L809" s="1">
        <v>150</v>
      </c>
      <c r="M809" s="1">
        <v>5</v>
      </c>
      <c r="N809" s="1" t="str">
        <f t="shared" si="63"/>
        <v>Published</v>
      </c>
      <c r="O809" s="1">
        <f t="shared" si="61"/>
        <v>7.5</v>
      </c>
      <c r="P809" s="1">
        <v>16</v>
      </c>
      <c r="Q809" s="1">
        <v>1112</v>
      </c>
      <c r="R809" s="1" t="str">
        <f t="shared" si="64"/>
        <v>4</v>
      </c>
      <c r="S809" s="1">
        <v>24</v>
      </c>
      <c r="T809" s="1" t="str">
        <f t="shared" si="62"/>
        <v>2</v>
      </c>
      <c r="U809" s="1">
        <v>-34.228715000000001</v>
      </c>
      <c r="V809" s="3">
        <v>150.98453599999999</v>
      </c>
    </row>
    <row r="810" spans="1:22" x14ac:dyDescent="0.35">
      <c r="A810" s="22" t="s">
        <v>2547</v>
      </c>
      <c r="B810" s="1" t="s">
        <v>2548</v>
      </c>
      <c r="C810" s="1" t="s">
        <v>2549</v>
      </c>
      <c r="D810" s="1" t="s">
        <v>176</v>
      </c>
      <c r="E810" s="1" t="s">
        <v>85</v>
      </c>
      <c r="F810" s="1" t="s">
        <v>47</v>
      </c>
      <c r="G810" s="1">
        <f t="shared" si="60"/>
        <v>1</v>
      </c>
      <c r="H810" s="1" t="s">
        <v>86</v>
      </c>
      <c r="I810" s="1" t="s">
        <v>49</v>
      </c>
      <c r="J810" s="23" t="s">
        <v>50</v>
      </c>
      <c r="K810" s="2" t="s">
        <v>51</v>
      </c>
      <c r="L810" s="1">
        <v>276</v>
      </c>
      <c r="M810" s="1">
        <v>18</v>
      </c>
      <c r="N810" s="1" t="str">
        <f t="shared" si="63"/>
        <v>Published</v>
      </c>
      <c r="O810" s="1">
        <f t="shared" si="61"/>
        <v>49.68</v>
      </c>
      <c r="P810" s="1">
        <v>38</v>
      </c>
      <c r="Q810" s="1">
        <v>891</v>
      </c>
      <c r="R810" s="1" t="str">
        <f t="shared" si="64"/>
        <v>1</v>
      </c>
      <c r="S810" s="1">
        <v>162</v>
      </c>
      <c r="T810" s="1" t="str">
        <f t="shared" si="62"/>
        <v>2</v>
      </c>
      <c r="U810" s="1">
        <v>-34.481366999999999</v>
      </c>
      <c r="V810" s="3">
        <v>150.877847</v>
      </c>
    </row>
    <row r="811" spans="1:22" x14ac:dyDescent="0.35">
      <c r="A811" s="22" t="s">
        <v>2550</v>
      </c>
      <c r="B811" s="1" t="s">
        <v>2551</v>
      </c>
      <c r="C811" s="1" t="s">
        <v>2552</v>
      </c>
      <c r="D811" s="1" t="s">
        <v>506</v>
      </c>
      <c r="E811" s="1" t="s">
        <v>80</v>
      </c>
      <c r="F811" s="1" t="s">
        <v>69</v>
      </c>
      <c r="G811" s="1">
        <f t="shared" si="60"/>
        <v>3</v>
      </c>
      <c r="H811" s="1" t="s">
        <v>70</v>
      </c>
      <c r="I811" s="1" t="s">
        <v>49</v>
      </c>
      <c r="J811" s="23" t="s">
        <v>50</v>
      </c>
      <c r="K811" s="2" t="s">
        <v>51</v>
      </c>
      <c r="L811" s="1">
        <v>12</v>
      </c>
      <c r="M811" s="1"/>
      <c r="N811" s="1" t="str">
        <f t="shared" si="63"/>
        <v>Suppressed</v>
      </c>
      <c r="O811" s="1" t="str">
        <f t="shared" si="61"/>
        <v/>
      </c>
      <c r="P811" s="1"/>
      <c r="Q811" s="1">
        <v>929</v>
      </c>
      <c r="R811" s="1" t="str">
        <f t="shared" si="64"/>
        <v>2</v>
      </c>
      <c r="S811" s="1">
        <v>208</v>
      </c>
      <c r="T811" s="1" t="str">
        <f t="shared" si="62"/>
        <v>1</v>
      </c>
      <c r="U811" s="1">
        <v>-34.497610999999999</v>
      </c>
      <c r="V811" s="3">
        <v>147.88306499999999</v>
      </c>
    </row>
    <row r="812" spans="1:22" x14ac:dyDescent="0.35">
      <c r="A812" s="22" t="s">
        <v>2553</v>
      </c>
      <c r="B812" s="1" t="s">
        <v>2554</v>
      </c>
      <c r="C812" s="1" t="s">
        <v>2555</v>
      </c>
      <c r="D812" s="1" t="s">
        <v>74</v>
      </c>
      <c r="E812" s="1" t="s">
        <v>75</v>
      </c>
      <c r="F812" s="1" t="s">
        <v>47</v>
      </c>
      <c r="G812" s="1">
        <f t="shared" si="60"/>
        <v>1</v>
      </c>
      <c r="H812" s="1" t="s">
        <v>63</v>
      </c>
      <c r="I812" s="1" t="s">
        <v>49</v>
      </c>
      <c r="J812" s="23" t="s">
        <v>50</v>
      </c>
      <c r="K812" s="2" t="s">
        <v>51</v>
      </c>
      <c r="L812" s="1">
        <v>254</v>
      </c>
      <c r="M812" s="1">
        <v>19</v>
      </c>
      <c r="N812" s="1" t="str">
        <f t="shared" si="63"/>
        <v>Published</v>
      </c>
      <c r="O812" s="1">
        <f t="shared" si="61"/>
        <v>48.26</v>
      </c>
      <c r="P812" s="1">
        <v>9</v>
      </c>
      <c r="Q812" s="1">
        <v>1000</v>
      </c>
      <c r="R812" s="1" t="str">
        <f t="shared" si="64"/>
        <v>3</v>
      </c>
      <c r="S812" s="1">
        <v>73</v>
      </c>
      <c r="T812" s="1" t="str">
        <f t="shared" si="62"/>
        <v>2</v>
      </c>
      <c r="U812" s="1">
        <v>-32.910955999999999</v>
      </c>
      <c r="V812" s="3">
        <v>151.78109499999999</v>
      </c>
    </row>
    <row r="813" spans="1:22" x14ac:dyDescent="0.35">
      <c r="A813" s="22" t="s">
        <v>2556</v>
      </c>
      <c r="B813" s="1" t="s">
        <v>2557</v>
      </c>
      <c r="C813" s="1" t="s">
        <v>2558</v>
      </c>
      <c r="D813" s="1" t="s">
        <v>236</v>
      </c>
      <c r="E813" s="1" t="s">
        <v>107</v>
      </c>
      <c r="F813" s="1" t="s">
        <v>57</v>
      </c>
      <c r="G813" s="1">
        <f t="shared" si="60"/>
        <v>2</v>
      </c>
      <c r="H813" s="1" t="s">
        <v>92</v>
      </c>
      <c r="I813" s="1" t="s">
        <v>49</v>
      </c>
      <c r="J813" s="23" t="s">
        <v>50</v>
      </c>
      <c r="K813" s="2" t="s">
        <v>51</v>
      </c>
      <c r="L813" s="1">
        <v>37</v>
      </c>
      <c r="M813" s="1"/>
      <c r="N813" s="1" t="str">
        <f t="shared" si="63"/>
        <v>Suppressed</v>
      </c>
      <c r="O813" s="1" t="str">
        <f t="shared" si="61"/>
        <v/>
      </c>
      <c r="P813" s="1"/>
      <c r="Q813" s="1">
        <v>962</v>
      </c>
      <c r="R813" s="1" t="str">
        <f t="shared" si="64"/>
        <v>2</v>
      </c>
      <c r="S813" s="1">
        <v>120</v>
      </c>
      <c r="T813" s="1" t="str">
        <f t="shared" si="62"/>
        <v>1</v>
      </c>
      <c r="U813" s="1">
        <v>-28.393823000000001</v>
      </c>
      <c r="V813" s="3">
        <v>153.404371</v>
      </c>
    </row>
    <row r="814" spans="1:22" x14ac:dyDescent="0.35">
      <c r="A814" s="22" t="s">
        <v>2559</v>
      </c>
      <c r="B814" s="1" t="s">
        <v>2560</v>
      </c>
      <c r="C814" s="1" t="s">
        <v>2561</v>
      </c>
      <c r="D814" s="1" t="s">
        <v>275</v>
      </c>
      <c r="E814" s="1" t="s">
        <v>276</v>
      </c>
      <c r="F814" s="1" t="s">
        <v>69</v>
      </c>
      <c r="G814" s="1">
        <f t="shared" si="60"/>
        <v>3</v>
      </c>
      <c r="H814" s="1" t="s">
        <v>58</v>
      </c>
      <c r="I814" s="1" t="s">
        <v>49</v>
      </c>
      <c r="J814" s="23" t="s">
        <v>50</v>
      </c>
      <c r="K814" s="2" t="s">
        <v>51</v>
      </c>
      <c r="L814" s="1">
        <v>15</v>
      </c>
      <c r="M814" s="1"/>
      <c r="N814" s="1" t="str">
        <f t="shared" si="63"/>
        <v>Suppressed</v>
      </c>
      <c r="O814" s="1" t="str">
        <f t="shared" si="61"/>
        <v/>
      </c>
      <c r="P814" s="1">
        <v>0</v>
      </c>
      <c r="Q814" s="1">
        <v>904</v>
      </c>
      <c r="R814" s="1" t="str">
        <f t="shared" si="64"/>
        <v>2</v>
      </c>
      <c r="S814" s="1">
        <v>130</v>
      </c>
      <c r="T814" s="1" t="str">
        <f t="shared" si="62"/>
        <v>1</v>
      </c>
      <c r="U814" s="1">
        <v>-32.116885000000003</v>
      </c>
      <c r="V814" s="3">
        <v>151.93922000000001</v>
      </c>
    </row>
    <row r="815" spans="1:22" x14ac:dyDescent="0.35">
      <c r="A815" s="22" t="s">
        <v>2562</v>
      </c>
      <c r="B815" s="1" t="s">
        <v>2563</v>
      </c>
      <c r="C815" s="1" t="s">
        <v>2564</v>
      </c>
      <c r="D815" s="1" t="s">
        <v>587</v>
      </c>
      <c r="E815" s="1" t="s">
        <v>107</v>
      </c>
      <c r="F815" s="1" t="s">
        <v>57</v>
      </c>
      <c r="G815" s="1">
        <f t="shared" si="60"/>
        <v>2</v>
      </c>
      <c r="H815" s="1" t="s">
        <v>92</v>
      </c>
      <c r="I815" s="1" t="s">
        <v>49</v>
      </c>
      <c r="J815" s="23" t="s">
        <v>50</v>
      </c>
      <c r="K815" s="2" t="s">
        <v>51</v>
      </c>
      <c r="L815" s="1">
        <v>18</v>
      </c>
      <c r="M815" s="1"/>
      <c r="N815" s="1" t="str">
        <f t="shared" si="63"/>
        <v>Suppressed</v>
      </c>
      <c r="O815" s="1" t="str">
        <f t="shared" si="61"/>
        <v/>
      </c>
      <c r="P815" s="1"/>
      <c r="Q815" s="1">
        <v>931</v>
      </c>
      <c r="R815" s="1" t="str">
        <f t="shared" si="64"/>
        <v>2</v>
      </c>
      <c r="S815" s="1">
        <v>108</v>
      </c>
      <c r="T815" s="1" t="str">
        <f t="shared" si="62"/>
        <v>1</v>
      </c>
      <c r="U815" s="1">
        <v>-28.755713</v>
      </c>
      <c r="V815" s="3">
        <v>152.93722199999999</v>
      </c>
    </row>
    <row r="816" spans="1:22" x14ac:dyDescent="0.35">
      <c r="A816" s="22" t="s">
        <v>2565</v>
      </c>
      <c r="B816" s="1" t="s">
        <v>2566</v>
      </c>
      <c r="C816" s="1" t="s">
        <v>2567</v>
      </c>
      <c r="D816" s="1" t="s">
        <v>45</v>
      </c>
      <c r="E816" s="1" t="s">
        <v>46</v>
      </c>
      <c r="F816" s="1" t="s">
        <v>47</v>
      </c>
      <c r="G816" s="1">
        <f t="shared" si="60"/>
        <v>1</v>
      </c>
      <c r="H816" s="1" t="s">
        <v>48</v>
      </c>
      <c r="I816" s="1" t="s">
        <v>49</v>
      </c>
      <c r="J816" s="23" t="s">
        <v>50</v>
      </c>
      <c r="K816" s="2" t="s">
        <v>51</v>
      </c>
      <c r="L816" s="1">
        <v>508</v>
      </c>
      <c r="M816" s="1">
        <v>1</v>
      </c>
      <c r="N816" s="1" t="str">
        <f t="shared" si="63"/>
        <v>Published</v>
      </c>
      <c r="O816" s="1">
        <f t="shared" si="61"/>
        <v>5.08</v>
      </c>
      <c r="P816" s="1">
        <v>71</v>
      </c>
      <c r="Q816" s="1">
        <v>1112</v>
      </c>
      <c r="R816" s="1" t="str">
        <f t="shared" si="64"/>
        <v>4</v>
      </c>
      <c r="S816" s="1">
        <v>30</v>
      </c>
      <c r="T816" s="1" t="str">
        <f t="shared" si="62"/>
        <v>3</v>
      </c>
      <c r="U816" s="1">
        <v>-33.854531000000001</v>
      </c>
      <c r="V816" s="3">
        <v>151.09204</v>
      </c>
    </row>
    <row r="817" spans="1:22" x14ac:dyDescent="0.35">
      <c r="A817" s="22" t="s">
        <v>2568</v>
      </c>
      <c r="B817" s="1" t="s">
        <v>2569</v>
      </c>
      <c r="C817" s="1" t="s">
        <v>2570</v>
      </c>
      <c r="D817" s="1" t="s">
        <v>1502</v>
      </c>
      <c r="E817" s="1" t="s">
        <v>46</v>
      </c>
      <c r="F817" s="1" t="s">
        <v>47</v>
      </c>
      <c r="G817" s="1">
        <f t="shared" si="60"/>
        <v>1</v>
      </c>
      <c r="H817" s="1" t="s">
        <v>48</v>
      </c>
      <c r="I817" s="1" t="s">
        <v>49</v>
      </c>
      <c r="J817" s="23" t="s">
        <v>50</v>
      </c>
      <c r="K817" s="2" t="s">
        <v>51</v>
      </c>
      <c r="L817" s="1">
        <v>423</v>
      </c>
      <c r="M817" s="1"/>
      <c r="N817" s="1" t="str">
        <f t="shared" si="63"/>
        <v>Suppressed</v>
      </c>
      <c r="O817" s="1" t="str">
        <f t="shared" si="61"/>
        <v/>
      </c>
      <c r="P817" s="1">
        <v>91</v>
      </c>
      <c r="Q817" s="1">
        <v>1084</v>
      </c>
      <c r="R817" s="1" t="str">
        <f t="shared" si="64"/>
        <v>3</v>
      </c>
      <c r="S817" s="1">
        <v>43</v>
      </c>
      <c r="T817" s="1" t="str">
        <f t="shared" si="62"/>
        <v>3</v>
      </c>
      <c r="U817" s="1">
        <v>-33.890779999999999</v>
      </c>
      <c r="V817" s="3">
        <v>151.08470199999999</v>
      </c>
    </row>
    <row r="818" spans="1:22" x14ac:dyDescent="0.35">
      <c r="A818" s="22" t="s">
        <v>2571</v>
      </c>
      <c r="B818" s="1" t="s">
        <v>2572</v>
      </c>
      <c r="C818" s="1" t="s">
        <v>2573</v>
      </c>
      <c r="D818" s="1" t="s">
        <v>275</v>
      </c>
      <c r="E818" s="1" t="s">
        <v>276</v>
      </c>
      <c r="F818" s="1" t="s">
        <v>57</v>
      </c>
      <c r="G818" s="1">
        <f t="shared" si="60"/>
        <v>2</v>
      </c>
      <c r="H818" s="1" t="s">
        <v>58</v>
      </c>
      <c r="I818" s="1" t="s">
        <v>49</v>
      </c>
      <c r="J818" s="23" t="s">
        <v>50</v>
      </c>
      <c r="K818" s="2" t="s">
        <v>51</v>
      </c>
      <c r="L818" s="1">
        <v>71</v>
      </c>
      <c r="M818" s="1">
        <v>25</v>
      </c>
      <c r="N818" s="1" t="str">
        <f t="shared" si="63"/>
        <v>Published</v>
      </c>
      <c r="O818" s="1">
        <f t="shared" si="61"/>
        <v>17.75</v>
      </c>
      <c r="P818" s="1"/>
      <c r="Q818" s="1">
        <v>931</v>
      </c>
      <c r="R818" s="1" t="str">
        <f t="shared" si="64"/>
        <v>2</v>
      </c>
      <c r="S818" s="1">
        <v>129</v>
      </c>
      <c r="T818" s="1" t="str">
        <f t="shared" si="62"/>
        <v>1</v>
      </c>
      <c r="U818" s="1">
        <v>-32.402532999999998</v>
      </c>
      <c r="V818" s="3">
        <v>151.96423899999999</v>
      </c>
    </row>
    <row r="819" spans="1:22" x14ac:dyDescent="0.35">
      <c r="A819" s="22" t="s">
        <v>2574</v>
      </c>
      <c r="B819" s="1" t="s">
        <v>2575</v>
      </c>
      <c r="C819" s="1" t="s">
        <v>2576</v>
      </c>
      <c r="D819" s="1" t="s">
        <v>275</v>
      </c>
      <c r="E819" s="1" t="s">
        <v>276</v>
      </c>
      <c r="F819" s="1" t="s">
        <v>57</v>
      </c>
      <c r="G819" s="1">
        <f t="shared" si="60"/>
        <v>2</v>
      </c>
      <c r="H819" s="1" t="s">
        <v>58</v>
      </c>
      <c r="I819" s="1" t="s">
        <v>49</v>
      </c>
      <c r="J819" s="23" t="s">
        <v>50</v>
      </c>
      <c r="K819" s="2" t="s">
        <v>51</v>
      </c>
      <c r="L819" s="1">
        <v>9</v>
      </c>
      <c r="M819" s="1"/>
      <c r="N819" s="1" t="str">
        <f t="shared" si="63"/>
        <v>Suppressed</v>
      </c>
      <c r="O819" s="1" t="str">
        <f t="shared" si="61"/>
        <v/>
      </c>
      <c r="P819" s="1">
        <v>0</v>
      </c>
      <c r="Q819" s="1">
        <v>948</v>
      </c>
      <c r="R819" s="1" t="str">
        <f t="shared" si="64"/>
        <v>2</v>
      </c>
      <c r="S819" s="1">
        <v>117</v>
      </c>
      <c r="T819" s="1" t="str">
        <f t="shared" si="62"/>
        <v>1</v>
      </c>
      <c r="U819" s="1">
        <v>-32.347985999999999</v>
      </c>
      <c r="V819" s="3">
        <v>151.93236899999999</v>
      </c>
    </row>
    <row r="820" spans="1:22" x14ac:dyDescent="0.35">
      <c r="A820" s="22" t="s">
        <v>2577</v>
      </c>
      <c r="B820" s="1" t="s">
        <v>2578</v>
      </c>
      <c r="C820" s="1" t="s">
        <v>2579</v>
      </c>
      <c r="D820" s="1" t="s">
        <v>211</v>
      </c>
      <c r="E820" s="1" t="s">
        <v>102</v>
      </c>
      <c r="F820" s="1" t="s">
        <v>69</v>
      </c>
      <c r="G820" s="1">
        <f t="shared" si="60"/>
        <v>3</v>
      </c>
      <c r="H820" s="1" t="s">
        <v>70</v>
      </c>
      <c r="I820" s="1" t="s">
        <v>49</v>
      </c>
      <c r="J820" s="23" t="s">
        <v>50</v>
      </c>
      <c r="K820" s="2" t="s">
        <v>51</v>
      </c>
      <c r="L820" s="1">
        <v>11</v>
      </c>
      <c r="M820" s="1">
        <v>64</v>
      </c>
      <c r="N820" s="1" t="str">
        <f t="shared" si="63"/>
        <v>Published</v>
      </c>
      <c r="O820" s="1">
        <f t="shared" si="61"/>
        <v>7.04</v>
      </c>
      <c r="P820" s="1">
        <v>0</v>
      </c>
      <c r="Q820" s="1">
        <v>722</v>
      </c>
      <c r="R820" s="1" t="str">
        <f t="shared" si="64"/>
        <v>1</v>
      </c>
      <c r="S820" s="1">
        <v>134</v>
      </c>
      <c r="T820" s="1" t="str">
        <f t="shared" si="62"/>
        <v>1</v>
      </c>
      <c r="U820" s="1">
        <v>-32.802565999999999</v>
      </c>
      <c r="V820" s="3">
        <v>149.068273</v>
      </c>
    </row>
    <row r="821" spans="1:22" x14ac:dyDescent="0.35">
      <c r="A821" s="22" t="s">
        <v>2580</v>
      </c>
      <c r="B821" s="1" t="s">
        <v>2581</v>
      </c>
      <c r="C821" s="1" t="s">
        <v>2582</v>
      </c>
      <c r="D821" s="1" t="s">
        <v>115</v>
      </c>
      <c r="E821" s="1" t="s">
        <v>46</v>
      </c>
      <c r="F821" s="1" t="s">
        <v>47</v>
      </c>
      <c r="G821" s="1">
        <f t="shared" si="60"/>
        <v>1</v>
      </c>
      <c r="H821" s="1" t="s">
        <v>48</v>
      </c>
      <c r="I821" s="1" t="s">
        <v>49</v>
      </c>
      <c r="J821" s="23" t="s">
        <v>50</v>
      </c>
      <c r="K821" s="2" t="s">
        <v>51</v>
      </c>
      <c r="L821" s="1">
        <v>662</v>
      </c>
      <c r="M821" s="1">
        <v>1</v>
      </c>
      <c r="N821" s="1" t="str">
        <f t="shared" si="63"/>
        <v>Published</v>
      </c>
      <c r="O821" s="1">
        <f t="shared" si="61"/>
        <v>6.62</v>
      </c>
      <c r="P821" s="1">
        <v>56</v>
      </c>
      <c r="Q821" s="1">
        <v>1167</v>
      </c>
      <c r="R821" s="1" t="str">
        <f t="shared" si="64"/>
        <v>4</v>
      </c>
      <c r="S821" s="1">
        <v>4</v>
      </c>
      <c r="T821" s="1" t="str">
        <f t="shared" si="62"/>
        <v>4</v>
      </c>
      <c r="U821" s="1">
        <v>-33.895814999999999</v>
      </c>
      <c r="V821" s="3">
        <v>151.135853</v>
      </c>
    </row>
    <row r="822" spans="1:22" x14ac:dyDescent="0.35">
      <c r="A822" s="22" t="s">
        <v>2583</v>
      </c>
      <c r="B822" s="1" t="s">
        <v>2584</v>
      </c>
      <c r="C822" s="1" t="s">
        <v>737</v>
      </c>
      <c r="D822" s="1" t="s">
        <v>737</v>
      </c>
      <c r="E822" s="1" t="s">
        <v>738</v>
      </c>
      <c r="F822" s="1" t="s">
        <v>47</v>
      </c>
      <c r="G822" s="1">
        <f t="shared" si="60"/>
        <v>1</v>
      </c>
      <c r="H822" s="1" t="s">
        <v>182</v>
      </c>
      <c r="I822" s="1" t="s">
        <v>49</v>
      </c>
      <c r="J822" s="23" t="s">
        <v>50</v>
      </c>
      <c r="K822" s="2" t="s">
        <v>51</v>
      </c>
      <c r="L822" s="1">
        <v>344</v>
      </c>
      <c r="M822" s="1">
        <v>2</v>
      </c>
      <c r="N822" s="1" t="str">
        <f t="shared" si="63"/>
        <v>Published</v>
      </c>
      <c r="O822" s="1">
        <f t="shared" si="61"/>
        <v>6.88</v>
      </c>
      <c r="P822" s="1">
        <v>61</v>
      </c>
      <c r="Q822" s="1">
        <v>1101</v>
      </c>
      <c r="R822" s="1" t="str">
        <f t="shared" si="64"/>
        <v>4</v>
      </c>
      <c r="S822" s="1">
        <v>30</v>
      </c>
      <c r="T822" s="1" t="str">
        <f t="shared" si="62"/>
        <v>3</v>
      </c>
      <c r="U822" s="1">
        <v>-34.033000999999999</v>
      </c>
      <c r="V822" s="3">
        <v>151.05914899999999</v>
      </c>
    </row>
    <row r="823" spans="1:22" x14ac:dyDescent="0.35">
      <c r="A823" s="22" t="s">
        <v>2585</v>
      </c>
      <c r="B823" s="1" t="s">
        <v>2586</v>
      </c>
      <c r="C823" s="1" t="s">
        <v>2587</v>
      </c>
      <c r="D823" s="1" t="s">
        <v>408</v>
      </c>
      <c r="E823" s="1" t="s">
        <v>68</v>
      </c>
      <c r="F823" s="1" t="s">
        <v>57</v>
      </c>
      <c r="G823" s="1">
        <f t="shared" si="60"/>
        <v>2</v>
      </c>
      <c r="H823" s="1" t="s">
        <v>70</v>
      </c>
      <c r="I823" s="1" t="s">
        <v>49</v>
      </c>
      <c r="J823" s="23" t="s">
        <v>50</v>
      </c>
      <c r="K823" s="2" t="s">
        <v>51</v>
      </c>
      <c r="L823" s="1">
        <v>152</v>
      </c>
      <c r="M823" s="1"/>
      <c r="N823" s="1" t="str">
        <f t="shared" si="63"/>
        <v>Suppressed</v>
      </c>
      <c r="O823" s="1" t="str">
        <f t="shared" si="61"/>
        <v/>
      </c>
      <c r="P823" s="1">
        <v>12</v>
      </c>
      <c r="Q823" s="1">
        <v>1098</v>
      </c>
      <c r="R823" s="1" t="str">
        <f t="shared" si="64"/>
        <v>3</v>
      </c>
      <c r="S823" s="1">
        <v>44</v>
      </c>
      <c r="T823" s="1" t="str">
        <f t="shared" si="62"/>
        <v>2</v>
      </c>
      <c r="U823" s="1">
        <v>-35.165610999999998</v>
      </c>
      <c r="V823" s="3">
        <v>149.25497899999999</v>
      </c>
    </row>
    <row r="824" spans="1:22" x14ac:dyDescent="0.35">
      <c r="A824" s="22" t="s">
        <v>2588</v>
      </c>
      <c r="B824" s="1" t="s">
        <v>2589</v>
      </c>
      <c r="C824" s="1" t="s">
        <v>2590</v>
      </c>
      <c r="D824" s="1" t="s">
        <v>191</v>
      </c>
      <c r="E824" s="1" t="s">
        <v>75</v>
      </c>
      <c r="F824" s="1" t="s">
        <v>47</v>
      </c>
      <c r="G824" s="1">
        <f t="shared" si="60"/>
        <v>1</v>
      </c>
      <c r="H824" s="1" t="s">
        <v>63</v>
      </c>
      <c r="I824" s="1" t="s">
        <v>49</v>
      </c>
      <c r="J824" s="23" t="s">
        <v>50</v>
      </c>
      <c r="K824" s="2" t="s">
        <v>51</v>
      </c>
      <c r="L824" s="1">
        <v>199</v>
      </c>
      <c r="M824" s="1">
        <v>29</v>
      </c>
      <c r="N824" s="1" t="str">
        <f t="shared" si="63"/>
        <v>Published</v>
      </c>
      <c r="O824" s="1">
        <f t="shared" si="61"/>
        <v>57.709999999999994</v>
      </c>
      <c r="P824" s="1">
        <v>5</v>
      </c>
      <c r="Q824" s="1">
        <v>923</v>
      </c>
      <c r="R824" s="1" t="str">
        <f t="shared" si="64"/>
        <v>2</v>
      </c>
      <c r="S824" s="1">
        <v>133</v>
      </c>
      <c r="T824" s="1" t="str">
        <f t="shared" si="62"/>
        <v>2</v>
      </c>
      <c r="U824" s="1">
        <v>-33.084060999999998</v>
      </c>
      <c r="V824" s="3">
        <v>151.636301</v>
      </c>
    </row>
    <row r="825" spans="1:22" x14ac:dyDescent="0.35">
      <c r="A825" s="22" t="s">
        <v>2591</v>
      </c>
      <c r="B825" s="1" t="s">
        <v>2592</v>
      </c>
      <c r="C825" s="1" t="s">
        <v>2593</v>
      </c>
      <c r="D825" s="1" t="s">
        <v>737</v>
      </c>
      <c r="E825" s="1" t="s">
        <v>738</v>
      </c>
      <c r="F825" s="1" t="s">
        <v>47</v>
      </c>
      <c r="G825" s="1">
        <f t="shared" si="60"/>
        <v>1</v>
      </c>
      <c r="H825" s="1" t="s">
        <v>182</v>
      </c>
      <c r="I825" s="1" t="s">
        <v>49</v>
      </c>
      <c r="J825" s="23" t="s">
        <v>50</v>
      </c>
      <c r="K825" s="2" t="s">
        <v>51</v>
      </c>
      <c r="L825" s="1">
        <v>167</v>
      </c>
      <c r="M825" s="1"/>
      <c r="N825" s="1" t="str">
        <f t="shared" si="63"/>
        <v>Suppressed</v>
      </c>
      <c r="O825" s="1" t="str">
        <f t="shared" si="61"/>
        <v/>
      </c>
      <c r="P825" s="1">
        <v>45</v>
      </c>
      <c r="Q825" s="1">
        <v>1038</v>
      </c>
      <c r="R825" s="1" t="str">
        <f t="shared" si="64"/>
        <v>3</v>
      </c>
      <c r="S825" s="1">
        <v>78</v>
      </c>
      <c r="T825" s="1" t="str">
        <f t="shared" si="62"/>
        <v>2</v>
      </c>
      <c r="U825" s="1">
        <v>-34.008118000000003</v>
      </c>
      <c r="V825" s="3">
        <v>151.112077</v>
      </c>
    </row>
    <row r="826" spans="1:22" x14ac:dyDescent="0.35">
      <c r="A826" s="22" t="s">
        <v>2594</v>
      </c>
      <c r="B826" s="1" t="s">
        <v>2595</v>
      </c>
      <c r="C826" s="1" t="s">
        <v>2596</v>
      </c>
      <c r="D826" s="1" t="s">
        <v>256</v>
      </c>
      <c r="E826" s="1" t="s">
        <v>107</v>
      </c>
      <c r="F826" s="1" t="s">
        <v>69</v>
      </c>
      <c r="G826" s="1">
        <f t="shared" si="60"/>
        <v>3</v>
      </c>
      <c r="H826" s="1" t="s">
        <v>92</v>
      </c>
      <c r="I826" s="1" t="s">
        <v>49</v>
      </c>
      <c r="J826" s="23" t="s">
        <v>50</v>
      </c>
      <c r="K826" s="2" t="s">
        <v>51</v>
      </c>
      <c r="L826" s="1">
        <v>63</v>
      </c>
      <c r="M826" s="1">
        <v>56</v>
      </c>
      <c r="N826" s="1" t="str">
        <f t="shared" si="63"/>
        <v>Published</v>
      </c>
      <c r="O826" s="1">
        <f t="shared" si="61"/>
        <v>35.28</v>
      </c>
      <c r="P826" s="1">
        <v>57</v>
      </c>
      <c r="Q826" s="1">
        <v>775</v>
      </c>
      <c r="R826" s="1" t="str">
        <f t="shared" si="64"/>
        <v>1</v>
      </c>
      <c r="S826" s="1">
        <v>201</v>
      </c>
      <c r="T826" s="1" t="str">
        <f t="shared" si="62"/>
        <v>1</v>
      </c>
      <c r="U826" s="1">
        <v>-28.888649000000001</v>
      </c>
      <c r="V826" s="3">
        <v>152.568703</v>
      </c>
    </row>
    <row r="827" spans="1:22" x14ac:dyDescent="0.35">
      <c r="A827" s="22" t="s">
        <v>2597</v>
      </c>
      <c r="B827" s="1" t="s">
        <v>2598</v>
      </c>
      <c r="C827" s="1" t="s">
        <v>2599</v>
      </c>
      <c r="D827" s="1" t="s">
        <v>186</v>
      </c>
      <c r="E827" s="1" t="s">
        <v>187</v>
      </c>
      <c r="F827" s="1" t="s">
        <v>47</v>
      </c>
      <c r="G827" s="1">
        <f t="shared" si="60"/>
        <v>1</v>
      </c>
      <c r="H827" s="1" t="s">
        <v>63</v>
      </c>
      <c r="I827" s="1" t="s">
        <v>49</v>
      </c>
      <c r="J827" s="23" t="s">
        <v>50</v>
      </c>
      <c r="K827" s="2" t="s">
        <v>51</v>
      </c>
      <c r="L827" s="1">
        <v>186</v>
      </c>
      <c r="M827" s="1">
        <v>20</v>
      </c>
      <c r="N827" s="1" t="str">
        <f t="shared" si="63"/>
        <v>Published</v>
      </c>
      <c r="O827" s="1">
        <f t="shared" si="61"/>
        <v>37.200000000000003</v>
      </c>
      <c r="P827" s="1">
        <v>15</v>
      </c>
      <c r="Q827" s="1">
        <v>938</v>
      </c>
      <c r="R827" s="1" t="str">
        <f t="shared" si="64"/>
        <v>2</v>
      </c>
      <c r="S827" s="1">
        <v>115</v>
      </c>
      <c r="T827" s="1" t="str">
        <f t="shared" si="62"/>
        <v>2</v>
      </c>
      <c r="U827" s="1">
        <v>-33.282980000000002</v>
      </c>
      <c r="V827" s="3">
        <v>151.45893599999999</v>
      </c>
    </row>
    <row r="828" spans="1:22" x14ac:dyDescent="0.35">
      <c r="A828" s="22" t="s">
        <v>2600</v>
      </c>
      <c r="B828" s="1" t="s">
        <v>2601</v>
      </c>
      <c r="C828" s="1" t="s">
        <v>2602</v>
      </c>
      <c r="D828" s="1" t="s">
        <v>121</v>
      </c>
      <c r="E828" s="1" t="s">
        <v>122</v>
      </c>
      <c r="F828" s="1" t="s">
        <v>57</v>
      </c>
      <c r="G828" s="1">
        <f t="shared" si="60"/>
        <v>2</v>
      </c>
      <c r="H828" s="1" t="s">
        <v>86</v>
      </c>
      <c r="I828" s="1" t="s">
        <v>49</v>
      </c>
      <c r="J828" s="23" t="s">
        <v>50</v>
      </c>
      <c r="K828" s="2" t="s">
        <v>51</v>
      </c>
      <c r="L828" s="1">
        <v>525</v>
      </c>
      <c r="M828" s="1">
        <v>21</v>
      </c>
      <c r="N828" s="1" t="str">
        <f t="shared" si="63"/>
        <v>Published</v>
      </c>
      <c r="O828" s="1">
        <f t="shared" si="61"/>
        <v>110.25</v>
      </c>
      <c r="P828" s="1">
        <v>13</v>
      </c>
      <c r="Q828" s="1">
        <v>927</v>
      </c>
      <c r="R828" s="1" t="str">
        <f t="shared" si="64"/>
        <v>2</v>
      </c>
      <c r="S828" s="1">
        <v>134</v>
      </c>
      <c r="T828" s="1" t="str">
        <f t="shared" si="62"/>
        <v>3</v>
      </c>
      <c r="U828" s="1">
        <v>-34.227663</v>
      </c>
      <c r="V828" s="3">
        <v>150.58895100000001</v>
      </c>
    </row>
    <row r="829" spans="1:22" x14ac:dyDescent="0.35">
      <c r="A829" s="22" t="s">
        <v>2603</v>
      </c>
      <c r="B829" s="1" t="s">
        <v>2604</v>
      </c>
      <c r="C829" s="1" t="s">
        <v>2605</v>
      </c>
      <c r="D829" s="1" t="s">
        <v>260</v>
      </c>
      <c r="E829" s="1" t="s">
        <v>261</v>
      </c>
      <c r="F829" s="1" t="s">
        <v>69</v>
      </c>
      <c r="G829" s="1">
        <f t="shared" si="60"/>
        <v>3</v>
      </c>
      <c r="H829" s="1" t="s">
        <v>70</v>
      </c>
      <c r="I829" s="1" t="s">
        <v>49</v>
      </c>
      <c r="J829" s="23" t="s">
        <v>50</v>
      </c>
      <c r="K829" s="2" t="s">
        <v>51</v>
      </c>
      <c r="L829" s="1">
        <v>6</v>
      </c>
      <c r="M829" s="1"/>
      <c r="N829" s="1" t="str">
        <f t="shared" si="63"/>
        <v>Suppressed</v>
      </c>
      <c r="O829" s="1" t="str">
        <f t="shared" si="61"/>
        <v/>
      </c>
      <c r="P829" s="1">
        <v>0</v>
      </c>
      <c r="Q829" s="1">
        <v>954</v>
      </c>
      <c r="R829" s="1" t="str">
        <f t="shared" si="64"/>
        <v>2</v>
      </c>
      <c r="S829" s="1">
        <v>111</v>
      </c>
      <c r="T829" s="1" t="str">
        <f t="shared" si="62"/>
        <v>1</v>
      </c>
      <c r="U829" s="1">
        <v>-33.993586000000001</v>
      </c>
      <c r="V829" s="3">
        <v>146.877792</v>
      </c>
    </row>
    <row r="830" spans="1:22" x14ac:dyDescent="0.35">
      <c r="A830" s="22" t="s">
        <v>2606</v>
      </c>
      <c r="B830" s="1" t="s">
        <v>2607</v>
      </c>
      <c r="C830" s="1" t="s">
        <v>2608</v>
      </c>
      <c r="D830" s="1" t="s">
        <v>1342</v>
      </c>
      <c r="E830" s="1" t="s">
        <v>68</v>
      </c>
      <c r="F830" s="1" t="s">
        <v>57</v>
      </c>
      <c r="G830" s="1">
        <f t="shared" si="60"/>
        <v>2</v>
      </c>
      <c r="H830" s="1" t="s">
        <v>86</v>
      </c>
      <c r="I830" s="1" t="s">
        <v>49</v>
      </c>
      <c r="J830" s="23" t="s">
        <v>50</v>
      </c>
      <c r="K830" s="2" t="s">
        <v>51</v>
      </c>
      <c r="L830" s="1">
        <v>61</v>
      </c>
      <c r="M830" s="1"/>
      <c r="N830" s="1" t="str">
        <f t="shared" si="63"/>
        <v>Suppressed</v>
      </c>
      <c r="O830" s="1" t="str">
        <f t="shared" si="61"/>
        <v/>
      </c>
      <c r="P830" s="1">
        <v>12</v>
      </c>
      <c r="Q830" s="1">
        <v>996</v>
      </c>
      <c r="R830" s="1" t="str">
        <f t="shared" si="64"/>
        <v>2</v>
      </c>
      <c r="S830" s="1">
        <v>95</v>
      </c>
      <c r="T830" s="1" t="str">
        <f t="shared" si="62"/>
        <v>1</v>
      </c>
      <c r="U830" s="1">
        <v>-34.721496000000002</v>
      </c>
      <c r="V830" s="3">
        <v>150.08334099999999</v>
      </c>
    </row>
    <row r="831" spans="1:22" x14ac:dyDescent="0.35">
      <c r="A831" s="22" t="s">
        <v>2609</v>
      </c>
      <c r="B831" s="1" t="s">
        <v>2610</v>
      </c>
      <c r="C831" s="1" t="s">
        <v>90</v>
      </c>
      <c r="D831" s="1" t="s">
        <v>90</v>
      </c>
      <c r="E831" s="1" t="s">
        <v>91</v>
      </c>
      <c r="F831" s="1" t="s">
        <v>57</v>
      </c>
      <c r="G831" s="1">
        <f t="shared" si="60"/>
        <v>2</v>
      </c>
      <c r="H831" s="1" t="s">
        <v>92</v>
      </c>
      <c r="I831" s="1" t="s">
        <v>49</v>
      </c>
      <c r="J831" s="23" t="s">
        <v>50</v>
      </c>
      <c r="K831" s="2" t="s">
        <v>51</v>
      </c>
      <c r="L831" s="1">
        <v>891</v>
      </c>
      <c r="M831" s="1">
        <v>20</v>
      </c>
      <c r="N831" s="1" t="str">
        <f t="shared" si="63"/>
        <v>Published</v>
      </c>
      <c r="O831" s="1">
        <f t="shared" si="61"/>
        <v>178.20000000000002</v>
      </c>
      <c r="P831" s="1">
        <v>15</v>
      </c>
      <c r="Q831" s="1">
        <v>997</v>
      </c>
      <c r="R831" s="1" t="str">
        <f t="shared" si="64"/>
        <v>2</v>
      </c>
      <c r="S831" s="1">
        <v>82</v>
      </c>
      <c r="T831" s="1" t="str">
        <f t="shared" si="62"/>
        <v>4</v>
      </c>
      <c r="U831" s="1">
        <v>-31.084712</v>
      </c>
      <c r="V831" s="3">
        <v>150.935305</v>
      </c>
    </row>
    <row r="832" spans="1:22" x14ac:dyDescent="0.35">
      <c r="A832" s="22" t="s">
        <v>2611</v>
      </c>
      <c r="B832" s="1" t="s">
        <v>2612</v>
      </c>
      <c r="C832" s="1" t="s">
        <v>2613</v>
      </c>
      <c r="D832" s="1" t="s">
        <v>90</v>
      </c>
      <c r="E832" s="1" t="s">
        <v>91</v>
      </c>
      <c r="F832" s="1" t="s">
        <v>57</v>
      </c>
      <c r="G832" s="1">
        <f t="shared" si="60"/>
        <v>2</v>
      </c>
      <c r="H832" s="1" t="s">
        <v>92</v>
      </c>
      <c r="I832" s="1" t="s">
        <v>49</v>
      </c>
      <c r="J832" s="23" t="s">
        <v>50</v>
      </c>
      <c r="K832" s="2" t="s">
        <v>51</v>
      </c>
      <c r="L832" s="1">
        <v>370</v>
      </c>
      <c r="M832" s="1">
        <v>32</v>
      </c>
      <c r="N832" s="1" t="str">
        <f t="shared" si="63"/>
        <v>Published</v>
      </c>
      <c r="O832" s="1">
        <f t="shared" si="61"/>
        <v>118.4</v>
      </c>
      <c r="P832" s="1">
        <v>10</v>
      </c>
      <c r="Q832" s="1">
        <v>908</v>
      </c>
      <c r="R832" s="1" t="str">
        <f t="shared" si="64"/>
        <v>2</v>
      </c>
      <c r="S832" s="1">
        <v>130</v>
      </c>
      <c r="T832" s="1" t="str">
        <f t="shared" si="62"/>
        <v>3</v>
      </c>
      <c r="U832" s="1">
        <v>-31.09158</v>
      </c>
      <c r="V832" s="3">
        <v>150.92056299999999</v>
      </c>
    </row>
    <row r="833" spans="1:22" x14ac:dyDescent="0.35">
      <c r="A833" s="22" t="s">
        <v>2614</v>
      </c>
      <c r="B833" s="1" t="s">
        <v>2615</v>
      </c>
      <c r="C833" s="1" t="s">
        <v>2616</v>
      </c>
      <c r="D833" s="1" t="s">
        <v>314</v>
      </c>
      <c r="E833" s="1" t="s">
        <v>68</v>
      </c>
      <c r="F833" s="1" t="s">
        <v>69</v>
      </c>
      <c r="G833" s="1">
        <f t="shared" si="60"/>
        <v>3</v>
      </c>
      <c r="H833" s="1" t="s">
        <v>86</v>
      </c>
      <c r="I833" s="1" t="s">
        <v>49</v>
      </c>
      <c r="J833" s="23" t="s">
        <v>50</v>
      </c>
      <c r="K833" s="2" t="s">
        <v>51</v>
      </c>
      <c r="L833" s="1">
        <v>6</v>
      </c>
      <c r="M833" s="1">
        <v>0</v>
      </c>
      <c r="N833" s="1" t="str">
        <f t="shared" si="63"/>
        <v>Published</v>
      </c>
      <c r="O833" s="1">
        <f t="shared" si="61"/>
        <v>0</v>
      </c>
      <c r="P833" s="1"/>
      <c r="Q833" s="1">
        <v>1085</v>
      </c>
      <c r="R833" s="1" t="str">
        <f t="shared" si="64"/>
        <v>3</v>
      </c>
      <c r="S833" s="1">
        <v>41</v>
      </c>
      <c r="T833" s="1" t="str">
        <f t="shared" si="62"/>
        <v>1</v>
      </c>
      <c r="U833" s="1">
        <v>-36.64029</v>
      </c>
      <c r="V833" s="3">
        <v>149.97507200000001</v>
      </c>
    </row>
    <row r="834" spans="1:22" x14ac:dyDescent="0.35">
      <c r="A834" s="22" t="s">
        <v>2617</v>
      </c>
      <c r="B834" s="1" t="s">
        <v>2618</v>
      </c>
      <c r="C834" s="1" t="s">
        <v>2619</v>
      </c>
      <c r="D834" s="1" t="s">
        <v>1342</v>
      </c>
      <c r="E834" s="1" t="s">
        <v>68</v>
      </c>
      <c r="F834" s="1" t="s">
        <v>57</v>
      </c>
      <c r="G834" s="1">
        <f t="shared" ref="G834:G897" si="65">IF(F834="Major Cities of Australia",1,IF(F834="Inner Regional Australia",2,IF(F834="Outer Regional Australia",3,IF(F834="Remote Australia",4,IF(F834="Very Remote Australia",5,6)))))</f>
        <v>2</v>
      </c>
      <c r="H834" s="1" t="s">
        <v>86</v>
      </c>
      <c r="I834" s="1" t="s">
        <v>49</v>
      </c>
      <c r="J834" s="23" t="s">
        <v>50</v>
      </c>
      <c r="K834" s="2" t="s">
        <v>51</v>
      </c>
      <c r="L834" s="1">
        <v>52</v>
      </c>
      <c r="M834" s="1">
        <v>13</v>
      </c>
      <c r="N834" s="1" t="str">
        <f t="shared" si="63"/>
        <v>Published</v>
      </c>
      <c r="O834" s="1">
        <f t="shared" ref="O834:O897" si="66">IF(OR(M834="",L834=""),"",M834/100*L834)</f>
        <v>6.76</v>
      </c>
      <c r="P834" s="1"/>
      <c r="Q834" s="1">
        <v>956</v>
      </c>
      <c r="R834" s="1" t="str">
        <f t="shared" si="64"/>
        <v>2</v>
      </c>
      <c r="S834" s="1">
        <v>106</v>
      </c>
      <c r="T834" s="1" t="str">
        <f t="shared" ref="T834:T897" si="67">IF(L834="","No enrolment",IF(L834&lt;100,"1",IF(L834&lt;300,"2",IF(L834&lt;600,"3",IF(L834&lt;1000,"4","5")))))</f>
        <v>1</v>
      </c>
      <c r="U834" s="1">
        <v>-35.067670999999997</v>
      </c>
      <c r="V834" s="3">
        <v>149.654751</v>
      </c>
    </row>
    <row r="835" spans="1:22" x14ac:dyDescent="0.35">
      <c r="A835" s="22" t="s">
        <v>2620</v>
      </c>
      <c r="B835" s="1" t="s">
        <v>2621</v>
      </c>
      <c r="C835" s="1" t="s">
        <v>2622</v>
      </c>
      <c r="D835" s="1" t="s">
        <v>394</v>
      </c>
      <c r="E835" s="1" t="s">
        <v>68</v>
      </c>
      <c r="F835" s="1" t="s">
        <v>57</v>
      </c>
      <c r="G835" s="1">
        <f t="shared" si="65"/>
        <v>2</v>
      </c>
      <c r="H835" s="1" t="s">
        <v>86</v>
      </c>
      <c r="I835" s="1" t="s">
        <v>49</v>
      </c>
      <c r="J835" s="23" t="s">
        <v>50</v>
      </c>
      <c r="K835" s="2" t="s">
        <v>51</v>
      </c>
      <c r="L835" s="1">
        <v>11</v>
      </c>
      <c r="M835" s="1"/>
      <c r="N835" s="1" t="str">
        <f t="shared" ref="N835:N898" si="68">IF(M835="","Suppressed","Published")</f>
        <v>Suppressed</v>
      </c>
      <c r="O835" s="1" t="str">
        <f t="shared" si="66"/>
        <v/>
      </c>
      <c r="P835" s="1"/>
      <c r="Q835" s="1">
        <v>965</v>
      </c>
      <c r="R835" s="1" t="str">
        <f t="shared" ref="R835:R898" si="69">IF(Q835="","No ICSEA",IF(Q835&lt;900,"1",IF(Q835&lt;1000,"2",IF(Q835&lt;1100,"3","4"))))</f>
        <v>2</v>
      </c>
      <c r="S835" s="1">
        <v>130</v>
      </c>
      <c r="T835" s="1" t="str">
        <f t="shared" si="67"/>
        <v>1</v>
      </c>
      <c r="U835" s="1">
        <v>-34.397973999999998</v>
      </c>
      <c r="V835" s="3">
        <v>149.82096200000001</v>
      </c>
    </row>
    <row r="836" spans="1:22" x14ac:dyDescent="0.35">
      <c r="A836" s="22" t="s">
        <v>2623</v>
      </c>
      <c r="B836" s="1" t="s">
        <v>2624</v>
      </c>
      <c r="C836" s="1" t="s">
        <v>2625</v>
      </c>
      <c r="D836" s="1" t="s">
        <v>713</v>
      </c>
      <c r="E836" s="1" t="s">
        <v>80</v>
      </c>
      <c r="F836" s="1" t="s">
        <v>69</v>
      </c>
      <c r="G836" s="1">
        <f t="shared" si="65"/>
        <v>3</v>
      </c>
      <c r="H836" s="1" t="s">
        <v>70</v>
      </c>
      <c r="I836" s="1" t="s">
        <v>49</v>
      </c>
      <c r="J836" s="23" t="s">
        <v>50</v>
      </c>
      <c r="K836" s="2" t="s">
        <v>51</v>
      </c>
      <c r="L836" s="1">
        <v>22</v>
      </c>
      <c r="M836" s="1">
        <v>36</v>
      </c>
      <c r="N836" s="1" t="str">
        <f t="shared" si="68"/>
        <v>Published</v>
      </c>
      <c r="O836" s="1">
        <f t="shared" si="66"/>
        <v>7.92</v>
      </c>
      <c r="P836" s="1"/>
      <c r="Q836" s="1">
        <v>874</v>
      </c>
      <c r="R836" s="1" t="str">
        <f t="shared" si="69"/>
        <v>1</v>
      </c>
      <c r="S836" s="1">
        <v>139</v>
      </c>
      <c r="T836" s="1" t="str">
        <f t="shared" si="67"/>
        <v>1</v>
      </c>
      <c r="U836" s="1">
        <v>-35.279294</v>
      </c>
      <c r="V836" s="3">
        <v>147.738339</v>
      </c>
    </row>
    <row r="837" spans="1:22" x14ac:dyDescent="0.35">
      <c r="A837" s="22" t="s">
        <v>2626</v>
      </c>
      <c r="B837" s="1" t="s">
        <v>2627</v>
      </c>
      <c r="C837" s="1" t="s">
        <v>2628</v>
      </c>
      <c r="D837" s="1" t="s">
        <v>275</v>
      </c>
      <c r="E837" s="1" t="s">
        <v>276</v>
      </c>
      <c r="F837" s="1" t="s">
        <v>57</v>
      </c>
      <c r="G837" s="1">
        <f t="shared" si="65"/>
        <v>2</v>
      </c>
      <c r="H837" s="1" t="s">
        <v>86</v>
      </c>
      <c r="I837" s="1" t="s">
        <v>49</v>
      </c>
      <c r="J837" s="23" t="s">
        <v>50</v>
      </c>
      <c r="K837" s="2" t="s">
        <v>51</v>
      </c>
      <c r="L837" s="1">
        <v>83</v>
      </c>
      <c r="M837" s="1">
        <v>48</v>
      </c>
      <c r="N837" s="1" t="str">
        <f t="shared" si="68"/>
        <v>Published</v>
      </c>
      <c r="O837" s="1">
        <f t="shared" si="66"/>
        <v>39.839999999999996</v>
      </c>
      <c r="P837" s="1">
        <v>12</v>
      </c>
      <c r="Q837" s="1">
        <v>795</v>
      </c>
      <c r="R837" s="1" t="str">
        <f t="shared" si="69"/>
        <v>1</v>
      </c>
      <c r="S837" s="1">
        <v>192</v>
      </c>
      <c r="T837" s="1" t="str">
        <f t="shared" si="67"/>
        <v>1</v>
      </c>
      <c r="U837" s="1">
        <v>-31.910903999999999</v>
      </c>
      <c r="V837" s="3">
        <v>152.46215799999999</v>
      </c>
    </row>
    <row r="838" spans="1:22" x14ac:dyDescent="0.35">
      <c r="A838" s="22" t="s">
        <v>2629</v>
      </c>
      <c r="B838" s="1" t="s">
        <v>2630</v>
      </c>
      <c r="C838" s="1" t="s">
        <v>2631</v>
      </c>
      <c r="D838" s="1" t="s">
        <v>737</v>
      </c>
      <c r="E838" s="1" t="s">
        <v>738</v>
      </c>
      <c r="F838" s="1" t="s">
        <v>47</v>
      </c>
      <c r="G838" s="1">
        <f t="shared" si="65"/>
        <v>1</v>
      </c>
      <c r="H838" s="1" t="s">
        <v>182</v>
      </c>
      <c r="I838" s="1" t="s">
        <v>49</v>
      </c>
      <c r="J838" s="23" t="s">
        <v>50</v>
      </c>
      <c r="K838" s="2" t="s">
        <v>51</v>
      </c>
      <c r="L838" s="1">
        <v>114</v>
      </c>
      <c r="M838" s="1">
        <v>9</v>
      </c>
      <c r="N838" s="1" t="str">
        <f t="shared" si="68"/>
        <v>Published</v>
      </c>
      <c r="O838" s="1">
        <f t="shared" si="66"/>
        <v>10.26</v>
      </c>
      <c r="P838" s="1">
        <v>66</v>
      </c>
      <c r="Q838" s="1">
        <v>1043</v>
      </c>
      <c r="R838" s="1" t="str">
        <f t="shared" si="69"/>
        <v>3</v>
      </c>
      <c r="S838" s="1">
        <v>58</v>
      </c>
      <c r="T838" s="1" t="str">
        <f t="shared" si="67"/>
        <v>2</v>
      </c>
      <c r="U838" s="1">
        <v>-34.018079999999998</v>
      </c>
      <c r="V838" s="3">
        <v>151.12269000000001</v>
      </c>
    </row>
    <row r="839" spans="1:22" x14ac:dyDescent="0.35">
      <c r="A839" s="22" t="s">
        <v>2632</v>
      </c>
      <c r="B839" s="1" t="s">
        <v>2633</v>
      </c>
      <c r="C839" s="1" t="s">
        <v>2634</v>
      </c>
      <c r="D839" s="1" t="s">
        <v>314</v>
      </c>
      <c r="E839" s="1" t="s">
        <v>68</v>
      </c>
      <c r="F839" s="1" t="s">
        <v>69</v>
      </c>
      <c r="G839" s="1">
        <f t="shared" si="65"/>
        <v>3</v>
      </c>
      <c r="H839" s="1" t="s">
        <v>86</v>
      </c>
      <c r="I839" s="1" t="s">
        <v>49</v>
      </c>
      <c r="J839" s="23" t="s">
        <v>50</v>
      </c>
      <c r="K839" s="2" t="s">
        <v>51</v>
      </c>
      <c r="L839" s="1">
        <v>171</v>
      </c>
      <c r="M839" s="1">
        <v>5</v>
      </c>
      <c r="N839" s="1" t="str">
        <f t="shared" si="68"/>
        <v>Published</v>
      </c>
      <c r="O839" s="1">
        <f t="shared" si="66"/>
        <v>8.5500000000000007</v>
      </c>
      <c r="P839" s="1">
        <v>7</v>
      </c>
      <c r="Q839" s="1">
        <v>1048</v>
      </c>
      <c r="R839" s="1" t="str">
        <f t="shared" si="69"/>
        <v>3</v>
      </c>
      <c r="S839" s="1">
        <v>74</v>
      </c>
      <c r="T839" s="1" t="str">
        <f t="shared" si="67"/>
        <v>2</v>
      </c>
      <c r="U839" s="1">
        <v>-36.732802</v>
      </c>
      <c r="V839" s="3">
        <v>149.979602</v>
      </c>
    </row>
    <row r="840" spans="1:22" x14ac:dyDescent="0.35">
      <c r="A840" s="22" t="s">
        <v>2635</v>
      </c>
      <c r="B840" s="1" t="s">
        <v>2636</v>
      </c>
      <c r="C840" s="1" t="s">
        <v>2637</v>
      </c>
      <c r="D840" s="1" t="s">
        <v>275</v>
      </c>
      <c r="E840" s="1" t="s">
        <v>56</v>
      </c>
      <c r="F840" s="1" t="s">
        <v>57</v>
      </c>
      <c r="G840" s="1">
        <f t="shared" si="65"/>
        <v>2</v>
      </c>
      <c r="H840" s="1" t="s">
        <v>63</v>
      </c>
      <c r="I840" s="1" t="s">
        <v>49</v>
      </c>
      <c r="J840" s="23" t="s">
        <v>50</v>
      </c>
      <c r="K840" s="2" t="s">
        <v>51</v>
      </c>
      <c r="L840" s="1">
        <v>130</v>
      </c>
      <c r="M840" s="1">
        <v>25</v>
      </c>
      <c r="N840" s="1" t="str">
        <f t="shared" si="68"/>
        <v>Published</v>
      </c>
      <c r="O840" s="1">
        <f t="shared" si="66"/>
        <v>32.5</v>
      </c>
      <c r="P840" s="1">
        <v>16</v>
      </c>
      <c r="Q840" s="1">
        <v>934</v>
      </c>
      <c r="R840" s="1" t="str">
        <f t="shared" si="69"/>
        <v>2</v>
      </c>
      <c r="S840" s="1">
        <v>116</v>
      </c>
      <c r="T840" s="1" t="str">
        <f t="shared" si="67"/>
        <v>2</v>
      </c>
      <c r="U840" s="1">
        <v>-32.667785000000002</v>
      </c>
      <c r="V840" s="3">
        <v>152.15799100000001</v>
      </c>
    </row>
    <row r="841" spans="1:22" x14ac:dyDescent="0.35">
      <c r="A841" s="22" t="s">
        <v>2638</v>
      </c>
      <c r="B841" s="1" t="s">
        <v>2639</v>
      </c>
      <c r="C841" s="1" t="s">
        <v>2640</v>
      </c>
      <c r="D841" s="1" t="s">
        <v>302</v>
      </c>
      <c r="E841" s="1" t="s">
        <v>276</v>
      </c>
      <c r="F841" s="1" t="s">
        <v>57</v>
      </c>
      <c r="G841" s="1">
        <f t="shared" si="65"/>
        <v>2</v>
      </c>
      <c r="H841" s="1" t="s">
        <v>58</v>
      </c>
      <c r="I841" s="1" t="s">
        <v>49</v>
      </c>
      <c r="J841" s="23" t="s">
        <v>50</v>
      </c>
      <c r="K841" s="2" t="s">
        <v>51</v>
      </c>
      <c r="L841" s="1">
        <v>126</v>
      </c>
      <c r="M841" s="1">
        <v>15</v>
      </c>
      <c r="N841" s="1" t="str">
        <f t="shared" si="68"/>
        <v>Published</v>
      </c>
      <c r="O841" s="1">
        <f t="shared" si="66"/>
        <v>18.899999999999999</v>
      </c>
      <c r="P841" s="1"/>
      <c r="Q841" s="1">
        <v>968</v>
      </c>
      <c r="R841" s="1" t="str">
        <f t="shared" si="69"/>
        <v>2</v>
      </c>
      <c r="S841" s="1">
        <v>106</v>
      </c>
      <c r="T841" s="1" t="str">
        <f t="shared" si="67"/>
        <v>2</v>
      </c>
      <c r="U841" s="1">
        <v>-31.334143000000001</v>
      </c>
      <c r="V841" s="3">
        <v>152.79312899999999</v>
      </c>
    </row>
    <row r="842" spans="1:22" x14ac:dyDescent="0.35">
      <c r="A842" s="22" t="s">
        <v>2641</v>
      </c>
      <c r="B842" s="1" t="s">
        <v>2642</v>
      </c>
      <c r="C842" s="1" t="s">
        <v>2643</v>
      </c>
      <c r="D842" s="1" t="s">
        <v>136</v>
      </c>
      <c r="E842" s="1" t="s">
        <v>80</v>
      </c>
      <c r="F842" s="1" t="s">
        <v>69</v>
      </c>
      <c r="G842" s="1">
        <f t="shared" si="65"/>
        <v>3</v>
      </c>
      <c r="H842" s="1" t="s">
        <v>70</v>
      </c>
      <c r="I842" s="1" t="s">
        <v>49</v>
      </c>
      <c r="J842" s="23" t="s">
        <v>50</v>
      </c>
      <c r="K842" s="2" t="s">
        <v>51</v>
      </c>
      <c r="L842" s="1">
        <v>213</v>
      </c>
      <c r="M842" s="1">
        <v>7</v>
      </c>
      <c r="N842" s="1" t="str">
        <f t="shared" si="68"/>
        <v>Published</v>
      </c>
      <c r="O842" s="1">
        <f t="shared" si="66"/>
        <v>14.910000000000002</v>
      </c>
      <c r="P842" s="1">
        <v>4</v>
      </c>
      <c r="Q842" s="1">
        <v>969</v>
      </c>
      <c r="R842" s="1" t="str">
        <f t="shared" si="69"/>
        <v>2</v>
      </c>
      <c r="S842" s="1">
        <v>111</v>
      </c>
      <c r="T842" s="1" t="str">
        <f t="shared" si="67"/>
        <v>2</v>
      </c>
      <c r="U842" s="1">
        <v>-34.444842999999999</v>
      </c>
      <c r="V842" s="3">
        <v>147.53526500000001</v>
      </c>
    </row>
    <row r="843" spans="1:22" x14ac:dyDescent="0.35">
      <c r="A843" s="22" t="s">
        <v>2644</v>
      </c>
      <c r="B843" s="1" t="s">
        <v>2645</v>
      </c>
      <c r="C843" s="1" t="s">
        <v>2646</v>
      </c>
      <c r="D843" s="1" t="s">
        <v>489</v>
      </c>
      <c r="E843" s="1" t="s">
        <v>56</v>
      </c>
      <c r="F843" s="1" t="s">
        <v>47</v>
      </c>
      <c r="G843" s="1">
        <f t="shared" si="65"/>
        <v>1</v>
      </c>
      <c r="H843" s="1" t="s">
        <v>58</v>
      </c>
      <c r="I843" s="1" t="s">
        <v>49</v>
      </c>
      <c r="J843" s="23" t="s">
        <v>50</v>
      </c>
      <c r="K843" s="2" t="s">
        <v>51</v>
      </c>
      <c r="L843" s="1">
        <v>283</v>
      </c>
      <c r="M843" s="1">
        <v>29</v>
      </c>
      <c r="N843" s="1" t="str">
        <f t="shared" si="68"/>
        <v>Published</v>
      </c>
      <c r="O843" s="1">
        <f t="shared" si="66"/>
        <v>82.07</v>
      </c>
      <c r="P843" s="1">
        <v>6</v>
      </c>
      <c r="Q843" s="1">
        <v>893</v>
      </c>
      <c r="R843" s="1" t="str">
        <f t="shared" si="69"/>
        <v>1</v>
      </c>
      <c r="S843" s="1">
        <v>149</v>
      </c>
      <c r="T843" s="1" t="str">
        <f t="shared" si="67"/>
        <v>2</v>
      </c>
      <c r="U843" s="1">
        <v>-32.742528</v>
      </c>
      <c r="V843" s="3">
        <v>151.604859</v>
      </c>
    </row>
    <row r="844" spans="1:22" x14ac:dyDescent="0.35">
      <c r="A844" s="22" t="s">
        <v>2647</v>
      </c>
      <c r="B844" s="1" t="s">
        <v>2648</v>
      </c>
      <c r="C844" s="1" t="s">
        <v>2649</v>
      </c>
      <c r="D844" s="1" t="s">
        <v>1043</v>
      </c>
      <c r="E844" s="1" t="s">
        <v>91</v>
      </c>
      <c r="F844" s="1" t="s">
        <v>69</v>
      </c>
      <c r="G844" s="1">
        <f t="shared" si="65"/>
        <v>3</v>
      </c>
      <c r="H844" s="1" t="s">
        <v>92</v>
      </c>
      <c r="I844" s="1" t="s">
        <v>49</v>
      </c>
      <c r="J844" s="23" t="s">
        <v>50</v>
      </c>
      <c r="K844" s="2" t="s">
        <v>51</v>
      </c>
      <c r="L844" s="1">
        <v>199</v>
      </c>
      <c r="M844" s="1">
        <v>30</v>
      </c>
      <c r="N844" s="1" t="str">
        <f t="shared" si="68"/>
        <v>Published</v>
      </c>
      <c r="O844" s="1">
        <f t="shared" si="66"/>
        <v>59.699999999999996</v>
      </c>
      <c r="P844" s="1">
        <v>4</v>
      </c>
      <c r="Q844" s="1">
        <v>865</v>
      </c>
      <c r="R844" s="1" t="str">
        <f t="shared" si="69"/>
        <v>1</v>
      </c>
      <c r="S844" s="1">
        <v>154</v>
      </c>
      <c r="T844" s="1" t="str">
        <f t="shared" si="67"/>
        <v>2</v>
      </c>
      <c r="U844" s="1">
        <v>-29.056080999999999</v>
      </c>
      <c r="V844" s="3">
        <v>152.026106</v>
      </c>
    </row>
    <row r="845" spans="1:22" x14ac:dyDescent="0.35">
      <c r="A845" s="22" t="s">
        <v>2650</v>
      </c>
      <c r="B845" s="1" t="s">
        <v>2651</v>
      </c>
      <c r="C845" s="1" t="s">
        <v>2652</v>
      </c>
      <c r="D845" s="1" t="s">
        <v>191</v>
      </c>
      <c r="E845" s="1" t="s">
        <v>75</v>
      </c>
      <c r="F845" s="1" t="s">
        <v>47</v>
      </c>
      <c r="G845" s="1">
        <f t="shared" si="65"/>
        <v>1</v>
      </c>
      <c r="H845" s="1" t="s">
        <v>63</v>
      </c>
      <c r="I845" s="1" t="s">
        <v>49</v>
      </c>
      <c r="J845" s="23" t="s">
        <v>50</v>
      </c>
      <c r="K845" s="2" t="s">
        <v>51</v>
      </c>
      <c r="L845" s="1">
        <v>111</v>
      </c>
      <c r="M845" s="1">
        <v>24</v>
      </c>
      <c r="N845" s="1" t="str">
        <f t="shared" si="68"/>
        <v>Published</v>
      </c>
      <c r="O845" s="1">
        <f t="shared" si="66"/>
        <v>26.64</v>
      </c>
      <c r="P845" s="1">
        <v>7</v>
      </c>
      <c r="Q845" s="1">
        <v>959</v>
      </c>
      <c r="R845" s="1" t="str">
        <f t="shared" si="69"/>
        <v>2</v>
      </c>
      <c r="S845" s="1">
        <v>96</v>
      </c>
      <c r="T845" s="1" t="str">
        <f t="shared" si="67"/>
        <v>2</v>
      </c>
      <c r="U845" s="1">
        <v>-32.962493000000002</v>
      </c>
      <c r="V845" s="3">
        <v>151.605976</v>
      </c>
    </row>
    <row r="846" spans="1:22" x14ac:dyDescent="0.35">
      <c r="A846" s="22" t="s">
        <v>2653</v>
      </c>
      <c r="B846" s="1" t="s">
        <v>2654</v>
      </c>
      <c r="C846" s="1" t="s">
        <v>2655</v>
      </c>
      <c r="D846" s="1" t="s">
        <v>382</v>
      </c>
      <c r="E846" s="1" t="s">
        <v>196</v>
      </c>
      <c r="F846" s="1" t="s">
        <v>57</v>
      </c>
      <c r="G846" s="1">
        <f t="shared" si="65"/>
        <v>2</v>
      </c>
      <c r="H846" s="1" t="s">
        <v>86</v>
      </c>
      <c r="I846" s="1" t="s">
        <v>49</v>
      </c>
      <c r="J846" s="23" t="s">
        <v>50</v>
      </c>
      <c r="K846" s="2" t="s">
        <v>51</v>
      </c>
      <c r="L846" s="1">
        <v>96</v>
      </c>
      <c r="M846" s="1"/>
      <c r="N846" s="1" t="str">
        <f t="shared" si="68"/>
        <v>Suppressed</v>
      </c>
      <c r="O846" s="1" t="str">
        <f t="shared" si="66"/>
        <v/>
      </c>
      <c r="P846" s="1">
        <v>7</v>
      </c>
      <c r="Q846" s="1">
        <v>1009</v>
      </c>
      <c r="R846" s="1" t="str">
        <f t="shared" si="69"/>
        <v>3</v>
      </c>
      <c r="S846" s="1">
        <v>86</v>
      </c>
      <c r="T846" s="1" t="str">
        <f t="shared" si="67"/>
        <v>1</v>
      </c>
      <c r="U846" s="1">
        <v>-34.866633</v>
      </c>
      <c r="V846" s="3">
        <v>150.63038</v>
      </c>
    </row>
    <row r="847" spans="1:22" x14ac:dyDescent="0.35">
      <c r="A847" s="22" t="s">
        <v>2656</v>
      </c>
      <c r="B847" s="1" t="s">
        <v>2657</v>
      </c>
      <c r="C847" s="1" t="s">
        <v>2658</v>
      </c>
      <c r="D847" s="1" t="s">
        <v>236</v>
      </c>
      <c r="E847" s="1" t="s">
        <v>107</v>
      </c>
      <c r="F847" s="1" t="s">
        <v>47</v>
      </c>
      <c r="G847" s="1">
        <f t="shared" si="65"/>
        <v>1</v>
      </c>
      <c r="H847" s="1" t="s">
        <v>92</v>
      </c>
      <c r="I847" s="1" t="s">
        <v>49</v>
      </c>
      <c r="J847" s="23" t="s">
        <v>50</v>
      </c>
      <c r="K847" s="2" t="s">
        <v>51</v>
      </c>
      <c r="L847" s="1">
        <v>286</v>
      </c>
      <c r="M847" s="1">
        <v>10</v>
      </c>
      <c r="N847" s="1" t="str">
        <f t="shared" si="68"/>
        <v>Published</v>
      </c>
      <c r="O847" s="1">
        <f t="shared" si="66"/>
        <v>28.6</v>
      </c>
      <c r="P847" s="1">
        <v>7</v>
      </c>
      <c r="Q847" s="1">
        <v>1023</v>
      </c>
      <c r="R847" s="1" t="str">
        <f t="shared" si="69"/>
        <v>3</v>
      </c>
      <c r="S847" s="1">
        <v>75</v>
      </c>
      <c r="T847" s="1" t="str">
        <f t="shared" si="67"/>
        <v>2</v>
      </c>
      <c r="U847" s="1">
        <v>-28.240248000000001</v>
      </c>
      <c r="V847" s="3">
        <v>153.49927199999999</v>
      </c>
    </row>
    <row r="848" spans="1:22" x14ac:dyDescent="0.35">
      <c r="A848" s="22" t="s">
        <v>2659</v>
      </c>
      <c r="B848" s="1" t="s">
        <v>2660</v>
      </c>
      <c r="C848" s="1" t="s">
        <v>2661</v>
      </c>
      <c r="D848" s="1" t="s">
        <v>203</v>
      </c>
      <c r="E848" s="1" t="s">
        <v>204</v>
      </c>
      <c r="F848" s="1" t="s">
        <v>47</v>
      </c>
      <c r="G848" s="1">
        <f t="shared" si="65"/>
        <v>1</v>
      </c>
      <c r="H848" s="1" t="s">
        <v>148</v>
      </c>
      <c r="I848" s="1" t="s">
        <v>49</v>
      </c>
      <c r="J848" s="23" t="s">
        <v>50</v>
      </c>
      <c r="K848" s="2" t="s">
        <v>51</v>
      </c>
      <c r="L848" s="1">
        <v>183</v>
      </c>
      <c r="M848" s="1"/>
      <c r="N848" s="1" t="str">
        <f t="shared" si="68"/>
        <v>Suppressed</v>
      </c>
      <c r="O848" s="1" t="str">
        <f t="shared" si="66"/>
        <v/>
      </c>
      <c r="P848" s="1">
        <v>18</v>
      </c>
      <c r="Q848" s="1">
        <v>1100</v>
      </c>
      <c r="R848" s="1" t="str">
        <f t="shared" si="69"/>
        <v>4</v>
      </c>
      <c r="S848" s="1">
        <v>41</v>
      </c>
      <c r="T848" s="1" t="str">
        <f t="shared" si="67"/>
        <v>2</v>
      </c>
      <c r="U848" s="1">
        <v>-33.685723000000003</v>
      </c>
      <c r="V848" s="3">
        <v>151.22261900000001</v>
      </c>
    </row>
    <row r="849" spans="1:22" x14ac:dyDescent="0.35">
      <c r="A849" s="22" t="s">
        <v>2662</v>
      </c>
      <c r="B849" s="1" t="s">
        <v>2663</v>
      </c>
      <c r="C849" s="1" t="s">
        <v>2664</v>
      </c>
      <c r="D849" s="1" t="s">
        <v>186</v>
      </c>
      <c r="E849" s="1" t="s">
        <v>187</v>
      </c>
      <c r="F849" s="1" t="s">
        <v>47</v>
      </c>
      <c r="G849" s="1">
        <f t="shared" si="65"/>
        <v>1</v>
      </c>
      <c r="H849" s="1" t="s">
        <v>63</v>
      </c>
      <c r="I849" s="1" t="s">
        <v>49</v>
      </c>
      <c r="J849" s="23" t="s">
        <v>50</v>
      </c>
      <c r="K849" s="2" t="s">
        <v>51</v>
      </c>
      <c r="L849" s="1">
        <v>888</v>
      </c>
      <c r="M849" s="1">
        <v>4</v>
      </c>
      <c r="N849" s="1" t="str">
        <f t="shared" si="68"/>
        <v>Published</v>
      </c>
      <c r="O849" s="1">
        <f t="shared" si="66"/>
        <v>35.520000000000003</v>
      </c>
      <c r="P849" s="1">
        <v>14</v>
      </c>
      <c r="Q849" s="1">
        <v>1078</v>
      </c>
      <c r="R849" s="1" t="str">
        <f t="shared" si="69"/>
        <v>3</v>
      </c>
      <c r="S849" s="1">
        <v>48</v>
      </c>
      <c r="T849" s="1" t="str">
        <f t="shared" si="67"/>
        <v>4</v>
      </c>
      <c r="U849" s="1">
        <v>-33.442449000000003</v>
      </c>
      <c r="V849" s="3">
        <v>151.438197</v>
      </c>
    </row>
    <row r="850" spans="1:22" x14ac:dyDescent="0.35">
      <c r="A850" s="22" t="s">
        <v>2665</v>
      </c>
      <c r="B850" s="1" t="s">
        <v>2666</v>
      </c>
      <c r="C850" s="1" t="s">
        <v>2667</v>
      </c>
      <c r="D850" s="1" t="s">
        <v>310</v>
      </c>
      <c r="E850" s="1" t="s">
        <v>80</v>
      </c>
      <c r="F850" s="1" t="s">
        <v>69</v>
      </c>
      <c r="G850" s="1">
        <f t="shared" si="65"/>
        <v>3</v>
      </c>
      <c r="H850" s="1" t="s">
        <v>70</v>
      </c>
      <c r="I850" s="1" t="s">
        <v>49</v>
      </c>
      <c r="J850" s="23" t="s">
        <v>50</v>
      </c>
      <c r="K850" s="2" t="s">
        <v>51</v>
      </c>
      <c r="L850" s="1">
        <v>11</v>
      </c>
      <c r="M850" s="1"/>
      <c r="N850" s="1" t="str">
        <f t="shared" si="68"/>
        <v>Suppressed</v>
      </c>
      <c r="O850" s="1" t="str">
        <f t="shared" si="66"/>
        <v/>
      </c>
      <c r="P850" s="1"/>
      <c r="Q850" s="1">
        <v>855</v>
      </c>
      <c r="R850" s="1" t="str">
        <f t="shared" si="69"/>
        <v>1</v>
      </c>
      <c r="S850" s="1">
        <v>150</v>
      </c>
      <c r="T850" s="1" t="str">
        <f t="shared" si="67"/>
        <v>1</v>
      </c>
      <c r="U850" s="1">
        <v>-34.261620000000001</v>
      </c>
      <c r="V850" s="3">
        <v>145.98492200000001</v>
      </c>
    </row>
    <row r="851" spans="1:22" x14ac:dyDescent="0.35">
      <c r="A851" s="22" t="s">
        <v>2668</v>
      </c>
      <c r="B851" s="1" t="s">
        <v>2669</v>
      </c>
      <c r="C851" s="1" t="s">
        <v>2670</v>
      </c>
      <c r="D851" s="1" t="s">
        <v>121</v>
      </c>
      <c r="E851" s="1" t="s">
        <v>122</v>
      </c>
      <c r="F851" s="1" t="s">
        <v>57</v>
      </c>
      <c r="G851" s="1">
        <f t="shared" si="65"/>
        <v>2</v>
      </c>
      <c r="H851" s="1" t="s">
        <v>86</v>
      </c>
      <c r="I851" s="1" t="s">
        <v>49</v>
      </c>
      <c r="J851" s="23" t="s">
        <v>50</v>
      </c>
      <c r="K851" s="2" t="s">
        <v>51</v>
      </c>
      <c r="L851" s="1">
        <v>401</v>
      </c>
      <c r="M851" s="1">
        <v>17</v>
      </c>
      <c r="N851" s="1" t="str">
        <f t="shared" si="68"/>
        <v>Published</v>
      </c>
      <c r="O851" s="1">
        <f t="shared" si="66"/>
        <v>68.17</v>
      </c>
      <c r="P851" s="1">
        <v>9</v>
      </c>
      <c r="Q851" s="1">
        <v>959</v>
      </c>
      <c r="R851" s="1" t="str">
        <f t="shared" si="69"/>
        <v>2</v>
      </c>
      <c r="S851" s="1">
        <v>114</v>
      </c>
      <c r="T851" s="1" t="str">
        <f t="shared" si="67"/>
        <v>3</v>
      </c>
      <c r="U851" s="1">
        <v>-34.204832000000003</v>
      </c>
      <c r="V851" s="3">
        <v>150.569311</v>
      </c>
    </row>
    <row r="852" spans="1:22" x14ac:dyDescent="0.35">
      <c r="A852" s="22" t="s">
        <v>2671</v>
      </c>
      <c r="B852" s="1" t="s">
        <v>2672</v>
      </c>
      <c r="C852" s="1" t="s">
        <v>2673</v>
      </c>
      <c r="D852" s="1" t="s">
        <v>176</v>
      </c>
      <c r="E852" s="1" t="s">
        <v>85</v>
      </c>
      <c r="F852" s="1" t="s">
        <v>47</v>
      </c>
      <c r="G852" s="1">
        <f t="shared" si="65"/>
        <v>1</v>
      </c>
      <c r="H852" s="1" t="s">
        <v>86</v>
      </c>
      <c r="I852" s="1" t="s">
        <v>49</v>
      </c>
      <c r="J852" s="23" t="s">
        <v>50</v>
      </c>
      <c r="K852" s="2" t="s">
        <v>51</v>
      </c>
      <c r="L852" s="1">
        <v>367</v>
      </c>
      <c r="M852" s="1">
        <v>2</v>
      </c>
      <c r="N852" s="1" t="str">
        <f t="shared" si="68"/>
        <v>Published</v>
      </c>
      <c r="O852" s="1">
        <f t="shared" si="66"/>
        <v>7.34</v>
      </c>
      <c r="P852" s="1">
        <v>14</v>
      </c>
      <c r="Q852" s="1">
        <v>1119</v>
      </c>
      <c r="R852" s="1" t="str">
        <f t="shared" si="69"/>
        <v>4</v>
      </c>
      <c r="S852" s="1">
        <v>19</v>
      </c>
      <c r="T852" s="1" t="str">
        <f t="shared" si="67"/>
        <v>3</v>
      </c>
      <c r="U852" s="1">
        <v>-34.31521</v>
      </c>
      <c r="V852" s="3">
        <v>150.918701</v>
      </c>
    </row>
    <row r="853" spans="1:22" x14ac:dyDescent="0.35">
      <c r="A853" s="22" t="s">
        <v>2674</v>
      </c>
      <c r="B853" s="1" t="s">
        <v>2675</v>
      </c>
      <c r="C853" s="1" t="s">
        <v>2676</v>
      </c>
      <c r="D853" s="1" t="s">
        <v>489</v>
      </c>
      <c r="E853" s="1" t="s">
        <v>56</v>
      </c>
      <c r="F853" s="1" t="s">
        <v>47</v>
      </c>
      <c r="G853" s="1">
        <f t="shared" si="65"/>
        <v>1</v>
      </c>
      <c r="H853" s="1" t="s">
        <v>58</v>
      </c>
      <c r="I853" s="1" t="s">
        <v>49</v>
      </c>
      <c r="J853" s="23" t="s">
        <v>50</v>
      </c>
      <c r="K853" s="2" t="s">
        <v>51</v>
      </c>
      <c r="L853" s="1">
        <v>826</v>
      </c>
      <c r="M853" s="1">
        <v>17</v>
      </c>
      <c r="N853" s="1" t="str">
        <f t="shared" si="68"/>
        <v>Published</v>
      </c>
      <c r="O853" s="1">
        <f t="shared" si="66"/>
        <v>140.42000000000002</v>
      </c>
      <c r="P853" s="1">
        <v>14</v>
      </c>
      <c r="Q853" s="1">
        <v>974</v>
      </c>
      <c r="R853" s="1" t="str">
        <f t="shared" si="69"/>
        <v>2</v>
      </c>
      <c r="S853" s="1">
        <v>108</v>
      </c>
      <c r="T853" s="1" t="str">
        <f t="shared" si="67"/>
        <v>4</v>
      </c>
      <c r="U853" s="1">
        <v>-32.779381000000001</v>
      </c>
      <c r="V853" s="3">
        <v>151.639454</v>
      </c>
    </row>
    <row r="854" spans="1:22" x14ac:dyDescent="0.35">
      <c r="A854" s="22" t="s">
        <v>2677</v>
      </c>
      <c r="B854" s="1" t="s">
        <v>2678</v>
      </c>
      <c r="C854" s="1" t="s">
        <v>2679</v>
      </c>
      <c r="D854" s="1" t="s">
        <v>95</v>
      </c>
      <c r="E854" s="1" t="s">
        <v>96</v>
      </c>
      <c r="F854" s="1" t="s">
        <v>57</v>
      </c>
      <c r="G854" s="1">
        <f t="shared" si="65"/>
        <v>2</v>
      </c>
      <c r="H854" s="1" t="s">
        <v>70</v>
      </c>
      <c r="I854" s="1" t="s">
        <v>49</v>
      </c>
      <c r="J854" s="23" t="s">
        <v>50</v>
      </c>
      <c r="K854" s="2" t="s">
        <v>51</v>
      </c>
      <c r="L854" s="1">
        <v>573</v>
      </c>
      <c r="M854" s="1">
        <v>11</v>
      </c>
      <c r="N854" s="1" t="str">
        <f t="shared" si="68"/>
        <v>Published</v>
      </c>
      <c r="O854" s="1">
        <f t="shared" si="66"/>
        <v>63.03</v>
      </c>
      <c r="P854" s="1">
        <v>14</v>
      </c>
      <c r="Q854" s="1">
        <v>990</v>
      </c>
      <c r="R854" s="1" t="str">
        <f t="shared" si="69"/>
        <v>2</v>
      </c>
      <c r="S854" s="1">
        <v>91</v>
      </c>
      <c r="T854" s="1" t="str">
        <f t="shared" si="67"/>
        <v>3</v>
      </c>
      <c r="U854" s="1">
        <v>-36.047283</v>
      </c>
      <c r="V854" s="3">
        <v>146.98328900000001</v>
      </c>
    </row>
    <row r="855" spans="1:22" x14ac:dyDescent="0.35">
      <c r="A855" s="22" t="s">
        <v>2680</v>
      </c>
      <c r="B855" s="1" t="s">
        <v>2681</v>
      </c>
      <c r="C855" s="1" t="s">
        <v>2682</v>
      </c>
      <c r="D855" s="1" t="s">
        <v>1215</v>
      </c>
      <c r="E855" s="1" t="s">
        <v>102</v>
      </c>
      <c r="F855" s="1" t="s">
        <v>544</v>
      </c>
      <c r="G855" s="1">
        <f t="shared" si="65"/>
        <v>5</v>
      </c>
      <c r="H855" s="1" t="s">
        <v>70</v>
      </c>
      <c r="I855" s="1" t="s">
        <v>49</v>
      </c>
      <c r="J855" s="23" t="s">
        <v>50</v>
      </c>
      <c r="K855" s="2" t="s">
        <v>51</v>
      </c>
      <c r="L855" s="1">
        <v>4</v>
      </c>
      <c r="M855" s="1"/>
      <c r="N855" s="1" t="str">
        <f t="shared" si="68"/>
        <v>Suppressed</v>
      </c>
      <c r="O855" s="1" t="str">
        <f t="shared" si="66"/>
        <v/>
      </c>
      <c r="P855" s="1">
        <v>0</v>
      </c>
      <c r="Q855" s="1"/>
      <c r="R855" s="1" t="str">
        <f t="shared" si="69"/>
        <v>No ICSEA</v>
      </c>
      <c r="S855" s="1">
        <v>84</v>
      </c>
      <c r="T855" s="1" t="str">
        <f t="shared" si="67"/>
        <v>1</v>
      </c>
      <c r="U855" s="1">
        <v>-29.432133</v>
      </c>
      <c r="V855" s="3">
        <v>142.010166</v>
      </c>
    </row>
    <row r="856" spans="1:22" x14ac:dyDescent="0.35">
      <c r="A856" s="22" t="s">
        <v>2683</v>
      </c>
      <c r="B856" s="1" t="s">
        <v>2684</v>
      </c>
      <c r="C856" s="1" t="s">
        <v>2685</v>
      </c>
      <c r="D856" s="1" t="s">
        <v>74</v>
      </c>
      <c r="E856" s="1" t="s">
        <v>75</v>
      </c>
      <c r="F856" s="1" t="s">
        <v>47</v>
      </c>
      <c r="G856" s="1">
        <f t="shared" si="65"/>
        <v>1</v>
      </c>
      <c r="H856" s="1" t="s">
        <v>63</v>
      </c>
      <c r="I856" s="1" t="s">
        <v>49</v>
      </c>
      <c r="J856" s="23" t="s">
        <v>50</v>
      </c>
      <c r="K856" s="2" t="s">
        <v>51</v>
      </c>
      <c r="L856" s="1">
        <v>358</v>
      </c>
      <c r="M856" s="1">
        <v>6</v>
      </c>
      <c r="N856" s="1" t="str">
        <f t="shared" si="68"/>
        <v>Published</v>
      </c>
      <c r="O856" s="1">
        <f t="shared" si="66"/>
        <v>21.48</v>
      </c>
      <c r="P856" s="1">
        <v>17</v>
      </c>
      <c r="Q856" s="1">
        <v>1104</v>
      </c>
      <c r="R856" s="1" t="str">
        <f t="shared" si="69"/>
        <v>4</v>
      </c>
      <c r="S856" s="1">
        <v>36</v>
      </c>
      <c r="T856" s="1" t="str">
        <f t="shared" si="67"/>
        <v>3</v>
      </c>
      <c r="U856" s="1">
        <v>-32.908099</v>
      </c>
      <c r="V856" s="3">
        <v>151.75125399999999</v>
      </c>
    </row>
    <row r="857" spans="1:22" x14ac:dyDescent="0.35">
      <c r="A857" s="22" t="s">
        <v>2686</v>
      </c>
      <c r="B857" s="1" t="s">
        <v>2687</v>
      </c>
      <c r="C857" s="1" t="s">
        <v>2688</v>
      </c>
      <c r="D857" s="1" t="s">
        <v>288</v>
      </c>
      <c r="E857" s="1" t="s">
        <v>68</v>
      </c>
      <c r="F857" s="1" t="s">
        <v>69</v>
      </c>
      <c r="G857" s="1">
        <f t="shared" si="65"/>
        <v>3</v>
      </c>
      <c r="H857" s="1" t="s">
        <v>86</v>
      </c>
      <c r="I857" s="1" t="s">
        <v>49</v>
      </c>
      <c r="J857" s="23" t="s">
        <v>50</v>
      </c>
      <c r="K857" s="2" t="s">
        <v>51</v>
      </c>
      <c r="L857" s="1">
        <v>55</v>
      </c>
      <c r="M857" s="1"/>
      <c r="N857" s="1" t="str">
        <f t="shared" si="68"/>
        <v>Suppressed</v>
      </c>
      <c r="O857" s="1" t="str">
        <f t="shared" si="66"/>
        <v/>
      </c>
      <c r="P857" s="1"/>
      <c r="Q857" s="1">
        <v>1026</v>
      </c>
      <c r="R857" s="1" t="str">
        <f t="shared" si="69"/>
        <v>3</v>
      </c>
      <c r="S857" s="1">
        <v>71</v>
      </c>
      <c r="T857" s="1" t="str">
        <f t="shared" si="67"/>
        <v>1</v>
      </c>
      <c r="U857" s="1">
        <v>-36.315663999999998</v>
      </c>
      <c r="V857" s="3">
        <v>150.07194000000001</v>
      </c>
    </row>
    <row r="858" spans="1:22" x14ac:dyDescent="0.35">
      <c r="A858" s="22" t="s">
        <v>2689</v>
      </c>
      <c r="B858" s="1" t="s">
        <v>2690</v>
      </c>
      <c r="C858" s="1" t="s">
        <v>2691</v>
      </c>
      <c r="D858" s="1" t="s">
        <v>159</v>
      </c>
      <c r="E858" s="1" t="s">
        <v>91</v>
      </c>
      <c r="F858" s="1" t="s">
        <v>69</v>
      </c>
      <c r="G858" s="1">
        <f t="shared" si="65"/>
        <v>3</v>
      </c>
      <c r="H858" s="1" t="s">
        <v>92</v>
      </c>
      <c r="I858" s="1" t="s">
        <v>49</v>
      </c>
      <c r="J858" s="23" t="s">
        <v>50</v>
      </c>
      <c r="K858" s="2" t="s">
        <v>51</v>
      </c>
      <c r="L858" s="1">
        <v>28</v>
      </c>
      <c r="M858" s="1">
        <v>89</v>
      </c>
      <c r="N858" s="1" t="str">
        <f t="shared" si="68"/>
        <v>Published</v>
      </c>
      <c r="O858" s="1">
        <f t="shared" si="66"/>
        <v>24.92</v>
      </c>
      <c r="P858" s="1"/>
      <c r="Q858" s="1">
        <v>714</v>
      </c>
      <c r="R858" s="1" t="str">
        <f t="shared" si="69"/>
        <v>1</v>
      </c>
      <c r="S858" s="1">
        <v>181</v>
      </c>
      <c r="T858" s="1" t="str">
        <f t="shared" si="67"/>
        <v>1</v>
      </c>
      <c r="U858" s="1">
        <v>-29.959144999999999</v>
      </c>
      <c r="V858" s="3">
        <v>151.213606</v>
      </c>
    </row>
    <row r="859" spans="1:22" x14ac:dyDescent="0.35">
      <c r="A859" s="22" t="s">
        <v>2692</v>
      </c>
      <c r="B859" s="1" t="s">
        <v>2693</v>
      </c>
      <c r="C859" s="1" t="s">
        <v>2694</v>
      </c>
      <c r="D859" s="1" t="s">
        <v>275</v>
      </c>
      <c r="E859" s="1" t="s">
        <v>276</v>
      </c>
      <c r="F859" s="1" t="s">
        <v>57</v>
      </c>
      <c r="G859" s="1">
        <f t="shared" si="65"/>
        <v>2</v>
      </c>
      <c r="H859" s="1" t="s">
        <v>58</v>
      </c>
      <c r="I859" s="1" t="s">
        <v>49</v>
      </c>
      <c r="J859" s="23" t="s">
        <v>50</v>
      </c>
      <c r="K859" s="2" t="s">
        <v>51</v>
      </c>
      <c r="L859" s="1">
        <v>158</v>
      </c>
      <c r="M859" s="1">
        <v>23</v>
      </c>
      <c r="N859" s="1" t="str">
        <f t="shared" si="68"/>
        <v>Published</v>
      </c>
      <c r="O859" s="1">
        <f t="shared" si="66"/>
        <v>36.340000000000003</v>
      </c>
      <c r="P859" s="1">
        <v>4</v>
      </c>
      <c r="Q859" s="1">
        <v>948</v>
      </c>
      <c r="R859" s="1" t="str">
        <f t="shared" si="69"/>
        <v>2</v>
      </c>
      <c r="S859" s="1">
        <v>109</v>
      </c>
      <c r="T859" s="1" t="str">
        <f t="shared" si="67"/>
        <v>2</v>
      </c>
      <c r="U859" s="1">
        <v>-31.932855</v>
      </c>
      <c r="V859" s="3">
        <v>152.413577</v>
      </c>
    </row>
    <row r="860" spans="1:22" x14ac:dyDescent="0.35">
      <c r="A860" s="22" t="s">
        <v>2695</v>
      </c>
      <c r="B860" s="1" t="s">
        <v>2696</v>
      </c>
      <c r="C860" s="1" t="s">
        <v>2697</v>
      </c>
      <c r="D860" s="1" t="s">
        <v>90</v>
      </c>
      <c r="E860" s="1" t="s">
        <v>91</v>
      </c>
      <c r="F860" s="1" t="s">
        <v>57</v>
      </c>
      <c r="G860" s="1">
        <f t="shared" si="65"/>
        <v>2</v>
      </c>
      <c r="H860" s="1" t="s">
        <v>92</v>
      </c>
      <c r="I860" s="1" t="s">
        <v>49</v>
      </c>
      <c r="J860" s="23" t="s">
        <v>50</v>
      </c>
      <c r="K860" s="2" t="s">
        <v>51</v>
      </c>
      <c r="L860" s="1">
        <v>113</v>
      </c>
      <c r="M860" s="1">
        <v>19</v>
      </c>
      <c r="N860" s="1" t="str">
        <f t="shared" si="68"/>
        <v>Published</v>
      </c>
      <c r="O860" s="1">
        <f t="shared" si="66"/>
        <v>21.47</v>
      </c>
      <c r="P860" s="1"/>
      <c r="Q860" s="1">
        <v>973</v>
      </c>
      <c r="R860" s="1" t="str">
        <f t="shared" si="69"/>
        <v>2</v>
      </c>
      <c r="S860" s="1">
        <v>99</v>
      </c>
      <c r="T860" s="1" t="str">
        <f t="shared" si="67"/>
        <v>2</v>
      </c>
      <c r="U860" s="1">
        <v>-31.085664999999999</v>
      </c>
      <c r="V860" s="3">
        <v>151.00842700000001</v>
      </c>
    </row>
    <row r="861" spans="1:22" x14ac:dyDescent="0.35">
      <c r="A861" s="22" t="s">
        <v>2698</v>
      </c>
      <c r="B861" s="1" t="s">
        <v>2699</v>
      </c>
      <c r="C861" s="1" t="s">
        <v>2700</v>
      </c>
      <c r="D861" s="1" t="s">
        <v>268</v>
      </c>
      <c r="E861" s="1" t="s">
        <v>96</v>
      </c>
      <c r="F861" s="1" t="s">
        <v>57</v>
      </c>
      <c r="G861" s="1">
        <f t="shared" si="65"/>
        <v>2</v>
      </c>
      <c r="H861" s="1" t="s">
        <v>70</v>
      </c>
      <c r="I861" s="1" t="s">
        <v>49</v>
      </c>
      <c r="J861" s="23" t="s">
        <v>50</v>
      </c>
      <c r="K861" s="2" t="s">
        <v>51</v>
      </c>
      <c r="L861" s="1">
        <v>154</v>
      </c>
      <c r="M861" s="1">
        <v>5</v>
      </c>
      <c r="N861" s="1" t="str">
        <f t="shared" si="68"/>
        <v>Published</v>
      </c>
      <c r="O861" s="1">
        <f t="shared" si="66"/>
        <v>7.7</v>
      </c>
      <c r="P861" s="1">
        <v>5</v>
      </c>
      <c r="Q861" s="1">
        <v>1002</v>
      </c>
      <c r="R861" s="1" t="str">
        <f t="shared" si="69"/>
        <v>3</v>
      </c>
      <c r="S861" s="1">
        <v>102</v>
      </c>
      <c r="T861" s="1" t="str">
        <f t="shared" si="67"/>
        <v>2</v>
      </c>
      <c r="U861" s="1">
        <v>-35.813862</v>
      </c>
      <c r="V861" s="3">
        <v>145.56885</v>
      </c>
    </row>
    <row r="862" spans="1:22" x14ac:dyDescent="0.35">
      <c r="A862" s="22" t="s">
        <v>2701</v>
      </c>
      <c r="B862" s="1" t="s">
        <v>2702</v>
      </c>
      <c r="C862" s="1" t="s">
        <v>2703</v>
      </c>
      <c r="D862" s="1" t="s">
        <v>382</v>
      </c>
      <c r="E862" s="1" t="s">
        <v>196</v>
      </c>
      <c r="F862" s="1" t="s">
        <v>57</v>
      </c>
      <c r="G862" s="1">
        <f t="shared" si="65"/>
        <v>2</v>
      </c>
      <c r="H862" s="1" t="s">
        <v>86</v>
      </c>
      <c r="I862" s="1" t="s">
        <v>49</v>
      </c>
      <c r="J862" s="23" t="s">
        <v>50</v>
      </c>
      <c r="K862" s="2" t="s">
        <v>51</v>
      </c>
      <c r="L862" s="1">
        <v>116</v>
      </c>
      <c r="M862" s="1">
        <v>15</v>
      </c>
      <c r="N862" s="1" t="str">
        <f t="shared" si="68"/>
        <v>Published</v>
      </c>
      <c r="O862" s="1">
        <f t="shared" si="66"/>
        <v>17.399999999999999</v>
      </c>
      <c r="P862" s="1">
        <v>5</v>
      </c>
      <c r="Q862" s="1">
        <v>973</v>
      </c>
      <c r="R862" s="1" t="str">
        <f t="shared" si="69"/>
        <v>2</v>
      </c>
      <c r="S862" s="1">
        <v>102</v>
      </c>
      <c r="T862" s="1" t="str">
        <f t="shared" si="67"/>
        <v>2</v>
      </c>
      <c r="U862" s="1">
        <v>-35.054972999999997</v>
      </c>
      <c r="V862" s="3">
        <v>150.58718200000001</v>
      </c>
    </row>
    <row r="863" spans="1:22" x14ac:dyDescent="0.35">
      <c r="A863" s="22" t="s">
        <v>2704</v>
      </c>
      <c r="B863" s="1" t="s">
        <v>2705</v>
      </c>
      <c r="C863" s="1" t="s">
        <v>2706</v>
      </c>
      <c r="D863" s="1" t="s">
        <v>252</v>
      </c>
      <c r="E863" s="1" t="s">
        <v>96</v>
      </c>
      <c r="F863" s="1" t="s">
        <v>69</v>
      </c>
      <c r="G863" s="1">
        <f t="shared" si="65"/>
        <v>3</v>
      </c>
      <c r="H863" s="1" t="s">
        <v>70</v>
      </c>
      <c r="I863" s="1" t="s">
        <v>132</v>
      </c>
      <c r="J863" s="23" t="s">
        <v>50</v>
      </c>
      <c r="K863" s="2" t="s">
        <v>51</v>
      </c>
      <c r="L863" s="1">
        <v>117.9</v>
      </c>
      <c r="M863" s="1">
        <v>19</v>
      </c>
      <c r="N863" s="1" t="str">
        <f t="shared" si="68"/>
        <v>Published</v>
      </c>
      <c r="O863" s="1">
        <f t="shared" si="66"/>
        <v>22.401</v>
      </c>
      <c r="P863" s="1">
        <v>6</v>
      </c>
      <c r="Q863" s="1">
        <v>902</v>
      </c>
      <c r="R863" s="1" t="str">
        <f t="shared" si="69"/>
        <v>2</v>
      </c>
      <c r="S863" s="1">
        <v>146</v>
      </c>
      <c r="T863" s="1" t="str">
        <f t="shared" si="67"/>
        <v>2</v>
      </c>
      <c r="U863" s="1">
        <v>-35.026575000000001</v>
      </c>
      <c r="V863" s="3">
        <v>143.33805799999999</v>
      </c>
    </row>
    <row r="864" spans="1:22" x14ac:dyDescent="0.35">
      <c r="A864" s="22" t="s">
        <v>2707</v>
      </c>
      <c r="B864" s="1" t="s">
        <v>2708</v>
      </c>
      <c r="C864" s="1" t="s">
        <v>2709</v>
      </c>
      <c r="D864" s="1" t="s">
        <v>220</v>
      </c>
      <c r="E864" s="1" t="s">
        <v>107</v>
      </c>
      <c r="F864" s="1" t="s">
        <v>57</v>
      </c>
      <c r="G864" s="1">
        <f t="shared" si="65"/>
        <v>2</v>
      </c>
      <c r="H864" s="1" t="s">
        <v>92</v>
      </c>
      <c r="I864" s="1" t="s">
        <v>49</v>
      </c>
      <c r="J864" s="23" t="s">
        <v>50</v>
      </c>
      <c r="K864" s="2" t="s">
        <v>51</v>
      </c>
      <c r="L864" s="1">
        <v>88</v>
      </c>
      <c r="M864" s="1">
        <v>7</v>
      </c>
      <c r="N864" s="1" t="str">
        <f t="shared" si="68"/>
        <v>Published</v>
      </c>
      <c r="O864" s="1">
        <f t="shared" si="66"/>
        <v>6.16</v>
      </c>
      <c r="P864" s="1">
        <v>38</v>
      </c>
      <c r="Q864" s="1">
        <v>1016</v>
      </c>
      <c r="R864" s="1" t="str">
        <f t="shared" si="69"/>
        <v>3</v>
      </c>
      <c r="S864" s="1">
        <v>71</v>
      </c>
      <c r="T864" s="1" t="str">
        <f t="shared" si="67"/>
        <v>1</v>
      </c>
      <c r="U864" s="1">
        <v>-28.498479</v>
      </c>
      <c r="V864" s="3">
        <v>153.41240999999999</v>
      </c>
    </row>
    <row r="865" spans="1:22" x14ac:dyDescent="0.35">
      <c r="A865" s="22" t="s">
        <v>2710</v>
      </c>
      <c r="B865" s="1" t="s">
        <v>2711</v>
      </c>
      <c r="C865" s="1" t="s">
        <v>481</v>
      </c>
      <c r="D865" s="1" t="s">
        <v>482</v>
      </c>
      <c r="E865" s="1" t="s">
        <v>91</v>
      </c>
      <c r="F865" s="1" t="s">
        <v>69</v>
      </c>
      <c r="G865" s="1">
        <f t="shared" si="65"/>
        <v>3</v>
      </c>
      <c r="H865" s="1" t="s">
        <v>86</v>
      </c>
      <c r="I865" s="1" t="s">
        <v>49</v>
      </c>
      <c r="J865" s="23" t="s">
        <v>50</v>
      </c>
      <c r="K865" s="2" t="s">
        <v>51</v>
      </c>
      <c r="L865" s="1">
        <v>41</v>
      </c>
      <c r="M865" s="1">
        <v>100</v>
      </c>
      <c r="N865" s="1" t="str">
        <f t="shared" si="68"/>
        <v>Published</v>
      </c>
      <c r="O865" s="1">
        <f t="shared" si="66"/>
        <v>41</v>
      </c>
      <c r="P865" s="1">
        <v>100</v>
      </c>
      <c r="Q865" s="1">
        <v>625</v>
      </c>
      <c r="R865" s="1" t="str">
        <f t="shared" si="69"/>
        <v>1</v>
      </c>
      <c r="S865" s="1">
        <v>268</v>
      </c>
      <c r="T865" s="1" t="str">
        <f t="shared" si="67"/>
        <v>1</v>
      </c>
      <c r="U865" s="1">
        <v>-28.670902999999999</v>
      </c>
      <c r="V865" s="3">
        <v>150.47895199999999</v>
      </c>
    </row>
    <row r="866" spans="1:22" x14ac:dyDescent="0.35">
      <c r="A866" s="22" t="s">
        <v>2712</v>
      </c>
      <c r="B866" s="1" t="s">
        <v>2713</v>
      </c>
      <c r="C866" s="1" t="s">
        <v>2714</v>
      </c>
      <c r="D866" s="1" t="s">
        <v>642</v>
      </c>
      <c r="E866" s="1" t="s">
        <v>170</v>
      </c>
      <c r="F866" s="1" t="s">
        <v>47</v>
      </c>
      <c r="G866" s="1">
        <f t="shared" si="65"/>
        <v>1</v>
      </c>
      <c r="H866" s="1" t="s">
        <v>48</v>
      </c>
      <c r="I866" s="1" t="s">
        <v>49</v>
      </c>
      <c r="J866" s="23" t="s">
        <v>50</v>
      </c>
      <c r="K866" s="2" t="s">
        <v>51</v>
      </c>
      <c r="L866" s="1">
        <v>381</v>
      </c>
      <c r="M866" s="1">
        <v>3</v>
      </c>
      <c r="N866" s="1" t="str">
        <f t="shared" si="68"/>
        <v>Published</v>
      </c>
      <c r="O866" s="1">
        <f t="shared" si="66"/>
        <v>11.43</v>
      </c>
      <c r="P866" s="1">
        <v>56</v>
      </c>
      <c r="Q866" s="1">
        <v>1063</v>
      </c>
      <c r="R866" s="1" t="str">
        <f t="shared" si="69"/>
        <v>3</v>
      </c>
      <c r="S866" s="1">
        <v>59</v>
      </c>
      <c r="T866" s="1" t="str">
        <f t="shared" si="67"/>
        <v>3</v>
      </c>
      <c r="U866" s="1">
        <v>-33.787180999999997</v>
      </c>
      <c r="V866" s="3">
        <v>150.966667</v>
      </c>
    </row>
    <row r="867" spans="1:22" x14ac:dyDescent="0.35">
      <c r="A867" s="22" t="s">
        <v>2715</v>
      </c>
      <c r="B867" s="1" t="s">
        <v>2716</v>
      </c>
      <c r="C867" s="1" t="s">
        <v>2717</v>
      </c>
      <c r="D867" s="1" t="s">
        <v>1267</v>
      </c>
      <c r="E867" s="1" t="s">
        <v>102</v>
      </c>
      <c r="F867" s="1" t="s">
        <v>69</v>
      </c>
      <c r="G867" s="1">
        <f t="shared" si="65"/>
        <v>3</v>
      </c>
      <c r="H867" s="1" t="s">
        <v>92</v>
      </c>
      <c r="I867" s="1" t="s">
        <v>49</v>
      </c>
      <c r="J867" s="23" t="s">
        <v>50</v>
      </c>
      <c r="K867" s="2" t="s">
        <v>51</v>
      </c>
      <c r="L867" s="1">
        <v>23</v>
      </c>
      <c r="M867" s="1"/>
      <c r="N867" s="1" t="str">
        <f t="shared" si="68"/>
        <v>Suppressed</v>
      </c>
      <c r="O867" s="1" t="str">
        <f t="shared" si="66"/>
        <v/>
      </c>
      <c r="P867" s="1"/>
      <c r="Q867" s="1">
        <v>947</v>
      </c>
      <c r="R867" s="1" t="str">
        <f t="shared" si="69"/>
        <v>2</v>
      </c>
      <c r="S867" s="1">
        <v>94</v>
      </c>
      <c r="T867" s="1" t="str">
        <f t="shared" si="67"/>
        <v>1</v>
      </c>
      <c r="U867" s="1">
        <v>-31.434763</v>
      </c>
      <c r="V867" s="3">
        <v>148.912216</v>
      </c>
    </row>
    <row r="868" spans="1:22" x14ac:dyDescent="0.35">
      <c r="A868" s="22" t="s">
        <v>2718</v>
      </c>
      <c r="B868" s="1" t="s">
        <v>2719</v>
      </c>
      <c r="C868" s="1" t="s">
        <v>2720</v>
      </c>
      <c r="D868" s="1" t="s">
        <v>191</v>
      </c>
      <c r="E868" s="1" t="s">
        <v>75</v>
      </c>
      <c r="F868" s="1" t="s">
        <v>47</v>
      </c>
      <c r="G868" s="1">
        <f t="shared" si="65"/>
        <v>1</v>
      </c>
      <c r="H868" s="1" t="s">
        <v>63</v>
      </c>
      <c r="I868" s="1" t="s">
        <v>49</v>
      </c>
      <c r="J868" s="23" t="s">
        <v>50</v>
      </c>
      <c r="K868" s="2" t="s">
        <v>51</v>
      </c>
      <c r="L868" s="1">
        <v>201</v>
      </c>
      <c r="M868" s="1">
        <v>31</v>
      </c>
      <c r="N868" s="1" t="str">
        <f t="shared" si="68"/>
        <v>Published</v>
      </c>
      <c r="O868" s="1">
        <f t="shared" si="66"/>
        <v>62.31</v>
      </c>
      <c r="P868" s="1">
        <v>10</v>
      </c>
      <c r="Q868" s="1">
        <v>910</v>
      </c>
      <c r="R868" s="1" t="str">
        <f t="shared" si="69"/>
        <v>2</v>
      </c>
      <c r="S868" s="1">
        <v>126</v>
      </c>
      <c r="T868" s="1" t="str">
        <f t="shared" si="67"/>
        <v>2</v>
      </c>
      <c r="U868" s="1">
        <v>-33.00826</v>
      </c>
      <c r="V868" s="3">
        <v>151.59477799999999</v>
      </c>
    </row>
    <row r="869" spans="1:22" x14ac:dyDescent="0.35">
      <c r="A869" s="22" t="s">
        <v>2721</v>
      </c>
      <c r="B869" s="1" t="s">
        <v>2722</v>
      </c>
      <c r="C869" s="1" t="s">
        <v>2723</v>
      </c>
      <c r="D869" s="1" t="s">
        <v>860</v>
      </c>
      <c r="E869" s="1" t="s">
        <v>261</v>
      </c>
      <c r="F869" s="1" t="s">
        <v>241</v>
      </c>
      <c r="G869" s="1">
        <f t="shared" si="65"/>
        <v>4</v>
      </c>
      <c r="H869" s="1" t="s">
        <v>70</v>
      </c>
      <c r="I869" s="1" t="s">
        <v>132</v>
      </c>
      <c r="J869" s="23" t="s">
        <v>50</v>
      </c>
      <c r="K869" s="2" t="s">
        <v>51</v>
      </c>
      <c r="L869" s="1">
        <v>71</v>
      </c>
      <c r="M869" s="1">
        <v>17</v>
      </c>
      <c r="N869" s="1" t="str">
        <f t="shared" si="68"/>
        <v>Published</v>
      </c>
      <c r="O869" s="1">
        <f t="shared" si="66"/>
        <v>12.07</v>
      </c>
      <c r="P869" s="1">
        <v>9</v>
      </c>
      <c r="Q869" s="1">
        <v>930</v>
      </c>
      <c r="R869" s="1" t="str">
        <f t="shared" si="69"/>
        <v>2</v>
      </c>
      <c r="S869" s="1">
        <v>101</v>
      </c>
      <c r="T869" s="1" t="str">
        <f t="shared" si="67"/>
        <v>1</v>
      </c>
      <c r="U869" s="1">
        <v>-32.245635</v>
      </c>
      <c r="V869" s="3">
        <v>147.35210000000001</v>
      </c>
    </row>
    <row r="870" spans="1:22" x14ac:dyDescent="0.35">
      <c r="A870" s="22" t="s">
        <v>2724</v>
      </c>
      <c r="B870" s="1" t="s">
        <v>2725</v>
      </c>
      <c r="C870" s="1" t="s">
        <v>2726</v>
      </c>
      <c r="D870" s="1" t="s">
        <v>186</v>
      </c>
      <c r="E870" s="1" t="s">
        <v>187</v>
      </c>
      <c r="F870" s="1" t="s">
        <v>47</v>
      </c>
      <c r="G870" s="1">
        <f t="shared" si="65"/>
        <v>1</v>
      </c>
      <c r="H870" s="1" t="s">
        <v>63</v>
      </c>
      <c r="I870" s="1" t="s">
        <v>49</v>
      </c>
      <c r="J870" s="23" t="s">
        <v>50</v>
      </c>
      <c r="K870" s="2" t="s">
        <v>51</v>
      </c>
      <c r="L870" s="1">
        <v>494</v>
      </c>
      <c r="M870" s="1">
        <v>28</v>
      </c>
      <c r="N870" s="1" t="str">
        <f t="shared" si="68"/>
        <v>Published</v>
      </c>
      <c r="O870" s="1">
        <f t="shared" si="66"/>
        <v>138.32000000000002</v>
      </c>
      <c r="P870" s="1">
        <v>8</v>
      </c>
      <c r="Q870" s="1">
        <v>889</v>
      </c>
      <c r="R870" s="1" t="str">
        <f t="shared" si="69"/>
        <v>1</v>
      </c>
      <c r="S870" s="1">
        <v>145</v>
      </c>
      <c r="T870" s="1" t="str">
        <f t="shared" si="67"/>
        <v>3</v>
      </c>
      <c r="U870" s="1">
        <v>-33.267795</v>
      </c>
      <c r="V870" s="3">
        <v>151.550307</v>
      </c>
    </row>
    <row r="871" spans="1:22" x14ac:dyDescent="0.35">
      <c r="A871" s="22" t="s">
        <v>2727</v>
      </c>
      <c r="B871" s="1" t="s">
        <v>2728</v>
      </c>
      <c r="C871" s="1" t="s">
        <v>2729</v>
      </c>
      <c r="D871" s="1" t="s">
        <v>314</v>
      </c>
      <c r="E871" s="1" t="s">
        <v>68</v>
      </c>
      <c r="F871" s="1" t="s">
        <v>69</v>
      </c>
      <c r="G871" s="1">
        <f t="shared" si="65"/>
        <v>3</v>
      </c>
      <c r="H871" s="1" t="s">
        <v>70</v>
      </c>
      <c r="I871" s="1" t="s">
        <v>49</v>
      </c>
      <c r="J871" s="23" t="s">
        <v>50</v>
      </c>
      <c r="K871" s="2" t="s">
        <v>51</v>
      </c>
      <c r="L871" s="1">
        <v>23</v>
      </c>
      <c r="M871" s="1"/>
      <c r="N871" s="1" t="str">
        <f t="shared" si="68"/>
        <v>Suppressed</v>
      </c>
      <c r="O871" s="1" t="str">
        <f t="shared" si="66"/>
        <v/>
      </c>
      <c r="P871" s="1"/>
      <c r="Q871" s="1">
        <v>958</v>
      </c>
      <c r="R871" s="1" t="str">
        <f t="shared" si="69"/>
        <v>2</v>
      </c>
      <c r="S871" s="1">
        <v>142</v>
      </c>
      <c r="T871" s="1" t="str">
        <f t="shared" si="67"/>
        <v>1</v>
      </c>
      <c r="U871" s="1">
        <v>-37.084209000000001</v>
      </c>
      <c r="V871" s="3">
        <v>149.69515799999999</v>
      </c>
    </row>
    <row r="872" spans="1:22" x14ac:dyDescent="0.35">
      <c r="A872" s="22" t="s">
        <v>2730</v>
      </c>
      <c r="B872" s="1" t="s">
        <v>2731</v>
      </c>
      <c r="C872" s="1" t="s">
        <v>2732</v>
      </c>
      <c r="D872" s="1" t="s">
        <v>2121</v>
      </c>
      <c r="E872" s="1" t="s">
        <v>102</v>
      </c>
      <c r="F872" s="1" t="s">
        <v>69</v>
      </c>
      <c r="G872" s="1">
        <f t="shared" si="65"/>
        <v>3</v>
      </c>
      <c r="H872" s="1" t="s">
        <v>58</v>
      </c>
      <c r="I872" s="1" t="s">
        <v>132</v>
      </c>
      <c r="J872" s="23" t="s">
        <v>50</v>
      </c>
      <c r="K872" s="2" t="s">
        <v>51</v>
      </c>
      <c r="L872" s="1">
        <v>166.4</v>
      </c>
      <c r="M872" s="1">
        <v>49</v>
      </c>
      <c r="N872" s="1" t="str">
        <f t="shared" si="68"/>
        <v>Published</v>
      </c>
      <c r="O872" s="1">
        <f t="shared" si="66"/>
        <v>81.536000000000001</v>
      </c>
      <c r="P872" s="1">
        <v>5</v>
      </c>
      <c r="Q872" s="1">
        <v>852</v>
      </c>
      <c r="R872" s="1" t="str">
        <f t="shared" si="69"/>
        <v>1</v>
      </c>
      <c r="S872" s="1">
        <v>139</v>
      </c>
      <c r="T872" s="1" t="str">
        <f t="shared" si="67"/>
        <v>2</v>
      </c>
      <c r="U872" s="1">
        <v>-32.032544000000001</v>
      </c>
      <c r="V872" s="3">
        <v>147.97930500000001</v>
      </c>
    </row>
    <row r="873" spans="1:22" x14ac:dyDescent="0.35">
      <c r="A873" s="22" t="s">
        <v>2733</v>
      </c>
      <c r="B873" s="1" t="s">
        <v>2734</v>
      </c>
      <c r="C873" s="1" t="s">
        <v>2735</v>
      </c>
      <c r="D873" s="1" t="s">
        <v>390</v>
      </c>
      <c r="E873" s="1" t="s">
        <v>107</v>
      </c>
      <c r="F873" s="1" t="s">
        <v>57</v>
      </c>
      <c r="G873" s="1">
        <f t="shared" si="65"/>
        <v>2</v>
      </c>
      <c r="H873" s="1" t="s">
        <v>92</v>
      </c>
      <c r="I873" s="1" t="s">
        <v>49</v>
      </c>
      <c r="J873" s="23" t="s">
        <v>50</v>
      </c>
      <c r="K873" s="2" t="s">
        <v>51</v>
      </c>
      <c r="L873" s="1">
        <v>103</v>
      </c>
      <c r="M873" s="1">
        <v>16</v>
      </c>
      <c r="N873" s="1" t="str">
        <f t="shared" si="68"/>
        <v>Published</v>
      </c>
      <c r="O873" s="1">
        <f t="shared" si="66"/>
        <v>16.48</v>
      </c>
      <c r="P873" s="1">
        <v>9</v>
      </c>
      <c r="Q873" s="1">
        <v>993</v>
      </c>
      <c r="R873" s="1" t="str">
        <f t="shared" si="69"/>
        <v>2</v>
      </c>
      <c r="S873" s="1">
        <v>84</v>
      </c>
      <c r="T873" s="1" t="str">
        <f t="shared" si="67"/>
        <v>2</v>
      </c>
      <c r="U873" s="1">
        <v>-28.854095000000001</v>
      </c>
      <c r="V873" s="3">
        <v>153.354412</v>
      </c>
    </row>
    <row r="874" spans="1:22" x14ac:dyDescent="0.35">
      <c r="A874" s="22" t="s">
        <v>2736</v>
      </c>
      <c r="B874" s="1" t="s">
        <v>2737</v>
      </c>
      <c r="C874" s="1" t="s">
        <v>2738</v>
      </c>
      <c r="D874" s="1" t="s">
        <v>478</v>
      </c>
      <c r="E874" s="1" t="s">
        <v>261</v>
      </c>
      <c r="F874" s="1" t="s">
        <v>69</v>
      </c>
      <c r="G874" s="1">
        <f t="shared" si="65"/>
        <v>3</v>
      </c>
      <c r="H874" s="1" t="s">
        <v>70</v>
      </c>
      <c r="I874" s="1" t="s">
        <v>132</v>
      </c>
      <c r="J874" s="23" t="s">
        <v>50</v>
      </c>
      <c r="K874" s="2" t="s">
        <v>51</v>
      </c>
      <c r="L874" s="1">
        <v>98</v>
      </c>
      <c r="M874" s="1">
        <v>26</v>
      </c>
      <c r="N874" s="1" t="str">
        <f t="shared" si="68"/>
        <v>Published</v>
      </c>
      <c r="O874" s="1">
        <f t="shared" si="66"/>
        <v>25.48</v>
      </c>
      <c r="P874" s="1">
        <v>7</v>
      </c>
      <c r="Q874" s="1">
        <v>919</v>
      </c>
      <c r="R874" s="1" t="str">
        <f t="shared" si="69"/>
        <v>2</v>
      </c>
      <c r="S874" s="1">
        <v>127</v>
      </c>
      <c r="T874" s="1" t="str">
        <f t="shared" si="67"/>
        <v>1</v>
      </c>
      <c r="U874" s="1">
        <v>-32.925364999999999</v>
      </c>
      <c r="V874" s="3">
        <v>147.70919799999999</v>
      </c>
    </row>
    <row r="875" spans="1:22" x14ac:dyDescent="0.35">
      <c r="A875" s="22" t="s">
        <v>2739</v>
      </c>
      <c r="B875" s="1" t="s">
        <v>2740</v>
      </c>
      <c r="C875" s="1" t="s">
        <v>2741</v>
      </c>
      <c r="D875" s="1" t="s">
        <v>291</v>
      </c>
      <c r="E875" s="1" t="s">
        <v>261</v>
      </c>
      <c r="F875" s="1" t="s">
        <v>69</v>
      </c>
      <c r="G875" s="1">
        <f t="shared" si="65"/>
        <v>3</v>
      </c>
      <c r="H875" s="1" t="s">
        <v>58</v>
      </c>
      <c r="I875" s="1" t="s">
        <v>49</v>
      </c>
      <c r="J875" s="23" t="s">
        <v>50</v>
      </c>
      <c r="K875" s="2" t="s">
        <v>51</v>
      </c>
      <c r="L875" s="1">
        <v>14</v>
      </c>
      <c r="M875" s="1">
        <v>0</v>
      </c>
      <c r="N875" s="1" t="str">
        <f t="shared" si="68"/>
        <v>Published</v>
      </c>
      <c r="O875" s="1">
        <f t="shared" si="66"/>
        <v>0</v>
      </c>
      <c r="P875" s="1"/>
      <c r="Q875" s="1">
        <v>980</v>
      </c>
      <c r="R875" s="1" t="str">
        <f t="shared" si="69"/>
        <v>2</v>
      </c>
      <c r="S875" s="1">
        <v>122</v>
      </c>
      <c r="T875" s="1" t="str">
        <f t="shared" si="67"/>
        <v>1</v>
      </c>
      <c r="U875" s="1">
        <v>-33.816498000000003</v>
      </c>
      <c r="V875" s="3">
        <v>149.32625300000001</v>
      </c>
    </row>
    <row r="876" spans="1:22" x14ac:dyDescent="0.35">
      <c r="A876" s="22" t="s">
        <v>2742</v>
      </c>
      <c r="B876" s="1" t="s">
        <v>2743</v>
      </c>
      <c r="C876" s="1" t="s">
        <v>2744</v>
      </c>
      <c r="D876" s="1" t="s">
        <v>280</v>
      </c>
      <c r="E876" s="1" t="s">
        <v>281</v>
      </c>
      <c r="F876" s="1" t="s">
        <v>57</v>
      </c>
      <c r="G876" s="1">
        <f t="shared" si="65"/>
        <v>2</v>
      </c>
      <c r="H876" s="1" t="s">
        <v>92</v>
      </c>
      <c r="I876" s="1" t="s">
        <v>49</v>
      </c>
      <c r="J876" s="23" t="s">
        <v>50</v>
      </c>
      <c r="K876" s="2" t="s">
        <v>51</v>
      </c>
      <c r="L876" s="1">
        <v>32</v>
      </c>
      <c r="M876" s="1">
        <v>44</v>
      </c>
      <c r="N876" s="1" t="str">
        <f t="shared" si="68"/>
        <v>Published</v>
      </c>
      <c r="O876" s="1">
        <f t="shared" si="66"/>
        <v>14.08</v>
      </c>
      <c r="P876" s="1"/>
      <c r="Q876" s="1">
        <v>869</v>
      </c>
      <c r="R876" s="1" t="str">
        <f t="shared" si="69"/>
        <v>1</v>
      </c>
      <c r="S876" s="1">
        <v>125</v>
      </c>
      <c r="T876" s="1" t="str">
        <f t="shared" si="67"/>
        <v>1</v>
      </c>
      <c r="U876" s="1">
        <v>-29.666698</v>
      </c>
      <c r="V876" s="3">
        <v>153.10657499999999</v>
      </c>
    </row>
    <row r="877" spans="1:22" x14ac:dyDescent="0.35">
      <c r="A877" s="22" t="s">
        <v>2745</v>
      </c>
      <c r="B877" s="1" t="s">
        <v>2746</v>
      </c>
      <c r="C877" s="1" t="s">
        <v>2747</v>
      </c>
      <c r="D877" s="1" t="s">
        <v>186</v>
      </c>
      <c r="E877" s="1" t="s">
        <v>187</v>
      </c>
      <c r="F877" s="1" t="s">
        <v>47</v>
      </c>
      <c r="G877" s="1">
        <f t="shared" si="65"/>
        <v>1</v>
      </c>
      <c r="H877" s="1" t="s">
        <v>63</v>
      </c>
      <c r="I877" s="1" t="s">
        <v>49</v>
      </c>
      <c r="J877" s="23" t="s">
        <v>50</v>
      </c>
      <c r="K877" s="2" t="s">
        <v>51</v>
      </c>
      <c r="L877" s="1">
        <v>359</v>
      </c>
      <c r="M877" s="1">
        <v>13</v>
      </c>
      <c r="N877" s="1" t="str">
        <f t="shared" si="68"/>
        <v>Published</v>
      </c>
      <c r="O877" s="1">
        <f t="shared" si="66"/>
        <v>46.67</v>
      </c>
      <c r="P877" s="1">
        <v>21</v>
      </c>
      <c r="Q877" s="1">
        <v>993</v>
      </c>
      <c r="R877" s="1" t="str">
        <f t="shared" si="69"/>
        <v>2</v>
      </c>
      <c r="S877" s="1">
        <v>96</v>
      </c>
      <c r="T877" s="1" t="str">
        <f t="shared" si="67"/>
        <v>3</v>
      </c>
      <c r="U877" s="1">
        <v>-33.312998999999998</v>
      </c>
      <c r="V877" s="3">
        <v>151.415571</v>
      </c>
    </row>
    <row r="878" spans="1:22" x14ac:dyDescent="0.35">
      <c r="A878" s="22" t="s">
        <v>2748</v>
      </c>
      <c r="B878" s="1" t="s">
        <v>2749</v>
      </c>
      <c r="C878" s="1" t="s">
        <v>2750</v>
      </c>
      <c r="D878" s="1" t="s">
        <v>478</v>
      </c>
      <c r="E878" s="1" t="s">
        <v>261</v>
      </c>
      <c r="F878" s="1" t="s">
        <v>69</v>
      </c>
      <c r="G878" s="1">
        <f t="shared" si="65"/>
        <v>3</v>
      </c>
      <c r="H878" s="1" t="s">
        <v>70</v>
      </c>
      <c r="I878" s="1" t="s">
        <v>132</v>
      </c>
      <c r="J878" s="23" t="s">
        <v>50</v>
      </c>
      <c r="K878" s="2" t="s">
        <v>51</v>
      </c>
      <c r="L878" s="1">
        <v>54</v>
      </c>
      <c r="M878" s="1">
        <v>33</v>
      </c>
      <c r="N878" s="1" t="str">
        <f t="shared" si="68"/>
        <v>Published</v>
      </c>
      <c r="O878" s="1">
        <f t="shared" si="66"/>
        <v>17.82</v>
      </c>
      <c r="P878" s="1"/>
      <c r="Q878" s="1">
        <v>915</v>
      </c>
      <c r="R878" s="1" t="str">
        <f t="shared" si="69"/>
        <v>2</v>
      </c>
      <c r="S878" s="1">
        <v>106</v>
      </c>
      <c r="T878" s="1" t="str">
        <f t="shared" si="67"/>
        <v>1</v>
      </c>
      <c r="U878" s="1">
        <v>-32.636788000000003</v>
      </c>
      <c r="V878" s="3">
        <v>147.56599299999999</v>
      </c>
    </row>
    <row r="879" spans="1:22" x14ac:dyDescent="0.35">
      <c r="A879" s="22" t="s">
        <v>2751</v>
      </c>
      <c r="B879" s="1" t="s">
        <v>2752</v>
      </c>
      <c r="C879" s="1" t="s">
        <v>2753</v>
      </c>
      <c r="D879" s="1" t="s">
        <v>860</v>
      </c>
      <c r="E879" s="1" t="s">
        <v>261</v>
      </c>
      <c r="F879" s="1" t="s">
        <v>241</v>
      </c>
      <c r="G879" s="1">
        <f t="shared" si="65"/>
        <v>4</v>
      </c>
      <c r="H879" s="1" t="s">
        <v>70</v>
      </c>
      <c r="I879" s="1" t="s">
        <v>132</v>
      </c>
      <c r="J879" s="23" t="s">
        <v>50</v>
      </c>
      <c r="K879" s="2" t="s">
        <v>51</v>
      </c>
      <c r="L879" s="1">
        <v>33</v>
      </c>
      <c r="M879" s="1"/>
      <c r="N879" s="1" t="str">
        <f t="shared" si="68"/>
        <v>Suppressed</v>
      </c>
      <c r="O879" s="1" t="str">
        <f t="shared" si="66"/>
        <v/>
      </c>
      <c r="P879" s="1">
        <v>0</v>
      </c>
      <c r="Q879" s="1">
        <v>958</v>
      </c>
      <c r="R879" s="1" t="str">
        <f t="shared" si="69"/>
        <v>2</v>
      </c>
      <c r="S879" s="1">
        <v>120</v>
      </c>
      <c r="T879" s="1" t="str">
        <f t="shared" si="67"/>
        <v>1</v>
      </c>
      <c r="U879" s="1">
        <v>-33.422885999999998</v>
      </c>
      <c r="V879" s="3">
        <v>146.722678</v>
      </c>
    </row>
    <row r="880" spans="1:22" x14ac:dyDescent="0.35">
      <c r="A880" s="22" t="s">
        <v>2754</v>
      </c>
      <c r="B880" s="1" t="s">
        <v>2755</v>
      </c>
      <c r="C880" s="1" t="s">
        <v>2756</v>
      </c>
      <c r="D880" s="1" t="s">
        <v>79</v>
      </c>
      <c r="E880" s="1" t="s">
        <v>80</v>
      </c>
      <c r="F880" s="1" t="s">
        <v>69</v>
      </c>
      <c r="G880" s="1">
        <f t="shared" si="65"/>
        <v>3</v>
      </c>
      <c r="H880" s="1" t="s">
        <v>70</v>
      </c>
      <c r="I880" s="1" t="s">
        <v>49</v>
      </c>
      <c r="J880" s="23" t="s">
        <v>50</v>
      </c>
      <c r="K880" s="2" t="s">
        <v>51</v>
      </c>
      <c r="L880" s="1">
        <v>184</v>
      </c>
      <c r="M880" s="1">
        <v>21</v>
      </c>
      <c r="N880" s="1" t="str">
        <f t="shared" si="68"/>
        <v>Published</v>
      </c>
      <c r="O880" s="1">
        <f t="shared" si="66"/>
        <v>38.64</v>
      </c>
      <c r="P880" s="1">
        <v>3</v>
      </c>
      <c r="Q880" s="1">
        <v>931</v>
      </c>
      <c r="R880" s="1" t="str">
        <f t="shared" si="69"/>
        <v>2</v>
      </c>
      <c r="S880" s="1">
        <v>104</v>
      </c>
      <c r="T880" s="1" t="str">
        <f t="shared" si="67"/>
        <v>2</v>
      </c>
      <c r="U880" s="1">
        <v>-35.776350000000001</v>
      </c>
      <c r="V880" s="3">
        <v>148.013814</v>
      </c>
    </row>
    <row r="881" spans="1:22" x14ac:dyDescent="0.35">
      <c r="A881" s="22" t="s">
        <v>2757</v>
      </c>
      <c r="B881" s="1" t="s">
        <v>2758</v>
      </c>
      <c r="C881" s="1" t="s">
        <v>2759</v>
      </c>
      <c r="D881" s="1" t="s">
        <v>236</v>
      </c>
      <c r="E881" s="1" t="s">
        <v>107</v>
      </c>
      <c r="F881" s="1" t="s">
        <v>47</v>
      </c>
      <c r="G881" s="1">
        <f t="shared" si="65"/>
        <v>1</v>
      </c>
      <c r="H881" s="1" t="s">
        <v>92</v>
      </c>
      <c r="I881" s="1" t="s">
        <v>49</v>
      </c>
      <c r="J881" s="23" t="s">
        <v>50</v>
      </c>
      <c r="K881" s="2" t="s">
        <v>51</v>
      </c>
      <c r="L881" s="1">
        <v>19</v>
      </c>
      <c r="M881" s="1"/>
      <c r="N881" s="1" t="str">
        <f t="shared" si="68"/>
        <v>Suppressed</v>
      </c>
      <c r="O881" s="1" t="str">
        <f t="shared" si="66"/>
        <v/>
      </c>
      <c r="P881" s="1"/>
      <c r="Q881" s="1">
        <v>941</v>
      </c>
      <c r="R881" s="1" t="str">
        <f t="shared" si="69"/>
        <v>2</v>
      </c>
      <c r="S881" s="1">
        <v>149</v>
      </c>
      <c r="T881" s="1" t="str">
        <f t="shared" si="67"/>
        <v>1</v>
      </c>
      <c r="U881" s="1">
        <v>-28.273997000000001</v>
      </c>
      <c r="V881" s="3">
        <v>153.463358</v>
      </c>
    </row>
    <row r="882" spans="1:22" x14ac:dyDescent="0.35">
      <c r="A882" s="22" t="s">
        <v>2760</v>
      </c>
      <c r="B882" s="1" t="s">
        <v>2761</v>
      </c>
      <c r="C882" s="1" t="s">
        <v>2762</v>
      </c>
      <c r="D882" s="1" t="s">
        <v>79</v>
      </c>
      <c r="E882" s="1" t="s">
        <v>80</v>
      </c>
      <c r="F882" s="1" t="s">
        <v>57</v>
      </c>
      <c r="G882" s="1">
        <f t="shared" si="65"/>
        <v>2</v>
      </c>
      <c r="H882" s="1" t="s">
        <v>70</v>
      </c>
      <c r="I882" s="1" t="s">
        <v>49</v>
      </c>
      <c r="J882" s="23" t="s">
        <v>50</v>
      </c>
      <c r="K882" s="2" t="s">
        <v>51</v>
      </c>
      <c r="L882" s="1">
        <v>288</v>
      </c>
      <c r="M882" s="1">
        <v>11</v>
      </c>
      <c r="N882" s="1" t="str">
        <f t="shared" si="68"/>
        <v>Published</v>
      </c>
      <c r="O882" s="1">
        <f t="shared" si="66"/>
        <v>31.68</v>
      </c>
      <c r="P882" s="1">
        <v>13</v>
      </c>
      <c r="Q882" s="1">
        <v>976</v>
      </c>
      <c r="R882" s="1" t="str">
        <f t="shared" si="69"/>
        <v>2</v>
      </c>
      <c r="S882" s="1">
        <v>99</v>
      </c>
      <c r="T882" s="1" t="str">
        <f t="shared" si="67"/>
        <v>2</v>
      </c>
      <c r="U882" s="1">
        <v>-35.302393000000002</v>
      </c>
      <c r="V882" s="3">
        <v>148.21855600000001</v>
      </c>
    </row>
    <row r="883" spans="1:22" x14ac:dyDescent="0.35">
      <c r="A883" s="22" t="s">
        <v>2763</v>
      </c>
      <c r="B883" s="1" t="s">
        <v>2764</v>
      </c>
      <c r="C883" s="1" t="s">
        <v>2765</v>
      </c>
      <c r="D883" s="1" t="s">
        <v>1776</v>
      </c>
      <c r="E883" s="1" t="s">
        <v>147</v>
      </c>
      <c r="F883" s="1" t="s">
        <v>47</v>
      </c>
      <c r="G883" s="1">
        <f t="shared" si="65"/>
        <v>1</v>
      </c>
      <c r="H883" s="1" t="s">
        <v>148</v>
      </c>
      <c r="I883" s="1" t="s">
        <v>49</v>
      </c>
      <c r="J883" s="23" t="s">
        <v>50</v>
      </c>
      <c r="K883" s="2" t="s">
        <v>51</v>
      </c>
      <c r="L883" s="1">
        <v>196</v>
      </c>
      <c r="M883" s="1">
        <v>0</v>
      </c>
      <c r="N883" s="1" t="str">
        <f t="shared" si="68"/>
        <v>Published</v>
      </c>
      <c r="O883" s="1">
        <f t="shared" si="66"/>
        <v>0</v>
      </c>
      <c r="P883" s="1">
        <v>24</v>
      </c>
      <c r="Q883" s="1">
        <v>1170</v>
      </c>
      <c r="R883" s="1" t="str">
        <f t="shared" si="69"/>
        <v>4</v>
      </c>
      <c r="S883" s="1">
        <v>2</v>
      </c>
      <c r="T883" s="1" t="str">
        <f t="shared" si="67"/>
        <v>2</v>
      </c>
      <c r="U883" s="1">
        <v>-33.714723999999997</v>
      </c>
      <c r="V883" s="3">
        <v>151.14781600000001</v>
      </c>
    </row>
    <row r="884" spans="1:22" x14ac:dyDescent="0.35">
      <c r="A884" s="22" t="s">
        <v>2766</v>
      </c>
      <c r="B884" s="1" t="s">
        <v>2767</v>
      </c>
      <c r="C884" s="1" t="s">
        <v>2768</v>
      </c>
      <c r="D884" s="1" t="s">
        <v>236</v>
      </c>
      <c r="E884" s="1" t="s">
        <v>107</v>
      </c>
      <c r="F884" s="1" t="s">
        <v>47</v>
      </c>
      <c r="G884" s="1">
        <f t="shared" si="65"/>
        <v>1</v>
      </c>
      <c r="H884" s="1" t="s">
        <v>92</v>
      </c>
      <c r="I884" s="1" t="s">
        <v>49</v>
      </c>
      <c r="J884" s="23" t="s">
        <v>50</v>
      </c>
      <c r="K884" s="2" t="s">
        <v>51</v>
      </c>
      <c r="L884" s="1">
        <v>394</v>
      </c>
      <c r="M884" s="1">
        <v>14</v>
      </c>
      <c r="N884" s="1" t="str">
        <f t="shared" si="68"/>
        <v>Published</v>
      </c>
      <c r="O884" s="1">
        <f t="shared" si="66"/>
        <v>55.160000000000004</v>
      </c>
      <c r="P884" s="1">
        <v>21</v>
      </c>
      <c r="Q884" s="1">
        <v>984</v>
      </c>
      <c r="R884" s="1" t="str">
        <f t="shared" si="69"/>
        <v>2</v>
      </c>
      <c r="S884" s="1">
        <v>97</v>
      </c>
      <c r="T884" s="1" t="str">
        <f t="shared" si="67"/>
        <v>3</v>
      </c>
      <c r="U884" s="1">
        <v>-28.169509999999999</v>
      </c>
      <c r="V884" s="3">
        <v>153.541571</v>
      </c>
    </row>
    <row r="885" spans="1:22" x14ac:dyDescent="0.35">
      <c r="A885" s="22" t="s">
        <v>2769</v>
      </c>
      <c r="B885" s="1" t="s">
        <v>2770</v>
      </c>
      <c r="C885" s="1" t="s">
        <v>2771</v>
      </c>
      <c r="D885" s="1" t="s">
        <v>236</v>
      </c>
      <c r="E885" s="1" t="s">
        <v>107</v>
      </c>
      <c r="F885" s="1" t="s">
        <v>57</v>
      </c>
      <c r="G885" s="1">
        <f t="shared" si="65"/>
        <v>2</v>
      </c>
      <c r="H885" s="1" t="s">
        <v>92</v>
      </c>
      <c r="I885" s="1" t="s">
        <v>49</v>
      </c>
      <c r="J885" s="23" t="s">
        <v>50</v>
      </c>
      <c r="K885" s="2" t="s">
        <v>51</v>
      </c>
      <c r="L885" s="1">
        <v>13</v>
      </c>
      <c r="M885" s="1">
        <v>0</v>
      </c>
      <c r="N885" s="1" t="str">
        <f t="shared" si="68"/>
        <v>Published</v>
      </c>
      <c r="O885" s="1">
        <f t="shared" si="66"/>
        <v>0</v>
      </c>
      <c r="P885" s="1">
        <v>0</v>
      </c>
      <c r="Q885" s="1">
        <v>978</v>
      </c>
      <c r="R885" s="1" t="str">
        <f t="shared" si="69"/>
        <v>2</v>
      </c>
      <c r="S885" s="1">
        <v>140</v>
      </c>
      <c r="T885" s="1" t="str">
        <f t="shared" si="67"/>
        <v>1</v>
      </c>
      <c r="U885" s="1">
        <v>-28.354475000000001</v>
      </c>
      <c r="V885" s="3">
        <v>153.20497800000001</v>
      </c>
    </row>
    <row r="886" spans="1:22" x14ac:dyDescent="0.35">
      <c r="A886" s="22" t="s">
        <v>2772</v>
      </c>
      <c r="B886" s="1" t="s">
        <v>2773</v>
      </c>
      <c r="C886" s="1" t="s">
        <v>2774</v>
      </c>
      <c r="D886" s="1" t="s">
        <v>236</v>
      </c>
      <c r="E886" s="1" t="s">
        <v>107</v>
      </c>
      <c r="F886" s="1" t="s">
        <v>57</v>
      </c>
      <c r="G886" s="1">
        <f t="shared" si="65"/>
        <v>2</v>
      </c>
      <c r="H886" s="1" t="s">
        <v>92</v>
      </c>
      <c r="I886" s="1" t="s">
        <v>49</v>
      </c>
      <c r="J886" s="23" t="s">
        <v>50</v>
      </c>
      <c r="K886" s="2" t="s">
        <v>51</v>
      </c>
      <c r="L886" s="1">
        <v>86</v>
      </c>
      <c r="M886" s="1">
        <v>9</v>
      </c>
      <c r="N886" s="1" t="str">
        <f t="shared" si="68"/>
        <v>Published</v>
      </c>
      <c r="O886" s="1">
        <f t="shared" si="66"/>
        <v>7.7399999999999993</v>
      </c>
      <c r="P886" s="1">
        <v>10</v>
      </c>
      <c r="Q886" s="1">
        <v>977</v>
      </c>
      <c r="R886" s="1" t="str">
        <f t="shared" si="69"/>
        <v>2</v>
      </c>
      <c r="S886" s="1">
        <v>128</v>
      </c>
      <c r="T886" s="1" t="str">
        <f t="shared" si="67"/>
        <v>1</v>
      </c>
      <c r="U886" s="1">
        <v>-28.415026999999998</v>
      </c>
      <c r="V886" s="3">
        <v>153.33426299999999</v>
      </c>
    </row>
    <row r="887" spans="1:22" x14ac:dyDescent="0.35">
      <c r="A887" s="22" t="s">
        <v>2775</v>
      </c>
      <c r="B887" s="1" t="s">
        <v>2776</v>
      </c>
      <c r="C887" s="1" t="s">
        <v>2777</v>
      </c>
      <c r="D887" s="1" t="s">
        <v>382</v>
      </c>
      <c r="E887" s="1" t="s">
        <v>196</v>
      </c>
      <c r="F887" s="1" t="s">
        <v>57</v>
      </c>
      <c r="G887" s="1">
        <f t="shared" si="65"/>
        <v>2</v>
      </c>
      <c r="H887" s="1" t="s">
        <v>86</v>
      </c>
      <c r="I887" s="1" t="s">
        <v>49</v>
      </c>
      <c r="J887" s="23" t="s">
        <v>50</v>
      </c>
      <c r="K887" s="2" t="s">
        <v>51</v>
      </c>
      <c r="L887" s="1">
        <v>689</v>
      </c>
      <c r="M887" s="1">
        <v>12</v>
      </c>
      <c r="N887" s="1" t="str">
        <f t="shared" si="68"/>
        <v>Published</v>
      </c>
      <c r="O887" s="1">
        <f t="shared" si="66"/>
        <v>82.679999999999993</v>
      </c>
      <c r="P887" s="1">
        <v>8</v>
      </c>
      <c r="Q887" s="1">
        <v>978</v>
      </c>
      <c r="R887" s="1" t="str">
        <f t="shared" si="69"/>
        <v>2</v>
      </c>
      <c r="S887" s="1">
        <v>99</v>
      </c>
      <c r="T887" s="1" t="str">
        <f t="shared" si="67"/>
        <v>4</v>
      </c>
      <c r="U887" s="1">
        <v>-35.355186000000003</v>
      </c>
      <c r="V887" s="3">
        <v>150.46943400000001</v>
      </c>
    </row>
    <row r="888" spans="1:22" x14ac:dyDescent="0.35">
      <c r="A888" s="22" t="s">
        <v>2778</v>
      </c>
      <c r="B888" s="1" t="s">
        <v>2779</v>
      </c>
      <c r="C888" s="1" t="s">
        <v>2780</v>
      </c>
      <c r="D888" s="1" t="s">
        <v>280</v>
      </c>
      <c r="E888" s="1" t="s">
        <v>281</v>
      </c>
      <c r="F888" s="1" t="s">
        <v>57</v>
      </c>
      <c r="G888" s="1">
        <f t="shared" si="65"/>
        <v>2</v>
      </c>
      <c r="H888" s="1" t="s">
        <v>92</v>
      </c>
      <c r="I888" s="1" t="s">
        <v>49</v>
      </c>
      <c r="J888" s="23" t="s">
        <v>50</v>
      </c>
      <c r="K888" s="2" t="s">
        <v>51</v>
      </c>
      <c r="L888" s="1">
        <v>72</v>
      </c>
      <c r="M888" s="1">
        <v>8</v>
      </c>
      <c r="N888" s="1" t="str">
        <f t="shared" si="68"/>
        <v>Published</v>
      </c>
      <c r="O888" s="1">
        <f t="shared" si="66"/>
        <v>5.76</v>
      </c>
      <c r="P888" s="1"/>
      <c r="Q888" s="1">
        <v>971</v>
      </c>
      <c r="R888" s="1" t="str">
        <f t="shared" si="69"/>
        <v>2</v>
      </c>
      <c r="S888" s="1">
        <v>106</v>
      </c>
      <c r="T888" s="1" t="str">
        <f t="shared" si="67"/>
        <v>1</v>
      </c>
      <c r="U888" s="1">
        <v>-29.629006</v>
      </c>
      <c r="V888" s="3">
        <v>153.03093200000001</v>
      </c>
    </row>
    <row r="889" spans="1:22" x14ac:dyDescent="0.35">
      <c r="A889" s="22" t="s">
        <v>2781</v>
      </c>
      <c r="B889" s="1" t="s">
        <v>2782</v>
      </c>
      <c r="C889" s="1" t="s">
        <v>2783</v>
      </c>
      <c r="D889" s="1" t="s">
        <v>465</v>
      </c>
      <c r="E889" s="1" t="s">
        <v>281</v>
      </c>
      <c r="F889" s="1" t="s">
        <v>57</v>
      </c>
      <c r="G889" s="1">
        <f t="shared" si="65"/>
        <v>2</v>
      </c>
      <c r="H889" s="1" t="s">
        <v>58</v>
      </c>
      <c r="I889" s="1" t="s">
        <v>49</v>
      </c>
      <c r="J889" s="23" t="s">
        <v>50</v>
      </c>
      <c r="K889" s="2" t="s">
        <v>51</v>
      </c>
      <c r="L889" s="1">
        <v>32</v>
      </c>
      <c r="M889" s="1"/>
      <c r="N889" s="1" t="str">
        <f t="shared" si="68"/>
        <v>Suppressed</v>
      </c>
      <c r="O889" s="1" t="str">
        <f t="shared" si="66"/>
        <v/>
      </c>
      <c r="P889" s="1"/>
      <c r="Q889" s="1">
        <v>903</v>
      </c>
      <c r="R889" s="1" t="str">
        <f t="shared" si="69"/>
        <v>2</v>
      </c>
      <c r="S889" s="1">
        <v>143</v>
      </c>
      <c r="T889" s="1" t="str">
        <f t="shared" si="67"/>
        <v>1</v>
      </c>
      <c r="U889" s="1">
        <v>-30.243019</v>
      </c>
      <c r="V889" s="3">
        <v>152.88485700000001</v>
      </c>
    </row>
    <row r="890" spans="1:22" x14ac:dyDescent="0.35">
      <c r="A890" s="22" t="s">
        <v>2784</v>
      </c>
      <c r="B890" s="1" t="s">
        <v>2785</v>
      </c>
      <c r="C890" s="1" t="s">
        <v>2786</v>
      </c>
      <c r="D890" s="1" t="s">
        <v>1003</v>
      </c>
      <c r="E890" s="1" t="s">
        <v>225</v>
      </c>
      <c r="F890" s="1" t="s">
        <v>47</v>
      </c>
      <c r="G890" s="1">
        <f t="shared" si="65"/>
        <v>1</v>
      </c>
      <c r="H890" s="1" t="s">
        <v>48</v>
      </c>
      <c r="I890" s="1" t="s">
        <v>49</v>
      </c>
      <c r="J890" s="23" t="s">
        <v>50</v>
      </c>
      <c r="K890" s="2" t="s">
        <v>51</v>
      </c>
      <c r="L890" s="1">
        <v>483</v>
      </c>
      <c r="M890" s="1">
        <v>3</v>
      </c>
      <c r="N890" s="1" t="str">
        <f t="shared" si="68"/>
        <v>Published</v>
      </c>
      <c r="O890" s="1">
        <f t="shared" si="66"/>
        <v>14.49</v>
      </c>
      <c r="P890" s="1">
        <v>71</v>
      </c>
      <c r="Q890" s="1">
        <v>1088</v>
      </c>
      <c r="R890" s="1" t="str">
        <f t="shared" si="69"/>
        <v>3</v>
      </c>
      <c r="S890" s="1">
        <v>27</v>
      </c>
      <c r="T890" s="1" t="str">
        <f t="shared" si="67"/>
        <v>3</v>
      </c>
      <c r="U890" s="1">
        <v>-33.877673999999999</v>
      </c>
      <c r="V890" s="3">
        <v>151.195607</v>
      </c>
    </row>
    <row r="891" spans="1:22" x14ac:dyDescent="0.35">
      <c r="A891" s="22" t="s">
        <v>2787</v>
      </c>
      <c r="B891" s="1" t="s">
        <v>2788</v>
      </c>
      <c r="C891" s="1" t="s">
        <v>2789</v>
      </c>
      <c r="D891" s="1" t="s">
        <v>176</v>
      </c>
      <c r="E891" s="1" t="s">
        <v>85</v>
      </c>
      <c r="F891" s="1" t="s">
        <v>47</v>
      </c>
      <c r="G891" s="1">
        <f t="shared" si="65"/>
        <v>1</v>
      </c>
      <c r="H891" s="1" t="s">
        <v>86</v>
      </c>
      <c r="I891" s="1" t="s">
        <v>49</v>
      </c>
      <c r="J891" s="23" t="s">
        <v>50</v>
      </c>
      <c r="K891" s="2" t="s">
        <v>51</v>
      </c>
      <c r="L891" s="1">
        <v>348</v>
      </c>
      <c r="M891" s="1">
        <v>11</v>
      </c>
      <c r="N891" s="1" t="str">
        <f t="shared" si="68"/>
        <v>Published</v>
      </c>
      <c r="O891" s="1">
        <f t="shared" si="66"/>
        <v>38.28</v>
      </c>
      <c r="P891" s="1">
        <v>22</v>
      </c>
      <c r="Q891" s="1">
        <v>992</v>
      </c>
      <c r="R891" s="1" t="str">
        <f t="shared" si="69"/>
        <v>2</v>
      </c>
      <c r="S891" s="1">
        <v>95</v>
      </c>
      <c r="T891" s="1" t="str">
        <f t="shared" si="67"/>
        <v>3</v>
      </c>
      <c r="U891" s="1">
        <v>-34.445456</v>
      </c>
      <c r="V891" s="3">
        <v>150.83470399999999</v>
      </c>
    </row>
    <row r="892" spans="1:22" x14ac:dyDescent="0.35">
      <c r="A892" s="22" t="s">
        <v>2790</v>
      </c>
      <c r="B892" s="1" t="s">
        <v>2791</v>
      </c>
      <c r="C892" s="1" t="s">
        <v>801</v>
      </c>
      <c r="D892" s="1" t="s">
        <v>152</v>
      </c>
      <c r="E892" s="1" t="s">
        <v>229</v>
      </c>
      <c r="F892" s="1" t="s">
        <v>47</v>
      </c>
      <c r="G892" s="1">
        <f t="shared" si="65"/>
        <v>1</v>
      </c>
      <c r="H892" s="1" t="s">
        <v>48</v>
      </c>
      <c r="I892" s="1" t="s">
        <v>49</v>
      </c>
      <c r="J892" s="23" t="s">
        <v>50</v>
      </c>
      <c r="K892" s="2" t="s">
        <v>51</v>
      </c>
      <c r="L892" s="1">
        <v>152</v>
      </c>
      <c r="M892" s="1">
        <v>0</v>
      </c>
      <c r="N892" s="1" t="str">
        <f t="shared" si="68"/>
        <v>Published</v>
      </c>
      <c r="O892" s="1">
        <f t="shared" si="66"/>
        <v>0</v>
      </c>
      <c r="P892" s="1">
        <v>56</v>
      </c>
      <c r="Q892" s="1">
        <v>1092</v>
      </c>
      <c r="R892" s="1" t="str">
        <f t="shared" si="69"/>
        <v>3</v>
      </c>
      <c r="S892" s="1">
        <v>38</v>
      </c>
      <c r="T892" s="1" t="str">
        <f t="shared" si="67"/>
        <v>2</v>
      </c>
      <c r="U892" s="1">
        <v>-33.924086000000003</v>
      </c>
      <c r="V892" s="3">
        <v>151.13860099999999</v>
      </c>
    </row>
    <row r="893" spans="1:22" x14ac:dyDescent="0.35">
      <c r="A893" s="22" t="s">
        <v>2792</v>
      </c>
      <c r="B893" s="1" t="s">
        <v>2793</v>
      </c>
      <c r="C893" s="1" t="s">
        <v>2794</v>
      </c>
      <c r="D893" s="1" t="s">
        <v>260</v>
      </c>
      <c r="E893" s="1" t="s">
        <v>261</v>
      </c>
      <c r="F893" s="1" t="s">
        <v>69</v>
      </c>
      <c r="G893" s="1">
        <f t="shared" si="65"/>
        <v>3</v>
      </c>
      <c r="H893" s="1" t="s">
        <v>70</v>
      </c>
      <c r="I893" s="1" t="s">
        <v>132</v>
      </c>
      <c r="J893" s="23" t="s">
        <v>50</v>
      </c>
      <c r="K893" s="2" t="s">
        <v>51</v>
      </c>
      <c r="L893" s="1">
        <v>88</v>
      </c>
      <c r="M893" s="1">
        <v>16</v>
      </c>
      <c r="N893" s="1" t="str">
        <f t="shared" si="68"/>
        <v>Published</v>
      </c>
      <c r="O893" s="1">
        <f t="shared" si="66"/>
        <v>14.08</v>
      </c>
      <c r="P893" s="1"/>
      <c r="Q893" s="1">
        <v>915</v>
      </c>
      <c r="R893" s="1" t="str">
        <f t="shared" si="69"/>
        <v>2</v>
      </c>
      <c r="S893" s="1">
        <v>141</v>
      </c>
      <c r="T893" s="1" t="str">
        <f t="shared" si="67"/>
        <v>1</v>
      </c>
      <c r="U893" s="1">
        <v>-33.637104000000001</v>
      </c>
      <c r="V893" s="3">
        <v>146.97795300000001</v>
      </c>
    </row>
    <row r="894" spans="1:22" x14ac:dyDescent="0.35">
      <c r="A894" s="22" t="s">
        <v>2795</v>
      </c>
      <c r="B894" s="1" t="s">
        <v>2796</v>
      </c>
      <c r="C894" s="1" t="s">
        <v>2797</v>
      </c>
      <c r="D894" s="1" t="s">
        <v>529</v>
      </c>
      <c r="E894" s="1" t="s">
        <v>96</v>
      </c>
      <c r="F894" s="1" t="s">
        <v>69</v>
      </c>
      <c r="G894" s="1">
        <f t="shared" si="65"/>
        <v>3</v>
      </c>
      <c r="H894" s="1" t="s">
        <v>70</v>
      </c>
      <c r="I894" s="1" t="s">
        <v>49</v>
      </c>
      <c r="J894" s="23" t="s">
        <v>50</v>
      </c>
      <c r="K894" s="2" t="s">
        <v>51</v>
      </c>
      <c r="L894" s="1">
        <v>9</v>
      </c>
      <c r="M894" s="1"/>
      <c r="N894" s="1" t="str">
        <f t="shared" si="68"/>
        <v>Suppressed</v>
      </c>
      <c r="O894" s="1" t="str">
        <f t="shared" si="66"/>
        <v/>
      </c>
      <c r="P894" s="1"/>
      <c r="Q894" s="1">
        <v>816</v>
      </c>
      <c r="R894" s="1" t="str">
        <f t="shared" si="69"/>
        <v>1</v>
      </c>
      <c r="S894" s="1">
        <v>136</v>
      </c>
      <c r="T894" s="1" t="str">
        <f t="shared" si="67"/>
        <v>1</v>
      </c>
      <c r="U894" s="1">
        <v>-35.327460000000002</v>
      </c>
      <c r="V894" s="3">
        <v>146.26712900000001</v>
      </c>
    </row>
    <row r="895" spans="1:22" x14ac:dyDescent="0.35">
      <c r="A895" s="22" t="s">
        <v>2798</v>
      </c>
      <c r="B895" s="1" t="s">
        <v>2799</v>
      </c>
      <c r="C895" s="1" t="s">
        <v>2800</v>
      </c>
      <c r="D895" s="1" t="s">
        <v>1043</v>
      </c>
      <c r="E895" s="1" t="s">
        <v>91</v>
      </c>
      <c r="F895" s="1" t="s">
        <v>69</v>
      </c>
      <c r="G895" s="1">
        <f t="shared" si="65"/>
        <v>3</v>
      </c>
      <c r="H895" s="1" t="s">
        <v>92</v>
      </c>
      <c r="I895" s="1" t="s">
        <v>49</v>
      </c>
      <c r="J895" s="23" t="s">
        <v>50</v>
      </c>
      <c r="K895" s="2" t="s">
        <v>51</v>
      </c>
      <c r="L895" s="1">
        <v>8</v>
      </c>
      <c r="M895" s="1"/>
      <c r="N895" s="1" t="str">
        <f t="shared" si="68"/>
        <v>Suppressed</v>
      </c>
      <c r="O895" s="1" t="str">
        <f t="shared" si="66"/>
        <v/>
      </c>
      <c r="P895" s="1"/>
      <c r="Q895" s="1">
        <v>959</v>
      </c>
      <c r="R895" s="1" t="str">
        <f t="shared" si="69"/>
        <v>2</v>
      </c>
      <c r="S895" s="1">
        <v>171</v>
      </c>
      <c r="T895" s="1" t="str">
        <f t="shared" si="67"/>
        <v>1</v>
      </c>
      <c r="U895" s="1">
        <v>-28.473479999999999</v>
      </c>
      <c r="V895" s="3">
        <v>152.54556500000001</v>
      </c>
    </row>
    <row r="896" spans="1:22" x14ac:dyDescent="0.35">
      <c r="A896" s="22" t="s">
        <v>2801</v>
      </c>
      <c r="B896" s="1" t="s">
        <v>2802</v>
      </c>
      <c r="C896" s="1" t="s">
        <v>2803</v>
      </c>
      <c r="D896" s="1" t="s">
        <v>333</v>
      </c>
      <c r="E896" s="1" t="s">
        <v>281</v>
      </c>
      <c r="F896" s="1" t="s">
        <v>57</v>
      </c>
      <c r="G896" s="1">
        <f t="shared" si="65"/>
        <v>2</v>
      </c>
      <c r="H896" s="1" t="s">
        <v>58</v>
      </c>
      <c r="I896" s="1" t="s">
        <v>49</v>
      </c>
      <c r="J896" s="23" t="s">
        <v>50</v>
      </c>
      <c r="K896" s="2" t="s">
        <v>51</v>
      </c>
      <c r="L896" s="1">
        <v>179</v>
      </c>
      <c r="M896" s="1">
        <v>20</v>
      </c>
      <c r="N896" s="1" t="str">
        <f t="shared" si="68"/>
        <v>Published</v>
      </c>
      <c r="O896" s="1">
        <f t="shared" si="66"/>
        <v>35.800000000000004</v>
      </c>
      <c r="P896" s="1">
        <v>8</v>
      </c>
      <c r="Q896" s="1">
        <v>974</v>
      </c>
      <c r="R896" s="1" t="str">
        <f t="shared" si="69"/>
        <v>2</v>
      </c>
      <c r="S896" s="1">
        <v>89</v>
      </c>
      <c r="T896" s="1" t="str">
        <f t="shared" si="67"/>
        <v>2</v>
      </c>
      <c r="U896" s="1">
        <v>-30.495206</v>
      </c>
      <c r="V896" s="3">
        <v>153.02042800000001</v>
      </c>
    </row>
    <row r="897" spans="1:22" x14ac:dyDescent="0.35">
      <c r="A897" s="22" t="s">
        <v>2804</v>
      </c>
      <c r="B897" s="1" t="s">
        <v>2805</v>
      </c>
      <c r="C897" s="1" t="s">
        <v>2806</v>
      </c>
      <c r="D897" s="1" t="s">
        <v>798</v>
      </c>
      <c r="E897" s="1" t="s">
        <v>56</v>
      </c>
      <c r="F897" s="1" t="s">
        <v>57</v>
      </c>
      <c r="G897" s="1">
        <f t="shared" si="65"/>
        <v>2</v>
      </c>
      <c r="H897" s="1" t="s">
        <v>58</v>
      </c>
      <c r="I897" s="1" t="s">
        <v>49</v>
      </c>
      <c r="J897" s="23" t="s">
        <v>50</v>
      </c>
      <c r="K897" s="2" t="s">
        <v>51</v>
      </c>
      <c r="L897" s="1">
        <v>106</v>
      </c>
      <c r="M897" s="1">
        <v>25</v>
      </c>
      <c r="N897" s="1" t="str">
        <f t="shared" si="68"/>
        <v>Published</v>
      </c>
      <c r="O897" s="1">
        <f t="shared" si="66"/>
        <v>26.5</v>
      </c>
      <c r="P897" s="1">
        <v>0</v>
      </c>
      <c r="Q897" s="1">
        <v>946</v>
      </c>
      <c r="R897" s="1" t="str">
        <f t="shared" si="69"/>
        <v>2</v>
      </c>
      <c r="S897" s="1">
        <v>107</v>
      </c>
      <c r="T897" s="1" t="str">
        <f t="shared" si="67"/>
        <v>2</v>
      </c>
      <c r="U897" s="1">
        <v>-32.542180000000002</v>
      </c>
      <c r="V897" s="3">
        <v>151.57755499999999</v>
      </c>
    </row>
    <row r="898" spans="1:22" x14ac:dyDescent="0.35">
      <c r="A898" s="22" t="s">
        <v>2807</v>
      </c>
      <c r="B898" s="1" t="s">
        <v>2808</v>
      </c>
      <c r="C898" s="1" t="s">
        <v>2809</v>
      </c>
      <c r="D898" s="1" t="s">
        <v>329</v>
      </c>
      <c r="E898" s="1" t="s">
        <v>330</v>
      </c>
      <c r="F898" s="1" t="s">
        <v>47</v>
      </c>
      <c r="G898" s="1">
        <f t="shared" ref="G898:G961" si="70">IF(F898="Major Cities of Australia",1,IF(F898="Inner Regional Australia",2,IF(F898="Outer Regional Australia",3,IF(F898="Remote Australia",4,IF(F898="Very Remote Australia",5,6)))))</f>
        <v>1</v>
      </c>
      <c r="H898" s="1" t="s">
        <v>48</v>
      </c>
      <c r="I898" s="1" t="s">
        <v>49</v>
      </c>
      <c r="J898" s="23" t="s">
        <v>50</v>
      </c>
      <c r="K898" s="2" t="s">
        <v>51</v>
      </c>
      <c r="L898" s="1">
        <v>217</v>
      </c>
      <c r="M898" s="1"/>
      <c r="N898" s="1" t="str">
        <f t="shared" si="68"/>
        <v>Suppressed</v>
      </c>
      <c r="O898" s="1" t="str">
        <f t="shared" ref="O898:O961" si="71">IF(OR(M898="",L898=""),"",M898/100*L898)</f>
        <v/>
      </c>
      <c r="P898" s="1">
        <v>39</v>
      </c>
      <c r="Q898" s="1">
        <v>1145</v>
      </c>
      <c r="R898" s="1" t="str">
        <f t="shared" si="69"/>
        <v>4</v>
      </c>
      <c r="S898" s="1">
        <v>9</v>
      </c>
      <c r="T898" s="1" t="str">
        <f t="shared" ref="T898:T961" si="72">IF(L898="","No enrolment",IF(L898&lt;100,"1",IF(L898&lt;300,"2",IF(L898&lt;600,"3",IF(L898&lt;1000,"4","5")))))</f>
        <v>2</v>
      </c>
      <c r="U898" s="1">
        <v>-33.850478000000003</v>
      </c>
      <c r="V898" s="3">
        <v>151.28116600000001</v>
      </c>
    </row>
    <row r="899" spans="1:22" x14ac:dyDescent="0.35">
      <c r="A899" s="22" t="s">
        <v>2810</v>
      </c>
      <c r="B899" s="1" t="s">
        <v>2811</v>
      </c>
      <c r="C899" s="1" t="s">
        <v>2812</v>
      </c>
      <c r="D899" s="1" t="s">
        <v>537</v>
      </c>
      <c r="E899" s="1" t="s">
        <v>170</v>
      </c>
      <c r="F899" s="1" t="s">
        <v>47</v>
      </c>
      <c r="G899" s="1">
        <f t="shared" si="70"/>
        <v>1</v>
      </c>
      <c r="H899" s="1" t="s">
        <v>48</v>
      </c>
      <c r="I899" s="1" t="s">
        <v>49</v>
      </c>
      <c r="J899" s="23" t="s">
        <v>50</v>
      </c>
      <c r="K899" s="2" t="s">
        <v>51</v>
      </c>
      <c r="L899" s="1">
        <v>227</v>
      </c>
      <c r="M899" s="1">
        <v>5</v>
      </c>
      <c r="N899" s="1" t="str">
        <f t="shared" ref="N899:N962" si="73">IF(M899="","Suppressed","Published")</f>
        <v>Published</v>
      </c>
      <c r="O899" s="1">
        <f t="shared" si="71"/>
        <v>11.350000000000001</v>
      </c>
      <c r="P899" s="1">
        <v>86</v>
      </c>
      <c r="Q899" s="1">
        <v>931</v>
      </c>
      <c r="R899" s="1" t="str">
        <f t="shared" ref="R899:R962" si="74">IF(Q899="","No ICSEA",IF(Q899&lt;900,"1",IF(Q899&lt;1000,"2",IF(Q899&lt;1100,"3","4"))))</f>
        <v>2</v>
      </c>
      <c r="S899" s="1">
        <v>145</v>
      </c>
      <c r="T899" s="1" t="str">
        <f t="shared" si="72"/>
        <v>2</v>
      </c>
      <c r="U899" s="1">
        <v>-33.885511999999999</v>
      </c>
      <c r="V899" s="3">
        <v>150.96920399999999</v>
      </c>
    </row>
    <row r="900" spans="1:22" x14ac:dyDescent="0.35">
      <c r="A900" s="22" t="s">
        <v>2813</v>
      </c>
      <c r="B900" s="1" t="s">
        <v>2814</v>
      </c>
      <c r="C900" s="1" t="s">
        <v>2815</v>
      </c>
      <c r="D900" s="1" t="s">
        <v>837</v>
      </c>
      <c r="E900" s="1" t="s">
        <v>838</v>
      </c>
      <c r="F900" s="1" t="s">
        <v>47</v>
      </c>
      <c r="G900" s="1">
        <f t="shared" si="70"/>
        <v>1</v>
      </c>
      <c r="H900" s="1" t="s">
        <v>148</v>
      </c>
      <c r="I900" s="1" t="s">
        <v>49</v>
      </c>
      <c r="J900" s="23" t="s">
        <v>50</v>
      </c>
      <c r="K900" s="2" t="s">
        <v>51</v>
      </c>
      <c r="L900" s="1">
        <v>97</v>
      </c>
      <c r="M900" s="1">
        <v>13</v>
      </c>
      <c r="N900" s="1" t="str">
        <f t="shared" si="73"/>
        <v>Published</v>
      </c>
      <c r="O900" s="1">
        <f t="shared" si="71"/>
        <v>12.610000000000001</v>
      </c>
      <c r="P900" s="1">
        <v>27</v>
      </c>
      <c r="Q900" s="1">
        <v>955</v>
      </c>
      <c r="R900" s="1" t="str">
        <f t="shared" si="74"/>
        <v>2</v>
      </c>
      <c r="S900" s="1">
        <v>136</v>
      </c>
      <c r="T900" s="1" t="str">
        <f t="shared" si="72"/>
        <v>1</v>
      </c>
      <c r="U900" s="1">
        <v>-33.647351999999998</v>
      </c>
      <c r="V900" s="3">
        <v>150.857935</v>
      </c>
    </row>
    <row r="901" spans="1:22" x14ac:dyDescent="0.35">
      <c r="A901" s="22" t="s">
        <v>2816</v>
      </c>
      <c r="B901" s="1" t="s">
        <v>2817</v>
      </c>
      <c r="C901" s="1" t="s">
        <v>713</v>
      </c>
      <c r="D901" s="1" t="s">
        <v>713</v>
      </c>
      <c r="E901" s="1" t="s">
        <v>80</v>
      </c>
      <c r="F901" s="1" t="s">
        <v>57</v>
      </c>
      <c r="G901" s="1">
        <f t="shared" si="70"/>
        <v>2</v>
      </c>
      <c r="H901" s="1" t="s">
        <v>70</v>
      </c>
      <c r="I901" s="1" t="s">
        <v>49</v>
      </c>
      <c r="J901" s="23" t="s">
        <v>50</v>
      </c>
      <c r="K901" s="2" t="s">
        <v>51</v>
      </c>
      <c r="L901" s="1">
        <v>440</v>
      </c>
      <c r="M901" s="1">
        <v>15</v>
      </c>
      <c r="N901" s="1" t="str">
        <f t="shared" si="73"/>
        <v>Published</v>
      </c>
      <c r="O901" s="1">
        <f t="shared" si="71"/>
        <v>66</v>
      </c>
      <c r="P901" s="1">
        <v>20</v>
      </c>
      <c r="Q901" s="1">
        <v>1008</v>
      </c>
      <c r="R901" s="1" t="str">
        <f t="shared" si="74"/>
        <v>3</v>
      </c>
      <c r="S901" s="1">
        <v>82</v>
      </c>
      <c r="T901" s="1" t="str">
        <f t="shared" si="72"/>
        <v>3</v>
      </c>
      <c r="U901" s="1">
        <v>-35.10783</v>
      </c>
      <c r="V901" s="3">
        <v>147.36584099999999</v>
      </c>
    </row>
    <row r="902" spans="1:22" x14ac:dyDescent="0.35">
      <c r="A902" s="22" t="s">
        <v>2818</v>
      </c>
      <c r="B902" s="1" t="s">
        <v>2819</v>
      </c>
      <c r="C902" s="1" t="s">
        <v>713</v>
      </c>
      <c r="D902" s="1" t="s">
        <v>713</v>
      </c>
      <c r="E902" s="1" t="s">
        <v>80</v>
      </c>
      <c r="F902" s="1" t="s">
        <v>57</v>
      </c>
      <c r="G902" s="1">
        <f t="shared" si="70"/>
        <v>2</v>
      </c>
      <c r="H902" s="1" t="s">
        <v>70</v>
      </c>
      <c r="I902" s="1" t="s">
        <v>49</v>
      </c>
      <c r="J902" s="23" t="s">
        <v>50</v>
      </c>
      <c r="K902" s="2" t="s">
        <v>51</v>
      </c>
      <c r="L902" s="1">
        <v>181</v>
      </c>
      <c r="M902" s="1">
        <v>7</v>
      </c>
      <c r="N902" s="1" t="str">
        <f t="shared" si="73"/>
        <v>Published</v>
      </c>
      <c r="O902" s="1">
        <f t="shared" si="71"/>
        <v>12.670000000000002</v>
      </c>
      <c r="P902" s="1"/>
      <c r="Q902" s="1">
        <v>999</v>
      </c>
      <c r="R902" s="1" t="str">
        <f t="shared" si="74"/>
        <v>2</v>
      </c>
      <c r="S902" s="1">
        <v>93</v>
      </c>
      <c r="T902" s="1" t="str">
        <f t="shared" si="72"/>
        <v>2</v>
      </c>
      <c r="U902" s="1">
        <v>-35.096215000000001</v>
      </c>
      <c r="V902" s="3">
        <v>147.379513</v>
      </c>
    </row>
    <row r="903" spans="1:22" x14ac:dyDescent="0.35">
      <c r="A903" s="22" t="s">
        <v>2820</v>
      </c>
      <c r="B903" s="1" t="s">
        <v>2821</v>
      </c>
      <c r="C903" s="1" t="s">
        <v>2822</v>
      </c>
      <c r="D903" s="1" t="s">
        <v>713</v>
      </c>
      <c r="E903" s="1" t="s">
        <v>80</v>
      </c>
      <c r="F903" s="1" t="s">
        <v>57</v>
      </c>
      <c r="G903" s="1">
        <f t="shared" si="70"/>
        <v>2</v>
      </c>
      <c r="H903" s="1" t="s">
        <v>70</v>
      </c>
      <c r="I903" s="1" t="s">
        <v>49</v>
      </c>
      <c r="J903" s="23" t="s">
        <v>50</v>
      </c>
      <c r="K903" s="2" t="s">
        <v>51</v>
      </c>
      <c r="L903" s="1">
        <v>266</v>
      </c>
      <c r="M903" s="1">
        <v>8</v>
      </c>
      <c r="N903" s="1" t="str">
        <f t="shared" si="73"/>
        <v>Published</v>
      </c>
      <c r="O903" s="1">
        <f t="shared" si="71"/>
        <v>21.28</v>
      </c>
      <c r="P903" s="1">
        <v>28</v>
      </c>
      <c r="Q903" s="1">
        <v>1027</v>
      </c>
      <c r="R903" s="1" t="str">
        <f t="shared" si="74"/>
        <v>3</v>
      </c>
      <c r="S903" s="1">
        <v>77</v>
      </c>
      <c r="T903" s="1" t="str">
        <f t="shared" si="72"/>
        <v>2</v>
      </c>
      <c r="U903" s="1">
        <v>-35.119290999999997</v>
      </c>
      <c r="V903" s="3">
        <v>147.36680999999999</v>
      </c>
    </row>
    <row r="904" spans="1:22" x14ac:dyDescent="0.35">
      <c r="A904" s="22" t="s">
        <v>2823</v>
      </c>
      <c r="B904" s="1" t="s">
        <v>2824</v>
      </c>
      <c r="C904" s="1" t="s">
        <v>2825</v>
      </c>
      <c r="D904" s="1" t="s">
        <v>126</v>
      </c>
      <c r="E904" s="1" t="s">
        <v>147</v>
      </c>
      <c r="F904" s="1" t="s">
        <v>47</v>
      </c>
      <c r="G904" s="1">
        <f t="shared" si="70"/>
        <v>1</v>
      </c>
      <c r="H904" s="1" t="s">
        <v>148</v>
      </c>
      <c r="I904" s="1" t="s">
        <v>49</v>
      </c>
      <c r="J904" s="23" t="s">
        <v>50</v>
      </c>
      <c r="K904" s="2" t="s">
        <v>51</v>
      </c>
      <c r="L904" s="1">
        <v>972</v>
      </c>
      <c r="M904" s="1">
        <v>0</v>
      </c>
      <c r="N904" s="1" t="str">
        <f t="shared" si="73"/>
        <v>Published</v>
      </c>
      <c r="O904" s="1">
        <f t="shared" si="71"/>
        <v>0</v>
      </c>
      <c r="P904" s="1">
        <v>91</v>
      </c>
      <c r="Q904" s="1">
        <v>1148</v>
      </c>
      <c r="R904" s="1" t="str">
        <f t="shared" si="74"/>
        <v>4</v>
      </c>
      <c r="S904" s="1">
        <v>4</v>
      </c>
      <c r="T904" s="1" t="str">
        <f t="shared" si="72"/>
        <v>4</v>
      </c>
      <c r="U904" s="1">
        <v>-33.708119000000003</v>
      </c>
      <c r="V904" s="3">
        <v>151.11158599999999</v>
      </c>
    </row>
    <row r="905" spans="1:22" x14ac:dyDescent="0.35">
      <c r="A905" s="22" t="s">
        <v>2826</v>
      </c>
      <c r="B905" s="1" t="s">
        <v>2827</v>
      </c>
      <c r="C905" s="1" t="s">
        <v>2828</v>
      </c>
      <c r="D905" s="1" t="s">
        <v>252</v>
      </c>
      <c r="E905" s="1" t="s">
        <v>96</v>
      </c>
      <c r="F905" s="1" t="s">
        <v>69</v>
      </c>
      <c r="G905" s="1">
        <f t="shared" si="70"/>
        <v>3</v>
      </c>
      <c r="H905" s="1" t="s">
        <v>70</v>
      </c>
      <c r="I905" s="1" t="s">
        <v>49</v>
      </c>
      <c r="J905" s="23" t="s">
        <v>50</v>
      </c>
      <c r="K905" s="2" t="s">
        <v>51</v>
      </c>
      <c r="L905" s="1">
        <v>15</v>
      </c>
      <c r="M905" s="1"/>
      <c r="N905" s="1" t="str">
        <f t="shared" si="73"/>
        <v>Suppressed</v>
      </c>
      <c r="O905" s="1" t="str">
        <f t="shared" si="71"/>
        <v/>
      </c>
      <c r="P905" s="1">
        <v>0</v>
      </c>
      <c r="Q905" s="1">
        <v>849</v>
      </c>
      <c r="R905" s="1" t="str">
        <f t="shared" si="74"/>
        <v>1</v>
      </c>
      <c r="S905" s="1">
        <v>141</v>
      </c>
      <c r="T905" s="1" t="str">
        <f t="shared" si="72"/>
        <v>1</v>
      </c>
      <c r="U905" s="1">
        <v>-35.466320000000003</v>
      </c>
      <c r="V905" s="3">
        <v>144.39312699999999</v>
      </c>
    </row>
    <row r="906" spans="1:22" x14ac:dyDescent="0.35">
      <c r="A906" s="22" t="s">
        <v>2829</v>
      </c>
      <c r="B906" s="1" t="s">
        <v>2830</v>
      </c>
      <c r="C906" s="1" t="s">
        <v>2831</v>
      </c>
      <c r="D906" s="1" t="s">
        <v>591</v>
      </c>
      <c r="E906" s="1" t="s">
        <v>96</v>
      </c>
      <c r="F906" s="1" t="s">
        <v>69</v>
      </c>
      <c r="G906" s="1">
        <f t="shared" si="70"/>
        <v>3</v>
      </c>
      <c r="H906" s="1" t="s">
        <v>70</v>
      </c>
      <c r="I906" s="1" t="s">
        <v>49</v>
      </c>
      <c r="J906" s="23" t="s">
        <v>50</v>
      </c>
      <c r="K906" s="2" t="s">
        <v>51</v>
      </c>
      <c r="L906" s="1">
        <v>19</v>
      </c>
      <c r="M906" s="1">
        <v>0</v>
      </c>
      <c r="N906" s="1" t="str">
        <f t="shared" si="73"/>
        <v>Published</v>
      </c>
      <c r="O906" s="1">
        <f t="shared" si="71"/>
        <v>0</v>
      </c>
      <c r="P906" s="1">
        <v>0</v>
      </c>
      <c r="Q906" s="1">
        <v>973</v>
      </c>
      <c r="R906" s="1" t="str">
        <f t="shared" si="74"/>
        <v>2</v>
      </c>
      <c r="S906" s="1">
        <v>115</v>
      </c>
      <c r="T906" s="1" t="str">
        <f t="shared" si="72"/>
        <v>1</v>
      </c>
      <c r="U906" s="1">
        <v>-35.687427</v>
      </c>
      <c r="V906" s="3">
        <v>146.72677899999999</v>
      </c>
    </row>
    <row r="907" spans="1:22" x14ac:dyDescent="0.35">
      <c r="A907" s="22" t="s">
        <v>2832</v>
      </c>
      <c r="B907" s="1" t="s">
        <v>2833</v>
      </c>
      <c r="C907" s="1" t="s">
        <v>2834</v>
      </c>
      <c r="D907" s="1" t="s">
        <v>2834</v>
      </c>
      <c r="E907" s="1" t="s">
        <v>91</v>
      </c>
      <c r="F907" s="1" t="s">
        <v>69</v>
      </c>
      <c r="G907" s="1">
        <f t="shared" si="70"/>
        <v>3</v>
      </c>
      <c r="H907" s="1" t="s">
        <v>92</v>
      </c>
      <c r="I907" s="1" t="s">
        <v>132</v>
      </c>
      <c r="J907" s="23" t="s">
        <v>50</v>
      </c>
      <c r="K907" s="2" t="s">
        <v>51</v>
      </c>
      <c r="L907" s="1">
        <v>229.8</v>
      </c>
      <c r="M907" s="1">
        <v>27</v>
      </c>
      <c r="N907" s="1" t="str">
        <f t="shared" si="73"/>
        <v>Published</v>
      </c>
      <c r="O907" s="1">
        <f t="shared" si="71"/>
        <v>62.046000000000006</v>
      </c>
      <c r="P907" s="1">
        <v>26</v>
      </c>
      <c r="Q907" s="1">
        <v>906</v>
      </c>
      <c r="R907" s="1" t="str">
        <f t="shared" si="74"/>
        <v>2</v>
      </c>
      <c r="S907" s="1">
        <v>120</v>
      </c>
      <c r="T907" s="1" t="str">
        <f t="shared" si="72"/>
        <v>2</v>
      </c>
      <c r="U907" s="1">
        <v>-30.981805000000001</v>
      </c>
      <c r="V907" s="3">
        <v>151.60419400000001</v>
      </c>
    </row>
    <row r="908" spans="1:22" x14ac:dyDescent="0.35">
      <c r="A908" s="22" t="s">
        <v>2835</v>
      </c>
      <c r="B908" s="1" t="s">
        <v>2836</v>
      </c>
      <c r="C908" s="1" t="s">
        <v>649</v>
      </c>
      <c r="D908" s="1" t="s">
        <v>649</v>
      </c>
      <c r="E908" s="1" t="s">
        <v>102</v>
      </c>
      <c r="F908" s="1" t="s">
        <v>241</v>
      </c>
      <c r="G908" s="1">
        <f t="shared" si="70"/>
        <v>4</v>
      </c>
      <c r="H908" s="1" t="s">
        <v>86</v>
      </c>
      <c r="I908" s="1" t="s">
        <v>49</v>
      </c>
      <c r="J908" s="23" t="s">
        <v>50</v>
      </c>
      <c r="K908" s="2" t="s">
        <v>51</v>
      </c>
      <c r="L908" s="1">
        <v>97</v>
      </c>
      <c r="M908" s="1">
        <v>98</v>
      </c>
      <c r="N908" s="1" t="str">
        <f t="shared" si="73"/>
        <v>Published</v>
      </c>
      <c r="O908" s="1">
        <f t="shared" si="71"/>
        <v>95.06</v>
      </c>
      <c r="P908" s="1">
        <v>94</v>
      </c>
      <c r="Q908" s="1">
        <v>672</v>
      </c>
      <c r="R908" s="1" t="str">
        <f t="shared" si="74"/>
        <v>1</v>
      </c>
      <c r="S908" s="1">
        <v>200</v>
      </c>
      <c r="T908" s="1" t="str">
        <f t="shared" si="72"/>
        <v>1</v>
      </c>
      <c r="U908" s="1">
        <v>-30.020291</v>
      </c>
      <c r="V908" s="3">
        <v>148.11565999999999</v>
      </c>
    </row>
    <row r="909" spans="1:22" x14ac:dyDescent="0.35">
      <c r="A909" s="22" t="s">
        <v>2837</v>
      </c>
      <c r="B909" s="1" t="s">
        <v>2838</v>
      </c>
      <c r="C909" s="1" t="s">
        <v>2839</v>
      </c>
      <c r="D909" s="1" t="s">
        <v>439</v>
      </c>
      <c r="E909" s="1" t="s">
        <v>91</v>
      </c>
      <c r="F909" s="1" t="s">
        <v>69</v>
      </c>
      <c r="G909" s="1">
        <f t="shared" si="70"/>
        <v>3</v>
      </c>
      <c r="H909" s="1" t="s">
        <v>92</v>
      </c>
      <c r="I909" s="1" t="s">
        <v>49</v>
      </c>
      <c r="J909" s="23" t="s">
        <v>50</v>
      </c>
      <c r="K909" s="2" t="s">
        <v>51</v>
      </c>
      <c r="L909" s="1">
        <v>10</v>
      </c>
      <c r="M909" s="1">
        <v>100</v>
      </c>
      <c r="N909" s="1" t="str">
        <f t="shared" si="73"/>
        <v>Published</v>
      </c>
      <c r="O909" s="1">
        <f t="shared" si="71"/>
        <v>10</v>
      </c>
      <c r="P909" s="1">
        <v>0</v>
      </c>
      <c r="Q909" s="1">
        <v>692</v>
      </c>
      <c r="R909" s="1" t="str">
        <f t="shared" si="74"/>
        <v>1</v>
      </c>
      <c r="S909" s="1">
        <v>170</v>
      </c>
      <c r="T909" s="1" t="str">
        <f t="shared" si="72"/>
        <v>1</v>
      </c>
      <c r="U909" s="1">
        <v>-31.39507</v>
      </c>
      <c r="V909" s="3">
        <v>150.42622600000001</v>
      </c>
    </row>
    <row r="910" spans="1:22" x14ac:dyDescent="0.35">
      <c r="A910" s="22" t="s">
        <v>2840</v>
      </c>
      <c r="B910" s="1" t="s">
        <v>2841</v>
      </c>
      <c r="C910" s="1" t="s">
        <v>2842</v>
      </c>
      <c r="D910" s="1" t="s">
        <v>439</v>
      </c>
      <c r="E910" s="1" t="s">
        <v>91</v>
      </c>
      <c r="F910" s="1" t="s">
        <v>69</v>
      </c>
      <c r="G910" s="1">
        <f t="shared" si="70"/>
        <v>3</v>
      </c>
      <c r="H910" s="1" t="s">
        <v>92</v>
      </c>
      <c r="I910" s="1" t="s">
        <v>49</v>
      </c>
      <c r="J910" s="23" t="s">
        <v>50</v>
      </c>
      <c r="K910" s="2" t="s">
        <v>51</v>
      </c>
      <c r="L910" s="1">
        <v>37</v>
      </c>
      <c r="M910" s="1">
        <v>24</v>
      </c>
      <c r="N910" s="1" t="str">
        <f t="shared" si="73"/>
        <v>Published</v>
      </c>
      <c r="O910" s="1">
        <f t="shared" si="71"/>
        <v>8.879999999999999</v>
      </c>
      <c r="P910" s="1"/>
      <c r="Q910" s="1">
        <v>941</v>
      </c>
      <c r="R910" s="1" t="str">
        <f t="shared" si="74"/>
        <v>2</v>
      </c>
      <c r="S910" s="1">
        <v>98</v>
      </c>
      <c r="T910" s="1" t="str">
        <f t="shared" si="72"/>
        <v>1</v>
      </c>
      <c r="U910" s="1">
        <v>-31.541043999999999</v>
      </c>
      <c r="V910" s="3">
        <v>150.82825600000001</v>
      </c>
    </row>
    <row r="911" spans="1:22" x14ac:dyDescent="0.35">
      <c r="A911" s="22" t="s">
        <v>2843</v>
      </c>
      <c r="B911" s="1" t="s">
        <v>2844</v>
      </c>
      <c r="C911" s="1" t="s">
        <v>2845</v>
      </c>
      <c r="D911" s="1" t="s">
        <v>1131</v>
      </c>
      <c r="E911" s="1" t="s">
        <v>429</v>
      </c>
      <c r="F911" s="1" t="s">
        <v>57</v>
      </c>
      <c r="G911" s="1">
        <f t="shared" si="70"/>
        <v>2</v>
      </c>
      <c r="H911" s="1" t="s">
        <v>86</v>
      </c>
      <c r="I911" s="1" t="s">
        <v>49</v>
      </c>
      <c r="J911" s="23" t="s">
        <v>50</v>
      </c>
      <c r="K911" s="2" t="s">
        <v>51</v>
      </c>
      <c r="L911" s="1">
        <v>53</v>
      </c>
      <c r="M911" s="1">
        <v>11</v>
      </c>
      <c r="N911" s="1" t="str">
        <f t="shared" si="73"/>
        <v>Published</v>
      </c>
      <c r="O911" s="1">
        <f t="shared" si="71"/>
        <v>5.83</v>
      </c>
      <c r="P911" s="1">
        <v>21</v>
      </c>
      <c r="Q911" s="1">
        <v>959</v>
      </c>
      <c r="R911" s="1" t="str">
        <f t="shared" si="74"/>
        <v>2</v>
      </c>
      <c r="S911" s="1">
        <v>114</v>
      </c>
      <c r="T911" s="1" t="str">
        <f t="shared" si="72"/>
        <v>1</v>
      </c>
      <c r="U911" s="1">
        <v>-33.862695000000002</v>
      </c>
      <c r="V911" s="3">
        <v>150.64161300000001</v>
      </c>
    </row>
    <row r="912" spans="1:22" x14ac:dyDescent="0.35">
      <c r="A912" s="22" t="s">
        <v>2846</v>
      </c>
      <c r="B912" s="1" t="s">
        <v>2847</v>
      </c>
      <c r="C912" s="1" t="s">
        <v>2848</v>
      </c>
      <c r="D912" s="1" t="s">
        <v>591</v>
      </c>
      <c r="E912" s="1" t="s">
        <v>96</v>
      </c>
      <c r="F912" s="1" t="s">
        <v>57</v>
      </c>
      <c r="G912" s="1">
        <f t="shared" si="70"/>
        <v>2</v>
      </c>
      <c r="H912" s="1" t="s">
        <v>70</v>
      </c>
      <c r="I912" s="1" t="s">
        <v>49</v>
      </c>
      <c r="J912" s="23" t="s">
        <v>50</v>
      </c>
      <c r="K912" s="2" t="s">
        <v>51</v>
      </c>
      <c r="L912" s="1">
        <v>40</v>
      </c>
      <c r="M912" s="1">
        <v>15</v>
      </c>
      <c r="N912" s="1" t="str">
        <f t="shared" si="73"/>
        <v>Published</v>
      </c>
      <c r="O912" s="1">
        <f t="shared" si="71"/>
        <v>6</v>
      </c>
      <c r="P912" s="1"/>
      <c r="Q912" s="1">
        <v>963</v>
      </c>
      <c r="R912" s="1" t="str">
        <f t="shared" si="74"/>
        <v>2</v>
      </c>
      <c r="S912" s="1">
        <v>124</v>
      </c>
      <c r="T912" s="1" t="str">
        <f t="shared" si="72"/>
        <v>1</v>
      </c>
      <c r="U912" s="1">
        <v>-35.757961000000002</v>
      </c>
      <c r="V912" s="3">
        <v>146.90062499999999</v>
      </c>
    </row>
    <row r="913" spans="1:22" x14ac:dyDescent="0.35">
      <c r="A913" s="22" t="s">
        <v>2849</v>
      </c>
      <c r="B913" s="1" t="s">
        <v>2850</v>
      </c>
      <c r="C913" s="1" t="s">
        <v>2851</v>
      </c>
      <c r="D913" s="1" t="s">
        <v>872</v>
      </c>
      <c r="E913" s="1" t="s">
        <v>261</v>
      </c>
      <c r="F913" s="1" t="s">
        <v>57</v>
      </c>
      <c r="G913" s="1">
        <f t="shared" si="70"/>
        <v>2</v>
      </c>
      <c r="H913" s="1" t="s">
        <v>58</v>
      </c>
      <c r="I913" s="1" t="s">
        <v>49</v>
      </c>
      <c r="J913" s="23" t="s">
        <v>50</v>
      </c>
      <c r="K913" s="2" t="s">
        <v>51</v>
      </c>
      <c r="L913" s="1">
        <v>186</v>
      </c>
      <c r="M913" s="1">
        <v>27</v>
      </c>
      <c r="N913" s="1" t="str">
        <f t="shared" si="73"/>
        <v>Published</v>
      </c>
      <c r="O913" s="1">
        <f t="shared" si="71"/>
        <v>50.220000000000006</v>
      </c>
      <c r="P913" s="1">
        <v>4</v>
      </c>
      <c r="Q913" s="1">
        <v>909</v>
      </c>
      <c r="R913" s="1" t="str">
        <f t="shared" si="74"/>
        <v>2</v>
      </c>
      <c r="S913" s="1">
        <v>132</v>
      </c>
      <c r="T913" s="1" t="str">
        <f t="shared" si="72"/>
        <v>2</v>
      </c>
      <c r="U913" s="1">
        <v>-33.417679999999997</v>
      </c>
      <c r="V913" s="3">
        <v>150.069793</v>
      </c>
    </row>
    <row r="914" spans="1:22" x14ac:dyDescent="0.35">
      <c r="A914" s="22" t="s">
        <v>2852</v>
      </c>
      <c r="B914" s="1" t="s">
        <v>2853</v>
      </c>
      <c r="C914" s="1" t="s">
        <v>2854</v>
      </c>
      <c r="D914" s="1" t="s">
        <v>74</v>
      </c>
      <c r="E914" s="1" t="s">
        <v>75</v>
      </c>
      <c r="F914" s="1" t="s">
        <v>47</v>
      </c>
      <c r="G914" s="1">
        <f t="shared" si="70"/>
        <v>1</v>
      </c>
      <c r="H914" s="1" t="s">
        <v>63</v>
      </c>
      <c r="I914" s="1" t="s">
        <v>49</v>
      </c>
      <c r="J914" s="23" t="s">
        <v>50</v>
      </c>
      <c r="K914" s="2" t="s">
        <v>51</v>
      </c>
      <c r="L914" s="1">
        <v>252</v>
      </c>
      <c r="M914" s="1">
        <v>18</v>
      </c>
      <c r="N914" s="1" t="str">
        <f t="shared" si="73"/>
        <v>Published</v>
      </c>
      <c r="O914" s="1">
        <f t="shared" si="71"/>
        <v>45.36</v>
      </c>
      <c r="P914" s="1">
        <v>26</v>
      </c>
      <c r="Q914" s="1">
        <v>965</v>
      </c>
      <c r="R914" s="1" t="str">
        <f t="shared" si="74"/>
        <v>2</v>
      </c>
      <c r="S914" s="1">
        <v>102</v>
      </c>
      <c r="T914" s="1" t="str">
        <f t="shared" si="72"/>
        <v>2</v>
      </c>
      <c r="U914" s="1">
        <v>-32.908099</v>
      </c>
      <c r="V914" s="3">
        <v>151.671582</v>
      </c>
    </row>
    <row r="915" spans="1:22" x14ac:dyDescent="0.35">
      <c r="A915" s="22" t="s">
        <v>2855</v>
      </c>
      <c r="B915" s="1" t="s">
        <v>2856</v>
      </c>
      <c r="C915" s="1" t="s">
        <v>2857</v>
      </c>
      <c r="D915" s="1" t="s">
        <v>191</v>
      </c>
      <c r="E915" s="1" t="s">
        <v>75</v>
      </c>
      <c r="F915" s="1" t="s">
        <v>47</v>
      </c>
      <c r="G915" s="1">
        <f t="shared" si="70"/>
        <v>1</v>
      </c>
      <c r="H915" s="1" t="s">
        <v>63</v>
      </c>
      <c r="I915" s="1" t="s">
        <v>49</v>
      </c>
      <c r="J915" s="23" t="s">
        <v>50</v>
      </c>
      <c r="K915" s="2" t="s">
        <v>51</v>
      </c>
      <c r="L915" s="1">
        <v>268</v>
      </c>
      <c r="M915" s="1">
        <v>20</v>
      </c>
      <c r="N915" s="1" t="str">
        <f t="shared" si="73"/>
        <v>Published</v>
      </c>
      <c r="O915" s="1">
        <f t="shared" si="71"/>
        <v>53.6</v>
      </c>
      <c r="P915" s="1">
        <v>4</v>
      </c>
      <c r="Q915" s="1">
        <v>950</v>
      </c>
      <c r="R915" s="1" t="str">
        <f t="shared" si="74"/>
        <v>2</v>
      </c>
      <c r="S915" s="1">
        <v>108</v>
      </c>
      <c r="T915" s="1" t="str">
        <f t="shared" si="72"/>
        <v>2</v>
      </c>
      <c r="U915" s="1">
        <v>-32.904606000000001</v>
      </c>
      <c r="V915" s="3">
        <v>151.58070699999999</v>
      </c>
    </row>
    <row r="916" spans="1:22" x14ac:dyDescent="0.35">
      <c r="A916" s="22" t="s">
        <v>2858</v>
      </c>
      <c r="B916" s="1" t="s">
        <v>2859</v>
      </c>
      <c r="C916" s="1" t="s">
        <v>2860</v>
      </c>
      <c r="D916" s="1" t="s">
        <v>1763</v>
      </c>
      <c r="E916" s="1" t="s">
        <v>80</v>
      </c>
      <c r="F916" s="1" t="s">
        <v>69</v>
      </c>
      <c r="G916" s="1">
        <f t="shared" si="70"/>
        <v>3</v>
      </c>
      <c r="H916" s="1" t="s">
        <v>70</v>
      </c>
      <c r="I916" s="1" t="s">
        <v>49</v>
      </c>
      <c r="J916" s="23" t="s">
        <v>50</v>
      </c>
      <c r="K916" s="2" t="s">
        <v>51</v>
      </c>
      <c r="L916" s="1">
        <v>16</v>
      </c>
      <c r="M916" s="1">
        <v>44</v>
      </c>
      <c r="N916" s="1" t="str">
        <f t="shared" si="73"/>
        <v>Published</v>
      </c>
      <c r="O916" s="1">
        <f t="shared" si="71"/>
        <v>7.04</v>
      </c>
      <c r="P916" s="1">
        <v>0</v>
      </c>
      <c r="Q916" s="1">
        <v>826</v>
      </c>
      <c r="R916" s="1" t="str">
        <f t="shared" si="74"/>
        <v>1</v>
      </c>
      <c r="S916" s="1">
        <v>175</v>
      </c>
      <c r="T916" s="1" t="str">
        <f t="shared" si="72"/>
        <v>1</v>
      </c>
      <c r="U916" s="1">
        <v>-34.526015000000001</v>
      </c>
      <c r="V916" s="3">
        <v>146.33087599999999</v>
      </c>
    </row>
    <row r="917" spans="1:22" x14ac:dyDescent="0.35">
      <c r="A917" s="22" t="s">
        <v>2861</v>
      </c>
      <c r="B917" s="1" t="s">
        <v>2862</v>
      </c>
      <c r="C917" s="1" t="s">
        <v>2863</v>
      </c>
      <c r="D917" s="1" t="s">
        <v>543</v>
      </c>
      <c r="E917" s="1" t="s">
        <v>102</v>
      </c>
      <c r="F917" s="1" t="s">
        <v>544</v>
      </c>
      <c r="G917" s="1">
        <f t="shared" si="70"/>
        <v>5</v>
      </c>
      <c r="H917" s="1" t="s">
        <v>70</v>
      </c>
      <c r="I917" s="1" t="s">
        <v>49</v>
      </c>
      <c r="J917" s="23" t="s">
        <v>50</v>
      </c>
      <c r="K917" s="2" t="s">
        <v>51</v>
      </c>
      <c r="L917" s="1">
        <v>7</v>
      </c>
      <c r="M917" s="1"/>
      <c r="N917" s="1" t="str">
        <f t="shared" si="73"/>
        <v>Suppressed</v>
      </c>
      <c r="O917" s="1" t="str">
        <f t="shared" si="71"/>
        <v/>
      </c>
      <c r="P917" s="1">
        <v>0</v>
      </c>
      <c r="Q917" s="1">
        <v>851</v>
      </c>
      <c r="R917" s="1" t="str">
        <f t="shared" si="74"/>
        <v>1</v>
      </c>
      <c r="S917" s="1">
        <v>118</v>
      </c>
      <c r="T917" s="1" t="str">
        <f t="shared" si="72"/>
        <v>1</v>
      </c>
      <c r="U917" s="1">
        <v>-29.705266999999999</v>
      </c>
      <c r="V917" s="3">
        <v>144.145456</v>
      </c>
    </row>
    <row r="918" spans="1:22" x14ac:dyDescent="0.35">
      <c r="A918" s="22" t="s">
        <v>2864</v>
      </c>
      <c r="B918" s="1" t="s">
        <v>2865</v>
      </c>
      <c r="C918" s="1" t="s">
        <v>2866</v>
      </c>
      <c r="D918" s="1" t="s">
        <v>191</v>
      </c>
      <c r="E918" s="1" t="s">
        <v>75</v>
      </c>
      <c r="F918" s="1" t="s">
        <v>47</v>
      </c>
      <c r="G918" s="1">
        <f t="shared" si="70"/>
        <v>1</v>
      </c>
      <c r="H918" s="1" t="s">
        <v>63</v>
      </c>
      <c r="I918" s="1" t="s">
        <v>49</v>
      </c>
      <c r="J918" s="23" t="s">
        <v>50</v>
      </c>
      <c r="K918" s="2" t="s">
        <v>51</v>
      </c>
      <c r="L918" s="1">
        <v>181</v>
      </c>
      <c r="M918" s="1">
        <v>17</v>
      </c>
      <c r="N918" s="1" t="str">
        <f t="shared" si="73"/>
        <v>Published</v>
      </c>
      <c r="O918" s="1">
        <f t="shared" si="71"/>
        <v>30.770000000000003</v>
      </c>
      <c r="P918" s="1">
        <v>15</v>
      </c>
      <c r="Q918" s="1">
        <v>987</v>
      </c>
      <c r="R918" s="1" t="str">
        <f t="shared" si="74"/>
        <v>2</v>
      </c>
      <c r="S918" s="1">
        <v>102</v>
      </c>
      <c r="T918" s="1" t="str">
        <f t="shared" si="72"/>
        <v>2</v>
      </c>
      <c r="U918" s="1">
        <v>-33.072298000000004</v>
      </c>
      <c r="V918" s="3">
        <v>151.58299400000001</v>
      </c>
    </row>
    <row r="919" spans="1:22" x14ac:dyDescent="0.35">
      <c r="A919" s="22" t="s">
        <v>2867</v>
      </c>
      <c r="B919" s="1" t="s">
        <v>2868</v>
      </c>
      <c r="C919" s="1" t="s">
        <v>2869</v>
      </c>
      <c r="D919" s="1" t="s">
        <v>74</v>
      </c>
      <c r="E919" s="1" t="s">
        <v>75</v>
      </c>
      <c r="F919" s="1" t="s">
        <v>47</v>
      </c>
      <c r="G919" s="1">
        <f t="shared" si="70"/>
        <v>1</v>
      </c>
      <c r="H919" s="1" t="s">
        <v>63</v>
      </c>
      <c r="I919" s="1" t="s">
        <v>49</v>
      </c>
      <c r="J919" s="23" t="s">
        <v>50</v>
      </c>
      <c r="K919" s="2" t="s">
        <v>51</v>
      </c>
      <c r="L919" s="1">
        <v>351</v>
      </c>
      <c r="M919" s="1">
        <v>13</v>
      </c>
      <c r="N919" s="1" t="str">
        <f t="shared" si="73"/>
        <v>Published</v>
      </c>
      <c r="O919" s="1">
        <f t="shared" si="71"/>
        <v>45.63</v>
      </c>
      <c r="P919" s="1">
        <v>20</v>
      </c>
      <c r="Q919" s="1">
        <v>1019</v>
      </c>
      <c r="R919" s="1" t="str">
        <f t="shared" si="74"/>
        <v>3</v>
      </c>
      <c r="S919" s="1">
        <v>77</v>
      </c>
      <c r="T919" s="1" t="str">
        <f t="shared" si="72"/>
        <v>3</v>
      </c>
      <c r="U919" s="1">
        <v>-32.905045999999999</v>
      </c>
      <c r="V919" s="3">
        <v>151.722576</v>
      </c>
    </row>
    <row r="920" spans="1:22" x14ac:dyDescent="0.35">
      <c r="A920" s="22" t="s">
        <v>2870</v>
      </c>
      <c r="B920" s="1" t="s">
        <v>2871</v>
      </c>
      <c r="C920" s="1" t="s">
        <v>668</v>
      </c>
      <c r="D920" s="1" t="s">
        <v>106</v>
      </c>
      <c r="E920" s="1" t="s">
        <v>107</v>
      </c>
      <c r="F920" s="1" t="s">
        <v>57</v>
      </c>
      <c r="G920" s="1">
        <f t="shared" si="70"/>
        <v>2</v>
      </c>
      <c r="H920" s="1" t="s">
        <v>92</v>
      </c>
      <c r="I920" s="1" t="s">
        <v>49</v>
      </c>
      <c r="J920" s="23" t="s">
        <v>50</v>
      </c>
      <c r="K920" s="2" t="s">
        <v>51</v>
      </c>
      <c r="L920" s="1">
        <v>24</v>
      </c>
      <c r="M920" s="1">
        <v>25</v>
      </c>
      <c r="N920" s="1" t="str">
        <f t="shared" si="73"/>
        <v>Published</v>
      </c>
      <c r="O920" s="1">
        <f t="shared" si="71"/>
        <v>6</v>
      </c>
      <c r="P920" s="1"/>
      <c r="Q920" s="1">
        <v>952</v>
      </c>
      <c r="R920" s="1" t="str">
        <f t="shared" si="74"/>
        <v>2</v>
      </c>
      <c r="S920" s="1">
        <v>116</v>
      </c>
      <c r="T920" s="1" t="str">
        <f t="shared" si="72"/>
        <v>1</v>
      </c>
      <c r="U920" s="1">
        <v>-28.950251999999999</v>
      </c>
      <c r="V920" s="3">
        <v>153.46877900000001</v>
      </c>
    </row>
    <row r="921" spans="1:22" x14ac:dyDescent="0.35">
      <c r="A921" s="22" t="s">
        <v>2872</v>
      </c>
      <c r="B921" s="1" t="s">
        <v>2873</v>
      </c>
      <c r="C921" s="1" t="s">
        <v>2874</v>
      </c>
      <c r="D921" s="1" t="s">
        <v>415</v>
      </c>
      <c r="E921" s="1" t="s">
        <v>91</v>
      </c>
      <c r="F921" s="1" t="s">
        <v>69</v>
      </c>
      <c r="G921" s="1">
        <f t="shared" si="70"/>
        <v>3</v>
      </c>
      <c r="H921" s="1" t="s">
        <v>92</v>
      </c>
      <c r="I921" s="1" t="s">
        <v>49</v>
      </c>
      <c r="J921" s="23" t="s">
        <v>50</v>
      </c>
      <c r="K921" s="2" t="s">
        <v>51</v>
      </c>
      <c r="L921" s="1">
        <v>192</v>
      </c>
      <c r="M921" s="1">
        <v>17</v>
      </c>
      <c r="N921" s="1" t="str">
        <f t="shared" si="73"/>
        <v>Published</v>
      </c>
      <c r="O921" s="1">
        <f t="shared" si="71"/>
        <v>32.64</v>
      </c>
      <c r="P921" s="1"/>
      <c r="Q921" s="1">
        <v>927</v>
      </c>
      <c r="R921" s="1" t="str">
        <f t="shared" si="74"/>
        <v>2</v>
      </c>
      <c r="S921" s="1">
        <v>116</v>
      </c>
      <c r="T921" s="1" t="str">
        <f t="shared" si="72"/>
        <v>2</v>
      </c>
      <c r="U921" s="1">
        <v>-29.541830999999998</v>
      </c>
      <c r="V921" s="3">
        <v>150.57363799999999</v>
      </c>
    </row>
    <row r="922" spans="1:22" x14ac:dyDescent="0.35">
      <c r="A922" s="22" t="s">
        <v>2875</v>
      </c>
      <c r="B922" s="1" t="s">
        <v>2876</v>
      </c>
      <c r="C922" s="1" t="s">
        <v>2877</v>
      </c>
      <c r="D922" s="1" t="s">
        <v>191</v>
      </c>
      <c r="E922" s="1" t="s">
        <v>75</v>
      </c>
      <c r="F922" s="1" t="s">
        <v>47</v>
      </c>
      <c r="G922" s="1">
        <f t="shared" si="70"/>
        <v>1</v>
      </c>
      <c r="H922" s="1" t="s">
        <v>63</v>
      </c>
      <c r="I922" s="1" t="s">
        <v>49</v>
      </c>
      <c r="J922" s="23" t="s">
        <v>50</v>
      </c>
      <c r="K922" s="2" t="s">
        <v>51</v>
      </c>
      <c r="L922" s="1">
        <v>340</v>
      </c>
      <c r="M922" s="1">
        <v>7</v>
      </c>
      <c r="N922" s="1" t="str">
        <f t="shared" si="73"/>
        <v>Published</v>
      </c>
      <c r="O922" s="1">
        <f t="shared" si="71"/>
        <v>23.8</v>
      </c>
      <c r="P922" s="1">
        <v>9</v>
      </c>
      <c r="Q922" s="1">
        <v>1027</v>
      </c>
      <c r="R922" s="1" t="str">
        <f t="shared" si="74"/>
        <v>3</v>
      </c>
      <c r="S922" s="1">
        <v>76</v>
      </c>
      <c r="T922" s="1" t="str">
        <f t="shared" si="72"/>
        <v>3</v>
      </c>
      <c r="U922" s="1">
        <v>-32.979970999999999</v>
      </c>
      <c r="V922" s="3">
        <v>151.64861400000001</v>
      </c>
    </row>
    <row r="923" spans="1:22" x14ac:dyDescent="0.35">
      <c r="A923" s="22" t="s">
        <v>2878</v>
      </c>
      <c r="B923" s="1" t="s">
        <v>2879</v>
      </c>
      <c r="C923" s="1" t="s">
        <v>2880</v>
      </c>
      <c r="D923" s="1" t="s">
        <v>1776</v>
      </c>
      <c r="E923" s="1" t="s">
        <v>147</v>
      </c>
      <c r="F923" s="1" t="s">
        <v>47</v>
      </c>
      <c r="G923" s="1">
        <f t="shared" si="70"/>
        <v>1</v>
      </c>
      <c r="H923" s="1" t="s">
        <v>148</v>
      </c>
      <c r="I923" s="1" t="s">
        <v>49</v>
      </c>
      <c r="J923" s="23" t="s">
        <v>50</v>
      </c>
      <c r="K923" s="2" t="s">
        <v>51</v>
      </c>
      <c r="L923" s="1">
        <v>622</v>
      </c>
      <c r="M923" s="1"/>
      <c r="N923" s="1" t="str">
        <f t="shared" si="73"/>
        <v>Suppressed</v>
      </c>
      <c r="O923" s="1" t="str">
        <f t="shared" si="71"/>
        <v/>
      </c>
      <c r="P923" s="1">
        <v>55</v>
      </c>
      <c r="Q923" s="1">
        <v>1170</v>
      </c>
      <c r="R923" s="1" t="str">
        <f t="shared" si="74"/>
        <v>4</v>
      </c>
      <c r="S923" s="1">
        <v>0</v>
      </c>
      <c r="T923" s="1" t="str">
        <f t="shared" si="72"/>
        <v>4</v>
      </c>
      <c r="U923" s="1">
        <v>-33.729483999999999</v>
      </c>
      <c r="V923" s="3">
        <v>151.12123600000001</v>
      </c>
    </row>
    <row r="924" spans="1:22" x14ac:dyDescent="0.35">
      <c r="A924" s="22" t="s">
        <v>2881</v>
      </c>
      <c r="B924" s="1" t="s">
        <v>2882</v>
      </c>
      <c r="C924" s="1" t="s">
        <v>2883</v>
      </c>
      <c r="D924" s="1" t="s">
        <v>2884</v>
      </c>
      <c r="E924" s="1" t="s">
        <v>102</v>
      </c>
      <c r="F924" s="1" t="s">
        <v>69</v>
      </c>
      <c r="G924" s="1">
        <f t="shared" si="70"/>
        <v>3</v>
      </c>
      <c r="H924" s="1" t="s">
        <v>70</v>
      </c>
      <c r="I924" s="1" t="s">
        <v>132</v>
      </c>
      <c r="J924" s="23" t="s">
        <v>50</v>
      </c>
      <c r="K924" s="2" t="s">
        <v>51</v>
      </c>
      <c r="L924" s="1">
        <v>228</v>
      </c>
      <c r="M924" s="1">
        <v>61</v>
      </c>
      <c r="N924" s="1" t="str">
        <f t="shared" si="73"/>
        <v>Published</v>
      </c>
      <c r="O924" s="1">
        <f t="shared" si="71"/>
        <v>139.07999999999998</v>
      </c>
      <c r="P924" s="1">
        <v>8</v>
      </c>
      <c r="Q924" s="1">
        <v>783</v>
      </c>
      <c r="R924" s="1" t="str">
        <f t="shared" si="74"/>
        <v>1</v>
      </c>
      <c r="S924" s="1">
        <v>175</v>
      </c>
      <c r="T924" s="1" t="str">
        <f t="shared" si="72"/>
        <v>2</v>
      </c>
      <c r="U924" s="1">
        <v>-31.705113999999998</v>
      </c>
      <c r="V924" s="3">
        <v>147.83650299999999</v>
      </c>
    </row>
    <row r="925" spans="1:22" x14ac:dyDescent="0.35">
      <c r="A925" s="22" t="s">
        <v>2885</v>
      </c>
      <c r="B925" s="1" t="s">
        <v>2886</v>
      </c>
      <c r="C925" s="1" t="s">
        <v>2887</v>
      </c>
      <c r="D925" s="1" t="s">
        <v>737</v>
      </c>
      <c r="E925" s="1" t="s">
        <v>738</v>
      </c>
      <c r="F925" s="1" t="s">
        <v>57</v>
      </c>
      <c r="G925" s="1">
        <f t="shared" si="70"/>
        <v>2</v>
      </c>
      <c r="H925" s="1" t="s">
        <v>182</v>
      </c>
      <c r="I925" s="1" t="s">
        <v>49</v>
      </c>
      <c r="J925" s="23" t="s">
        <v>50</v>
      </c>
      <c r="K925" s="2" t="s">
        <v>51</v>
      </c>
      <c r="L925" s="1">
        <v>17</v>
      </c>
      <c r="M925" s="1"/>
      <c r="N925" s="1" t="str">
        <f t="shared" si="73"/>
        <v>Suppressed</v>
      </c>
      <c r="O925" s="1" t="str">
        <f t="shared" si="71"/>
        <v/>
      </c>
      <c r="P925" s="1">
        <v>33</v>
      </c>
      <c r="Q925" s="1">
        <v>1031</v>
      </c>
      <c r="R925" s="1" t="str">
        <f t="shared" si="74"/>
        <v>3</v>
      </c>
      <c r="S925" s="1">
        <v>61</v>
      </c>
      <c r="T925" s="1" t="str">
        <f t="shared" si="72"/>
        <v>1</v>
      </c>
      <c r="U925" s="1">
        <v>-34.137597999999997</v>
      </c>
      <c r="V925" s="3">
        <v>150.99597700000001</v>
      </c>
    </row>
    <row r="926" spans="1:22" x14ac:dyDescent="0.35">
      <c r="A926" s="22" t="s">
        <v>2888</v>
      </c>
      <c r="B926" s="1" t="s">
        <v>2889</v>
      </c>
      <c r="C926" s="1" t="s">
        <v>2890</v>
      </c>
      <c r="D926" s="1" t="s">
        <v>291</v>
      </c>
      <c r="E926" s="1" t="s">
        <v>261</v>
      </c>
      <c r="F926" s="1" t="s">
        <v>57</v>
      </c>
      <c r="G926" s="1">
        <f t="shared" si="70"/>
        <v>2</v>
      </c>
      <c r="H926" s="1" t="s">
        <v>58</v>
      </c>
      <c r="I926" s="1" t="s">
        <v>49</v>
      </c>
      <c r="J926" s="23" t="s">
        <v>50</v>
      </c>
      <c r="K926" s="2" t="s">
        <v>51</v>
      </c>
      <c r="L926" s="1">
        <v>9</v>
      </c>
      <c r="M926" s="1">
        <v>0</v>
      </c>
      <c r="N926" s="1" t="str">
        <f t="shared" si="73"/>
        <v>Published</v>
      </c>
      <c r="O926" s="1">
        <f t="shared" si="71"/>
        <v>0</v>
      </c>
      <c r="P926" s="1">
        <v>0</v>
      </c>
      <c r="Q926" s="1">
        <v>932</v>
      </c>
      <c r="R926" s="1" t="str">
        <f t="shared" si="74"/>
        <v>2</v>
      </c>
      <c r="S926" s="1">
        <v>158</v>
      </c>
      <c r="T926" s="1" t="str">
        <f t="shared" si="72"/>
        <v>1</v>
      </c>
      <c r="U926" s="1">
        <v>-33.141545000000001</v>
      </c>
      <c r="V926" s="3">
        <v>149.692677</v>
      </c>
    </row>
    <row r="927" spans="1:22" x14ac:dyDescent="0.35">
      <c r="A927" s="22" t="s">
        <v>2891</v>
      </c>
      <c r="B927" s="1" t="s">
        <v>2892</v>
      </c>
      <c r="C927" s="1" t="s">
        <v>301</v>
      </c>
      <c r="D927" s="1" t="s">
        <v>302</v>
      </c>
      <c r="E927" s="1" t="s">
        <v>276</v>
      </c>
      <c r="F927" s="1" t="s">
        <v>57</v>
      </c>
      <c r="G927" s="1">
        <f t="shared" si="70"/>
        <v>2</v>
      </c>
      <c r="H927" s="1" t="s">
        <v>58</v>
      </c>
      <c r="I927" s="1" t="s">
        <v>49</v>
      </c>
      <c r="J927" s="23" t="s">
        <v>50</v>
      </c>
      <c r="K927" s="2" t="s">
        <v>51</v>
      </c>
      <c r="L927" s="1">
        <v>624</v>
      </c>
      <c r="M927" s="1">
        <v>31</v>
      </c>
      <c r="N927" s="1" t="str">
        <f t="shared" si="73"/>
        <v>Published</v>
      </c>
      <c r="O927" s="1">
        <f t="shared" si="71"/>
        <v>193.44</v>
      </c>
      <c r="P927" s="1">
        <v>1</v>
      </c>
      <c r="Q927" s="1">
        <v>900</v>
      </c>
      <c r="R927" s="1" t="str">
        <f t="shared" si="74"/>
        <v>2</v>
      </c>
      <c r="S927" s="1">
        <v>132</v>
      </c>
      <c r="T927" s="1" t="str">
        <f t="shared" si="72"/>
        <v>4</v>
      </c>
      <c r="U927" s="1">
        <v>-31.455935</v>
      </c>
      <c r="V927" s="3">
        <v>152.729534</v>
      </c>
    </row>
    <row r="928" spans="1:22" x14ac:dyDescent="0.35">
      <c r="A928" s="22" t="s">
        <v>2893</v>
      </c>
      <c r="B928" s="1" t="s">
        <v>2894</v>
      </c>
      <c r="C928" s="1" t="s">
        <v>2895</v>
      </c>
      <c r="D928" s="1" t="s">
        <v>408</v>
      </c>
      <c r="E928" s="1" t="s">
        <v>68</v>
      </c>
      <c r="F928" s="1" t="s">
        <v>57</v>
      </c>
      <c r="G928" s="1">
        <f t="shared" si="70"/>
        <v>2</v>
      </c>
      <c r="H928" s="1" t="s">
        <v>86</v>
      </c>
      <c r="I928" s="1" t="s">
        <v>49</v>
      </c>
      <c r="J928" s="23" t="s">
        <v>50</v>
      </c>
      <c r="K928" s="2" t="s">
        <v>51</v>
      </c>
      <c r="L928" s="1">
        <v>4</v>
      </c>
      <c r="M928" s="1">
        <v>0</v>
      </c>
      <c r="N928" s="1" t="str">
        <f t="shared" si="73"/>
        <v>Published</v>
      </c>
      <c r="O928" s="1">
        <f t="shared" si="71"/>
        <v>0</v>
      </c>
      <c r="P928" s="1">
        <v>0</v>
      </c>
      <c r="Q928" s="1"/>
      <c r="R928" s="1" t="str">
        <f t="shared" si="74"/>
        <v>No ICSEA</v>
      </c>
      <c r="S928" s="1">
        <v>61</v>
      </c>
      <c r="T928" s="1" t="str">
        <f t="shared" si="72"/>
        <v>1</v>
      </c>
      <c r="U928" s="1">
        <v>-35.108784999999997</v>
      </c>
      <c r="V928" s="3">
        <v>148.67379199999999</v>
      </c>
    </row>
    <row r="929" spans="1:22" x14ac:dyDescent="0.35">
      <c r="A929" s="22" t="s">
        <v>2896</v>
      </c>
      <c r="B929" s="1" t="s">
        <v>2897</v>
      </c>
      <c r="C929" s="1" t="s">
        <v>2898</v>
      </c>
      <c r="D929" s="1" t="s">
        <v>260</v>
      </c>
      <c r="E929" s="1" t="s">
        <v>261</v>
      </c>
      <c r="F929" s="1" t="s">
        <v>69</v>
      </c>
      <c r="G929" s="1">
        <f t="shared" si="70"/>
        <v>3</v>
      </c>
      <c r="H929" s="1" t="s">
        <v>70</v>
      </c>
      <c r="I929" s="1" t="s">
        <v>49</v>
      </c>
      <c r="J929" s="23" t="s">
        <v>50</v>
      </c>
      <c r="K929" s="2" t="s">
        <v>51</v>
      </c>
      <c r="L929" s="1">
        <v>9</v>
      </c>
      <c r="M929" s="1"/>
      <c r="N929" s="1" t="str">
        <f t="shared" si="73"/>
        <v>Suppressed</v>
      </c>
      <c r="O929" s="1" t="str">
        <f t="shared" si="71"/>
        <v/>
      </c>
      <c r="P929" s="1">
        <v>0</v>
      </c>
      <c r="Q929" s="1">
        <v>900</v>
      </c>
      <c r="R929" s="1" t="str">
        <f t="shared" si="74"/>
        <v>2</v>
      </c>
      <c r="S929" s="1">
        <v>119</v>
      </c>
      <c r="T929" s="1" t="str">
        <f t="shared" si="72"/>
        <v>1</v>
      </c>
      <c r="U929" s="1">
        <v>-33.880023999999999</v>
      </c>
      <c r="V929" s="3">
        <v>146.61925600000001</v>
      </c>
    </row>
    <row r="930" spans="1:22" x14ac:dyDescent="0.35">
      <c r="A930" s="22" t="s">
        <v>2899</v>
      </c>
      <c r="B930" s="1" t="s">
        <v>2900</v>
      </c>
      <c r="C930" s="1" t="s">
        <v>2901</v>
      </c>
      <c r="D930" s="1" t="s">
        <v>318</v>
      </c>
      <c r="E930" s="1" t="s">
        <v>91</v>
      </c>
      <c r="F930" s="1" t="s">
        <v>69</v>
      </c>
      <c r="G930" s="1">
        <f t="shared" si="70"/>
        <v>3</v>
      </c>
      <c r="H930" s="1" t="s">
        <v>92</v>
      </c>
      <c r="I930" s="1" t="s">
        <v>49</v>
      </c>
      <c r="J930" s="23" t="s">
        <v>50</v>
      </c>
      <c r="K930" s="2" t="s">
        <v>51</v>
      </c>
      <c r="L930" s="1">
        <v>79</v>
      </c>
      <c r="M930" s="1">
        <v>70</v>
      </c>
      <c r="N930" s="1" t="str">
        <f t="shared" si="73"/>
        <v>Published</v>
      </c>
      <c r="O930" s="1">
        <f t="shared" si="71"/>
        <v>55.3</v>
      </c>
      <c r="P930" s="1"/>
      <c r="Q930" s="1">
        <v>720</v>
      </c>
      <c r="R930" s="1" t="str">
        <f t="shared" si="74"/>
        <v>1</v>
      </c>
      <c r="S930" s="1">
        <v>208</v>
      </c>
      <c r="T930" s="1" t="str">
        <f t="shared" si="72"/>
        <v>1</v>
      </c>
      <c r="U930" s="1">
        <v>-30.223621000000001</v>
      </c>
      <c r="V930" s="3">
        <v>149.442587</v>
      </c>
    </row>
    <row r="931" spans="1:22" x14ac:dyDescent="0.35">
      <c r="A931" s="22" t="s">
        <v>2902</v>
      </c>
      <c r="B931" s="1" t="s">
        <v>2903</v>
      </c>
      <c r="C931" s="1" t="s">
        <v>2904</v>
      </c>
      <c r="D931" s="1" t="s">
        <v>211</v>
      </c>
      <c r="E931" s="1" t="s">
        <v>102</v>
      </c>
      <c r="F931" s="1" t="s">
        <v>69</v>
      </c>
      <c r="G931" s="1">
        <f t="shared" si="70"/>
        <v>3</v>
      </c>
      <c r="H931" s="1" t="s">
        <v>58</v>
      </c>
      <c r="I931" s="1" t="s">
        <v>49</v>
      </c>
      <c r="J931" s="23" t="s">
        <v>50</v>
      </c>
      <c r="K931" s="2" t="s">
        <v>51</v>
      </c>
      <c r="L931" s="1">
        <v>405</v>
      </c>
      <c r="M931" s="1">
        <v>60</v>
      </c>
      <c r="N931" s="1" t="str">
        <f t="shared" si="73"/>
        <v>Published</v>
      </c>
      <c r="O931" s="1">
        <f t="shared" si="71"/>
        <v>243</v>
      </c>
      <c r="P931" s="1">
        <v>5</v>
      </c>
      <c r="Q931" s="1">
        <v>816</v>
      </c>
      <c r="R931" s="1" t="str">
        <f t="shared" si="74"/>
        <v>1</v>
      </c>
      <c r="S931" s="1">
        <v>156</v>
      </c>
      <c r="T931" s="1" t="str">
        <f t="shared" si="72"/>
        <v>3</v>
      </c>
      <c r="U931" s="1">
        <v>-32.556882999999999</v>
      </c>
      <c r="V931" s="3">
        <v>148.94337400000001</v>
      </c>
    </row>
    <row r="932" spans="1:22" x14ac:dyDescent="0.35">
      <c r="A932" s="22" t="s">
        <v>2905</v>
      </c>
      <c r="B932" s="1" t="s">
        <v>2906</v>
      </c>
      <c r="C932" s="1" t="s">
        <v>2907</v>
      </c>
      <c r="D932" s="1" t="s">
        <v>963</v>
      </c>
      <c r="E932" s="1" t="s">
        <v>96</v>
      </c>
      <c r="F932" s="1" t="s">
        <v>69</v>
      </c>
      <c r="G932" s="1">
        <f t="shared" si="70"/>
        <v>3</v>
      </c>
      <c r="H932" s="1" t="s">
        <v>70</v>
      </c>
      <c r="I932" s="1" t="s">
        <v>49</v>
      </c>
      <c r="J932" s="23" t="s">
        <v>50</v>
      </c>
      <c r="K932" s="2" t="s">
        <v>51</v>
      </c>
      <c r="L932" s="1">
        <v>110</v>
      </c>
      <c r="M932" s="1">
        <v>37</v>
      </c>
      <c r="N932" s="1" t="str">
        <f t="shared" si="73"/>
        <v>Published</v>
      </c>
      <c r="O932" s="1">
        <f t="shared" si="71"/>
        <v>40.700000000000003</v>
      </c>
      <c r="P932" s="1">
        <v>43</v>
      </c>
      <c r="Q932" s="1">
        <v>881</v>
      </c>
      <c r="R932" s="1" t="str">
        <f t="shared" si="74"/>
        <v>1</v>
      </c>
      <c r="S932" s="1">
        <v>136</v>
      </c>
      <c r="T932" s="1" t="str">
        <f t="shared" si="72"/>
        <v>2</v>
      </c>
      <c r="U932" s="1">
        <v>-34.103248999999998</v>
      </c>
      <c r="V932" s="3">
        <v>141.91875099999999</v>
      </c>
    </row>
    <row r="933" spans="1:22" x14ac:dyDescent="0.35">
      <c r="A933" s="22" t="s">
        <v>2908</v>
      </c>
      <c r="B933" s="1" t="s">
        <v>2909</v>
      </c>
      <c r="C933" s="1" t="s">
        <v>2910</v>
      </c>
      <c r="D933" s="1" t="s">
        <v>428</v>
      </c>
      <c r="E933" s="1" t="s">
        <v>429</v>
      </c>
      <c r="F933" s="1" t="s">
        <v>47</v>
      </c>
      <c r="G933" s="1">
        <f t="shared" si="70"/>
        <v>1</v>
      </c>
      <c r="H933" s="1" t="s">
        <v>63</v>
      </c>
      <c r="I933" s="1" t="s">
        <v>49</v>
      </c>
      <c r="J933" s="23" t="s">
        <v>50</v>
      </c>
      <c r="K933" s="2" t="s">
        <v>51</v>
      </c>
      <c r="L933" s="1">
        <v>370</v>
      </c>
      <c r="M933" s="1">
        <v>6</v>
      </c>
      <c r="N933" s="1" t="str">
        <f t="shared" si="73"/>
        <v>Published</v>
      </c>
      <c r="O933" s="1">
        <f t="shared" si="71"/>
        <v>22.2</v>
      </c>
      <c r="P933" s="1">
        <v>19</v>
      </c>
      <c r="Q933" s="1">
        <v>1074</v>
      </c>
      <c r="R933" s="1" t="str">
        <f t="shared" si="74"/>
        <v>3</v>
      </c>
      <c r="S933" s="1">
        <v>48</v>
      </c>
      <c r="T933" s="1" t="str">
        <f t="shared" si="72"/>
        <v>3</v>
      </c>
      <c r="U933" s="1">
        <v>-33.714112</v>
      </c>
      <c r="V933" s="3">
        <v>150.373525</v>
      </c>
    </row>
    <row r="934" spans="1:22" x14ac:dyDescent="0.35">
      <c r="A934" s="22" t="s">
        <v>2911</v>
      </c>
      <c r="B934" s="1" t="s">
        <v>2912</v>
      </c>
      <c r="C934" s="1" t="s">
        <v>2913</v>
      </c>
      <c r="D934" s="1" t="s">
        <v>169</v>
      </c>
      <c r="E934" s="1" t="s">
        <v>170</v>
      </c>
      <c r="F934" s="1" t="s">
        <v>47</v>
      </c>
      <c r="G934" s="1">
        <f t="shared" si="70"/>
        <v>1</v>
      </c>
      <c r="H934" s="1" t="s">
        <v>48</v>
      </c>
      <c r="I934" s="1" t="s">
        <v>49</v>
      </c>
      <c r="J934" s="23" t="s">
        <v>50</v>
      </c>
      <c r="K934" s="2" t="s">
        <v>51</v>
      </c>
      <c r="L934" s="1">
        <v>863</v>
      </c>
      <c r="M934" s="1"/>
      <c r="N934" s="1" t="str">
        <f t="shared" si="73"/>
        <v>Suppressed</v>
      </c>
      <c r="O934" s="1" t="str">
        <f t="shared" si="71"/>
        <v/>
      </c>
      <c r="P934" s="1">
        <v>96</v>
      </c>
      <c r="Q934" s="1">
        <v>1111</v>
      </c>
      <c r="R934" s="1" t="str">
        <f t="shared" si="74"/>
        <v>4</v>
      </c>
      <c r="S934" s="1">
        <v>18</v>
      </c>
      <c r="T934" s="1" t="str">
        <f t="shared" si="72"/>
        <v>4</v>
      </c>
      <c r="U934" s="1">
        <v>-33.814003999999997</v>
      </c>
      <c r="V934" s="3">
        <v>150.968613</v>
      </c>
    </row>
    <row r="935" spans="1:22" x14ac:dyDescent="0.35">
      <c r="A935" s="22" t="s">
        <v>2914</v>
      </c>
      <c r="B935" s="1" t="s">
        <v>2915</v>
      </c>
      <c r="C935" s="1" t="s">
        <v>2916</v>
      </c>
      <c r="D935" s="1" t="s">
        <v>439</v>
      </c>
      <c r="E935" s="1" t="s">
        <v>91</v>
      </c>
      <c r="F935" s="1" t="s">
        <v>57</v>
      </c>
      <c r="G935" s="1">
        <f t="shared" si="70"/>
        <v>2</v>
      </c>
      <c r="H935" s="1" t="s">
        <v>92</v>
      </c>
      <c r="I935" s="1" t="s">
        <v>49</v>
      </c>
      <c r="J935" s="23" t="s">
        <v>50</v>
      </c>
      <c r="K935" s="2" t="s">
        <v>51</v>
      </c>
      <c r="L935" s="1">
        <v>68</v>
      </c>
      <c r="M935" s="1">
        <v>44</v>
      </c>
      <c r="N935" s="1" t="str">
        <f t="shared" si="73"/>
        <v>Published</v>
      </c>
      <c r="O935" s="1">
        <f t="shared" si="71"/>
        <v>29.92</v>
      </c>
      <c r="P935" s="1"/>
      <c r="Q935" s="1">
        <v>836</v>
      </c>
      <c r="R935" s="1" t="str">
        <f t="shared" si="74"/>
        <v>1</v>
      </c>
      <c r="S935" s="1">
        <v>149</v>
      </c>
      <c r="T935" s="1" t="str">
        <f t="shared" si="72"/>
        <v>1</v>
      </c>
      <c r="U935" s="1">
        <v>-31.348938</v>
      </c>
      <c r="V935" s="3">
        <v>150.651466</v>
      </c>
    </row>
    <row r="936" spans="1:22" x14ac:dyDescent="0.35">
      <c r="A936" s="22" t="s">
        <v>2917</v>
      </c>
      <c r="B936" s="1" t="s">
        <v>2918</v>
      </c>
      <c r="C936" s="1" t="s">
        <v>2919</v>
      </c>
      <c r="D936" s="1" t="s">
        <v>90</v>
      </c>
      <c r="E936" s="1" t="s">
        <v>91</v>
      </c>
      <c r="F936" s="1" t="s">
        <v>57</v>
      </c>
      <c r="G936" s="1">
        <f t="shared" si="70"/>
        <v>2</v>
      </c>
      <c r="H936" s="1" t="s">
        <v>92</v>
      </c>
      <c r="I936" s="1" t="s">
        <v>49</v>
      </c>
      <c r="J936" s="23" t="s">
        <v>50</v>
      </c>
      <c r="K936" s="2" t="s">
        <v>51</v>
      </c>
      <c r="L936" s="1">
        <v>370</v>
      </c>
      <c r="M936" s="1">
        <v>48</v>
      </c>
      <c r="N936" s="1" t="str">
        <f t="shared" si="73"/>
        <v>Published</v>
      </c>
      <c r="O936" s="1">
        <f t="shared" si="71"/>
        <v>177.6</v>
      </c>
      <c r="P936" s="1">
        <v>12</v>
      </c>
      <c r="Q936" s="1">
        <v>870</v>
      </c>
      <c r="R936" s="1" t="str">
        <f t="shared" si="74"/>
        <v>1</v>
      </c>
      <c r="S936" s="1">
        <v>140</v>
      </c>
      <c r="T936" s="1" t="str">
        <f t="shared" si="72"/>
        <v>3</v>
      </c>
      <c r="U936" s="1">
        <v>-31.093713999999999</v>
      </c>
      <c r="V936" s="3">
        <v>150.87392700000001</v>
      </c>
    </row>
    <row r="937" spans="1:22" x14ac:dyDescent="0.35">
      <c r="A937" s="22" t="s">
        <v>2920</v>
      </c>
      <c r="B937" s="1" t="s">
        <v>2921</v>
      </c>
      <c r="C937" s="1" t="s">
        <v>2922</v>
      </c>
      <c r="D937" s="1" t="s">
        <v>62</v>
      </c>
      <c r="E937" s="1" t="s">
        <v>56</v>
      </c>
      <c r="F937" s="1" t="s">
        <v>47</v>
      </c>
      <c r="G937" s="1">
        <f t="shared" si="70"/>
        <v>1</v>
      </c>
      <c r="H937" s="1" t="s">
        <v>63</v>
      </c>
      <c r="I937" s="1" t="s">
        <v>49</v>
      </c>
      <c r="J937" s="23" t="s">
        <v>50</v>
      </c>
      <c r="K937" s="2" t="s">
        <v>51</v>
      </c>
      <c r="L937" s="1">
        <v>270</v>
      </c>
      <c r="M937" s="1">
        <v>33</v>
      </c>
      <c r="N937" s="1" t="str">
        <f t="shared" si="73"/>
        <v>Published</v>
      </c>
      <c r="O937" s="1">
        <f t="shared" si="71"/>
        <v>89.100000000000009</v>
      </c>
      <c r="P937" s="1">
        <v>2</v>
      </c>
      <c r="Q937" s="1">
        <v>882</v>
      </c>
      <c r="R937" s="1" t="str">
        <f t="shared" si="74"/>
        <v>1</v>
      </c>
      <c r="S937" s="1">
        <v>155</v>
      </c>
      <c r="T937" s="1" t="str">
        <f t="shared" si="72"/>
        <v>2</v>
      </c>
      <c r="U937" s="1">
        <v>-32.809043000000003</v>
      </c>
      <c r="V937" s="3">
        <v>151.46102300000001</v>
      </c>
    </row>
    <row r="938" spans="1:22" x14ac:dyDescent="0.35">
      <c r="A938" s="22" t="s">
        <v>2923</v>
      </c>
      <c r="B938" s="1" t="s">
        <v>2924</v>
      </c>
      <c r="C938" s="1" t="s">
        <v>2925</v>
      </c>
      <c r="D938" s="1" t="s">
        <v>1556</v>
      </c>
      <c r="E938" s="1" t="s">
        <v>102</v>
      </c>
      <c r="F938" s="1" t="s">
        <v>544</v>
      </c>
      <c r="G938" s="1">
        <f t="shared" si="70"/>
        <v>5</v>
      </c>
      <c r="H938" s="1" t="s">
        <v>70</v>
      </c>
      <c r="I938" s="1" t="s">
        <v>49</v>
      </c>
      <c r="J938" s="23" t="s">
        <v>50</v>
      </c>
      <c r="K938" s="2" t="s">
        <v>51</v>
      </c>
      <c r="L938" s="1">
        <v>17</v>
      </c>
      <c r="M938" s="1"/>
      <c r="N938" s="1" t="str">
        <f t="shared" si="73"/>
        <v>Suppressed</v>
      </c>
      <c r="O938" s="1" t="str">
        <f t="shared" si="71"/>
        <v/>
      </c>
      <c r="P938" s="1"/>
      <c r="Q938" s="1">
        <v>873</v>
      </c>
      <c r="R938" s="1" t="str">
        <f t="shared" si="74"/>
        <v>1</v>
      </c>
      <c r="S938" s="1">
        <v>131</v>
      </c>
      <c r="T938" s="1" t="str">
        <f t="shared" si="72"/>
        <v>1</v>
      </c>
      <c r="U938" s="1">
        <v>-30.850852</v>
      </c>
      <c r="V938" s="3">
        <v>143.09027800000001</v>
      </c>
    </row>
    <row r="939" spans="1:22" x14ac:dyDescent="0.35">
      <c r="A939" s="22" t="s">
        <v>2926</v>
      </c>
      <c r="B939" s="1" t="s">
        <v>2927</v>
      </c>
      <c r="C939" s="1" t="s">
        <v>2928</v>
      </c>
      <c r="D939" s="1" t="s">
        <v>1763</v>
      </c>
      <c r="E939" s="1" t="s">
        <v>80</v>
      </c>
      <c r="F939" s="1" t="s">
        <v>69</v>
      </c>
      <c r="G939" s="1">
        <f t="shared" si="70"/>
        <v>3</v>
      </c>
      <c r="H939" s="1" t="s">
        <v>70</v>
      </c>
      <c r="I939" s="1" t="s">
        <v>49</v>
      </c>
      <c r="J939" s="23" t="s">
        <v>50</v>
      </c>
      <c r="K939" s="2" t="s">
        <v>51</v>
      </c>
      <c r="L939" s="1">
        <v>33</v>
      </c>
      <c r="M939" s="1">
        <v>52</v>
      </c>
      <c r="N939" s="1" t="str">
        <f t="shared" si="73"/>
        <v>Published</v>
      </c>
      <c r="O939" s="1">
        <f t="shared" si="71"/>
        <v>17.16</v>
      </c>
      <c r="P939" s="1">
        <v>0</v>
      </c>
      <c r="Q939" s="1">
        <v>795</v>
      </c>
      <c r="R939" s="1" t="str">
        <f t="shared" si="74"/>
        <v>1</v>
      </c>
      <c r="S939" s="1">
        <v>190</v>
      </c>
      <c r="T939" s="1" t="str">
        <f t="shared" si="72"/>
        <v>1</v>
      </c>
      <c r="U939" s="1">
        <v>-34.518934000000002</v>
      </c>
      <c r="V939" s="3">
        <v>146.18124800000001</v>
      </c>
    </row>
    <row r="940" spans="1:22" x14ac:dyDescent="0.35">
      <c r="A940" s="22" t="s">
        <v>2929</v>
      </c>
      <c r="B940" s="1" t="s">
        <v>2930</v>
      </c>
      <c r="C940" s="1" t="s">
        <v>2931</v>
      </c>
      <c r="D940" s="1" t="s">
        <v>256</v>
      </c>
      <c r="E940" s="1" t="s">
        <v>107</v>
      </c>
      <c r="F940" s="1" t="s">
        <v>57</v>
      </c>
      <c r="G940" s="1">
        <f t="shared" si="70"/>
        <v>2</v>
      </c>
      <c r="H940" s="1" t="s">
        <v>92</v>
      </c>
      <c r="I940" s="1" t="s">
        <v>49</v>
      </c>
      <c r="J940" s="23" t="s">
        <v>50</v>
      </c>
      <c r="K940" s="2" t="s">
        <v>51</v>
      </c>
      <c r="L940" s="1">
        <v>17</v>
      </c>
      <c r="M940" s="1"/>
      <c r="N940" s="1" t="str">
        <f t="shared" si="73"/>
        <v>Suppressed</v>
      </c>
      <c r="O940" s="1" t="str">
        <f t="shared" si="71"/>
        <v/>
      </c>
      <c r="P940" s="1">
        <v>0</v>
      </c>
      <c r="Q940" s="1">
        <v>932</v>
      </c>
      <c r="R940" s="1" t="str">
        <f t="shared" si="74"/>
        <v>2</v>
      </c>
      <c r="S940" s="1">
        <v>146</v>
      </c>
      <c r="T940" s="1" t="str">
        <f t="shared" si="72"/>
        <v>1</v>
      </c>
      <c r="U940" s="1">
        <v>-28.511355999999999</v>
      </c>
      <c r="V940" s="3">
        <v>152.96553499999999</v>
      </c>
    </row>
    <row r="941" spans="1:22" x14ac:dyDescent="0.35">
      <c r="A941" s="22" t="s">
        <v>2932</v>
      </c>
      <c r="B941" s="1" t="s">
        <v>2933</v>
      </c>
      <c r="C941" s="1" t="s">
        <v>2934</v>
      </c>
      <c r="D941" s="1" t="s">
        <v>404</v>
      </c>
      <c r="E941" s="1" t="s">
        <v>127</v>
      </c>
      <c r="F941" s="1" t="s">
        <v>47</v>
      </c>
      <c r="G941" s="1">
        <f t="shared" si="70"/>
        <v>1</v>
      </c>
      <c r="H941" s="1" t="s">
        <v>63</v>
      </c>
      <c r="I941" s="1" t="s">
        <v>49</v>
      </c>
      <c r="J941" s="23" t="s">
        <v>50</v>
      </c>
      <c r="K941" s="2" t="s">
        <v>51</v>
      </c>
      <c r="L941" s="1">
        <v>326</v>
      </c>
      <c r="M941" s="1">
        <v>10</v>
      </c>
      <c r="N941" s="1" t="str">
        <f t="shared" si="73"/>
        <v>Published</v>
      </c>
      <c r="O941" s="1">
        <f t="shared" si="71"/>
        <v>32.6</v>
      </c>
      <c r="P941" s="1">
        <v>6</v>
      </c>
      <c r="Q941" s="1">
        <v>992</v>
      </c>
      <c r="R941" s="1" t="str">
        <f t="shared" si="74"/>
        <v>2</v>
      </c>
      <c r="S941" s="1">
        <v>92</v>
      </c>
      <c r="T941" s="1" t="str">
        <f t="shared" si="72"/>
        <v>3</v>
      </c>
      <c r="U941" s="1">
        <v>-33.558703999999999</v>
      </c>
      <c r="V941" s="3">
        <v>150.839763</v>
      </c>
    </row>
    <row r="942" spans="1:22" x14ac:dyDescent="0.35">
      <c r="A942" s="22" t="s">
        <v>2935</v>
      </c>
      <c r="B942" s="1" t="s">
        <v>2936</v>
      </c>
      <c r="C942" s="1" t="s">
        <v>2937</v>
      </c>
      <c r="D942" s="1" t="s">
        <v>1556</v>
      </c>
      <c r="E942" s="1" t="s">
        <v>102</v>
      </c>
      <c r="F942" s="1" t="s">
        <v>544</v>
      </c>
      <c r="G942" s="1">
        <f t="shared" si="70"/>
        <v>5</v>
      </c>
      <c r="H942" s="1" t="s">
        <v>86</v>
      </c>
      <c r="I942" s="1" t="s">
        <v>132</v>
      </c>
      <c r="J942" s="23" t="s">
        <v>50</v>
      </c>
      <c r="K942" s="2" t="s">
        <v>51</v>
      </c>
      <c r="L942" s="1">
        <v>65</v>
      </c>
      <c r="M942" s="1">
        <v>89</v>
      </c>
      <c r="N942" s="1" t="str">
        <f t="shared" si="73"/>
        <v>Published</v>
      </c>
      <c r="O942" s="1">
        <f t="shared" si="71"/>
        <v>57.85</v>
      </c>
      <c r="P942" s="1">
        <v>59</v>
      </c>
      <c r="Q942" s="1">
        <v>673</v>
      </c>
      <c r="R942" s="1" t="str">
        <f t="shared" si="74"/>
        <v>1</v>
      </c>
      <c r="S942" s="1">
        <v>211</v>
      </c>
      <c r="T942" s="1" t="str">
        <f t="shared" si="72"/>
        <v>1</v>
      </c>
      <c r="U942" s="1">
        <v>-31.558478000000001</v>
      </c>
      <c r="V942" s="3">
        <v>143.37591</v>
      </c>
    </row>
    <row r="943" spans="1:22" x14ac:dyDescent="0.35">
      <c r="A943" s="22" t="s">
        <v>2938</v>
      </c>
      <c r="B943" s="1" t="s">
        <v>2939</v>
      </c>
      <c r="C943" s="1" t="s">
        <v>2940</v>
      </c>
      <c r="D943" s="1" t="s">
        <v>325</v>
      </c>
      <c r="E943" s="1" t="s">
        <v>276</v>
      </c>
      <c r="F943" s="1" t="s">
        <v>69</v>
      </c>
      <c r="G943" s="1">
        <f t="shared" si="70"/>
        <v>3</v>
      </c>
      <c r="H943" s="1" t="s">
        <v>58</v>
      </c>
      <c r="I943" s="1" t="s">
        <v>49</v>
      </c>
      <c r="J943" s="23" t="s">
        <v>50</v>
      </c>
      <c r="K943" s="2" t="s">
        <v>51</v>
      </c>
      <c r="L943" s="1">
        <v>34</v>
      </c>
      <c r="M943" s="1">
        <v>35</v>
      </c>
      <c r="N943" s="1" t="str">
        <f t="shared" si="73"/>
        <v>Published</v>
      </c>
      <c r="O943" s="1">
        <f t="shared" si="71"/>
        <v>11.899999999999999</v>
      </c>
      <c r="P943" s="1"/>
      <c r="Q943" s="1">
        <v>838</v>
      </c>
      <c r="R943" s="1" t="str">
        <f t="shared" si="74"/>
        <v>1</v>
      </c>
      <c r="S943" s="1">
        <v>136</v>
      </c>
      <c r="T943" s="1" t="str">
        <f t="shared" si="72"/>
        <v>1</v>
      </c>
      <c r="U943" s="1">
        <v>-30.925713999999999</v>
      </c>
      <c r="V943" s="3">
        <v>152.625518</v>
      </c>
    </row>
    <row r="944" spans="1:22" x14ac:dyDescent="0.35">
      <c r="A944" s="22" t="s">
        <v>2941</v>
      </c>
      <c r="B944" s="1" t="s">
        <v>2942</v>
      </c>
      <c r="C944" s="1" t="s">
        <v>2943</v>
      </c>
      <c r="D944" s="1" t="s">
        <v>146</v>
      </c>
      <c r="E944" s="1" t="s">
        <v>147</v>
      </c>
      <c r="F944" s="1" t="s">
        <v>47</v>
      </c>
      <c r="G944" s="1">
        <f t="shared" si="70"/>
        <v>1</v>
      </c>
      <c r="H944" s="1" t="s">
        <v>148</v>
      </c>
      <c r="I944" s="1" t="s">
        <v>49</v>
      </c>
      <c r="J944" s="23" t="s">
        <v>50</v>
      </c>
      <c r="K944" s="2" t="s">
        <v>51</v>
      </c>
      <c r="L944" s="1">
        <v>905</v>
      </c>
      <c r="M944" s="1">
        <v>1</v>
      </c>
      <c r="N944" s="1" t="str">
        <f t="shared" si="73"/>
        <v>Published</v>
      </c>
      <c r="O944" s="1">
        <f t="shared" si="71"/>
        <v>9.0500000000000007</v>
      </c>
      <c r="P944" s="1">
        <v>49</v>
      </c>
      <c r="Q944" s="1">
        <v>1143</v>
      </c>
      <c r="R944" s="1" t="str">
        <f t="shared" si="74"/>
        <v>4</v>
      </c>
      <c r="S944" s="1">
        <v>8</v>
      </c>
      <c r="T944" s="1" t="str">
        <f t="shared" si="72"/>
        <v>4</v>
      </c>
      <c r="U944" s="1">
        <v>-33.802197</v>
      </c>
      <c r="V944" s="3">
        <v>151.20012299999999</v>
      </c>
    </row>
    <row r="945" spans="1:22" x14ac:dyDescent="0.35">
      <c r="A945" s="22" t="s">
        <v>2944</v>
      </c>
      <c r="B945" s="1" t="s">
        <v>2945</v>
      </c>
      <c r="C945" s="1" t="s">
        <v>2946</v>
      </c>
      <c r="D945" s="1" t="s">
        <v>439</v>
      </c>
      <c r="E945" s="1" t="s">
        <v>91</v>
      </c>
      <c r="F945" s="1" t="s">
        <v>69</v>
      </c>
      <c r="G945" s="1">
        <f t="shared" si="70"/>
        <v>3</v>
      </c>
      <c r="H945" s="1" t="s">
        <v>92</v>
      </c>
      <c r="I945" s="1" t="s">
        <v>49</v>
      </c>
      <c r="J945" s="23" t="s">
        <v>50</v>
      </c>
      <c r="K945" s="2" t="s">
        <v>51</v>
      </c>
      <c r="L945" s="1">
        <v>51</v>
      </c>
      <c r="M945" s="1"/>
      <c r="N945" s="1" t="str">
        <f t="shared" si="73"/>
        <v>Suppressed</v>
      </c>
      <c r="O945" s="1" t="str">
        <f t="shared" si="71"/>
        <v/>
      </c>
      <c r="P945" s="1"/>
      <c r="Q945" s="1">
        <v>982</v>
      </c>
      <c r="R945" s="1" t="str">
        <f t="shared" si="74"/>
        <v>2</v>
      </c>
      <c r="S945" s="1">
        <v>98</v>
      </c>
      <c r="T945" s="1" t="str">
        <f t="shared" si="72"/>
        <v>1</v>
      </c>
      <c r="U945" s="1">
        <v>-31.656801999999999</v>
      </c>
      <c r="V945" s="3">
        <v>150.72903400000001</v>
      </c>
    </row>
    <row r="946" spans="1:22" x14ac:dyDescent="0.35">
      <c r="A946" s="22" t="s">
        <v>2947</v>
      </c>
      <c r="B946" s="1" t="s">
        <v>2948</v>
      </c>
      <c r="C946" s="1" t="s">
        <v>2949</v>
      </c>
      <c r="D946" s="1" t="s">
        <v>224</v>
      </c>
      <c r="E946" s="1" t="s">
        <v>229</v>
      </c>
      <c r="F946" s="1" t="s">
        <v>47</v>
      </c>
      <c r="G946" s="1">
        <f t="shared" si="70"/>
        <v>1</v>
      </c>
      <c r="H946" s="1" t="s">
        <v>48</v>
      </c>
      <c r="I946" s="1" t="s">
        <v>49</v>
      </c>
      <c r="J946" s="23" t="s">
        <v>50</v>
      </c>
      <c r="K946" s="2" t="s">
        <v>51</v>
      </c>
      <c r="L946" s="1">
        <v>277</v>
      </c>
      <c r="M946" s="1"/>
      <c r="N946" s="1" t="str">
        <f t="shared" si="73"/>
        <v>Suppressed</v>
      </c>
      <c r="O946" s="1" t="str">
        <f t="shared" si="71"/>
        <v/>
      </c>
      <c r="P946" s="1">
        <v>94</v>
      </c>
      <c r="Q946" s="1">
        <v>1003</v>
      </c>
      <c r="R946" s="1" t="str">
        <f t="shared" si="74"/>
        <v>3</v>
      </c>
      <c r="S946" s="1">
        <v>98</v>
      </c>
      <c r="T946" s="1" t="str">
        <f t="shared" si="72"/>
        <v>2</v>
      </c>
      <c r="U946" s="1">
        <v>-33.937444999999997</v>
      </c>
      <c r="V946" s="3">
        <v>151.138362</v>
      </c>
    </row>
    <row r="947" spans="1:22" x14ac:dyDescent="0.35">
      <c r="A947" s="22" t="s">
        <v>2950</v>
      </c>
      <c r="B947" s="1" t="s">
        <v>2951</v>
      </c>
      <c r="C947" s="1" t="s">
        <v>2059</v>
      </c>
      <c r="D947" s="1" t="s">
        <v>220</v>
      </c>
      <c r="E947" s="1" t="s">
        <v>107</v>
      </c>
      <c r="F947" s="1" t="s">
        <v>57</v>
      </c>
      <c r="G947" s="1">
        <f t="shared" si="70"/>
        <v>2</v>
      </c>
      <c r="H947" s="1" t="s">
        <v>92</v>
      </c>
      <c r="I947" s="1" t="s">
        <v>49</v>
      </c>
      <c r="J947" s="23" t="s">
        <v>50</v>
      </c>
      <c r="K947" s="2" t="s">
        <v>51</v>
      </c>
      <c r="L947" s="1">
        <v>23</v>
      </c>
      <c r="M947" s="1"/>
      <c r="N947" s="1" t="str">
        <f t="shared" si="73"/>
        <v>Suppressed</v>
      </c>
      <c r="O947" s="1" t="str">
        <f t="shared" si="71"/>
        <v/>
      </c>
      <c r="P947" s="1">
        <v>40</v>
      </c>
      <c r="Q947" s="1">
        <v>1041</v>
      </c>
      <c r="R947" s="1" t="str">
        <f t="shared" si="74"/>
        <v>3</v>
      </c>
      <c r="S947" s="1">
        <v>82</v>
      </c>
      <c r="T947" s="1" t="str">
        <f t="shared" si="72"/>
        <v>1</v>
      </c>
      <c r="U947" s="1">
        <v>-28.570833</v>
      </c>
      <c r="V947" s="3">
        <v>153.42617799999999</v>
      </c>
    </row>
    <row r="948" spans="1:22" x14ac:dyDescent="0.35">
      <c r="A948" s="22" t="s">
        <v>2952</v>
      </c>
      <c r="B948" s="1" t="s">
        <v>2953</v>
      </c>
      <c r="C948" s="1" t="s">
        <v>2954</v>
      </c>
      <c r="D948" s="1" t="s">
        <v>1342</v>
      </c>
      <c r="E948" s="1" t="s">
        <v>68</v>
      </c>
      <c r="F948" s="1" t="s">
        <v>69</v>
      </c>
      <c r="G948" s="1">
        <f t="shared" si="70"/>
        <v>3</v>
      </c>
      <c r="H948" s="1" t="s">
        <v>86</v>
      </c>
      <c r="I948" s="1" t="s">
        <v>49</v>
      </c>
      <c r="J948" s="23" t="s">
        <v>50</v>
      </c>
      <c r="K948" s="2" t="s">
        <v>51</v>
      </c>
      <c r="L948" s="1">
        <v>13</v>
      </c>
      <c r="M948" s="1"/>
      <c r="N948" s="1" t="str">
        <f t="shared" si="73"/>
        <v>Suppressed</v>
      </c>
      <c r="O948" s="1" t="str">
        <f t="shared" si="71"/>
        <v/>
      </c>
      <c r="P948" s="1"/>
      <c r="Q948" s="1">
        <v>905</v>
      </c>
      <c r="R948" s="1" t="str">
        <f t="shared" si="74"/>
        <v>2</v>
      </c>
      <c r="S948" s="1">
        <v>107</v>
      </c>
      <c r="T948" s="1" t="str">
        <f t="shared" si="72"/>
        <v>1</v>
      </c>
      <c r="U948" s="1">
        <v>-35.009988</v>
      </c>
      <c r="V948" s="3">
        <v>149.83352099999999</v>
      </c>
    </row>
    <row r="949" spans="1:22" x14ac:dyDescent="0.35">
      <c r="A949" s="22" t="s">
        <v>2955</v>
      </c>
      <c r="B949" s="1" t="s">
        <v>2956</v>
      </c>
      <c r="C949" s="1" t="s">
        <v>2957</v>
      </c>
      <c r="D949" s="1" t="s">
        <v>404</v>
      </c>
      <c r="E949" s="1" t="s">
        <v>429</v>
      </c>
      <c r="F949" s="1" t="s">
        <v>47</v>
      </c>
      <c r="G949" s="1">
        <f t="shared" si="70"/>
        <v>1</v>
      </c>
      <c r="H949" s="1" t="s">
        <v>63</v>
      </c>
      <c r="I949" s="1" t="s">
        <v>49</v>
      </c>
      <c r="J949" s="23" t="s">
        <v>50</v>
      </c>
      <c r="K949" s="2" t="s">
        <v>51</v>
      </c>
      <c r="L949" s="1">
        <v>125</v>
      </c>
      <c r="M949" s="1">
        <v>22</v>
      </c>
      <c r="N949" s="1" t="str">
        <f t="shared" si="73"/>
        <v>Published</v>
      </c>
      <c r="O949" s="1">
        <f t="shared" si="71"/>
        <v>27.5</v>
      </c>
      <c r="P949" s="1">
        <v>18</v>
      </c>
      <c r="Q949" s="1">
        <v>944</v>
      </c>
      <c r="R949" s="1" t="str">
        <f t="shared" si="74"/>
        <v>2</v>
      </c>
      <c r="S949" s="1">
        <v>127</v>
      </c>
      <c r="T949" s="1" t="str">
        <f t="shared" si="72"/>
        <v>2</v>
      </c>
      <c r="U949" s="1">
        <v>-33.610365999999999</v>
      </c>
      <c r="V949" s="3">
        <v>150.81641300000001</v>
      </c>
    </row>
    <row r="950" spans="1:22" x14ac:dyDescent="0.35">
      <c r="A950" s="22" t="s">
        <v>2958</v>
      </c>
      <c r="B950" s="1" t="s">
        <v>2959</v>
      </c>
      <c r="C950" s="1" t="s">
        <v>2960</v>
      </c>
      <c r="D950" s="1" t="s">
        <v>195</v>
      </c>
      <c r="E950" s="1" t="s">
        <v>196</v>
      </c>
      <c r="F950" s="1" t="s">
        <v>57</v>
      </c>
      <c r="G950" s="1">
        <f t="shared" si="70"/>
        <v>2</v>
      </c>
      <c r="H950" s="1" t="s">
        <v>86</v>
      </c>
      <c r="I950" s="1" t="s">
        <v>49</v>
      </c>
      <c r="J950" s="23" t="s">
        <v>50</v>
      </c>
      <c r="K950" s="2" t="s">
        <v>51</v>
      </c>
      <c r="L950" s="1">
        <v>40</v>
      </c>
      <c r="M950" s="1"/>
      <c r="N950" s="1" t="str">
        <f t="shared" si="73"/>
        <v>Suppressed</v>
      </c>
      <c r="O950" s="1" t="str">
        <f t="shared" si="71"/>
        <v/>
      </c>
      <c r="P950" s="1"/>
      <c r="Q950" s="1">
        <v>1001</v>
      </c>
      <c r="R950" s="1" t="str">
        <f t="shared" si="74"/>
        <v>3</v>
      </c>
      <c r="S950" s="1">
        <v>77</v>
      </c>
      <c r="T950" s="1" t="str">
        <f t="shared" si="72"/>
        <v>1</v>
      </c>
      <c r="U950" s="1">
        <v>-34.688161999999998</v>
      </c>
      <c r="V950" s="3">
        <v>150.15348700000001</v>
      </c>
    </row>
    <row r="951" spans="1:22" x14ac:dyDescent="0.35">
      <c r="A951" s="22" t="s">
        <v>2961</v>
      </c>
      <c r="B951" s="1" t="s">
        <v>2962</v>
      </c>
      <c r="C951" s="1" t="s">
        <v>2963</v>
      </c>
      <c r="D951" s="1" t="s">
        <v>761</v>
      </c>
      <c r="E951" s="1" t="s">
        <v>127</v>
      </c>
      <c r="F951" s="1" t="s">
        <v>57</v>
      </c>
      <c r="G951" s="1">
        <f t="shared" si="70"/>
        <v>2</v>
      </c>
      <c r="H951" s="1" t="s">
        <v>63</v>
      </c>
      <c r="I951" s="1" t="s">
        <v>49</v>
      </c>
      <c r="J951" s="23" t="s">
        <v>50</v>
      </c>
      <c r="K951" s="2" t="s">
        <v>51</v>
      </c>
      <c r="L951" s="1">
        <v>44</v>
      </c>
      <c r="M951" s="1">
        <v>16</v>
      </c>
      <c r="N951" s="1" t="str">
        <f t="shared" si="73"/>
        <v>Published</v>
      </c>
      <c r="O951" s="1">
        <f t="shared" si="71"/>
        <v>7.04</v>
      </c>
      <c r="P951" s="1"/>
      <c r="Q951" s="1">
        <v>946</v>
      </c>
      <c r="R951" s="1" t="str">
        <f t="shared" si="74"/>
        <v>2</v>
      </c>
      <c r="S951" s="1">
        <v>115</v>
      </c>
      <c r="T951" s="1" t="str">
        <f t="shared" si="72"/>
        <v>1</v>
      </c>
      <c r="U951" s="1">
        <v>-33.385958000000002</v>
      </c>
      <c r="V951" s="3">
        <v>150.98413300000001</v>
      </c>
    </row>
    <row r="952" spans="1:22" x14ac:dyDescent="0.35">
      <c r="A952" s="22" t="s">
        <v>2964</v>
      </c>
      <c r="B952" s="1" t="s">
        <v>2965</v>
      </c>
      <c r="C952" s="1" t="s">
        <v>2966</v>
      </c>
      <c r="D952" s="1" t="s">
        <v>106</v>
      </c>
      <c r="E952" s="1" t="s">
        <v>107</v>
      </c>
      <c r="F952" s="1" t="s">
        <v>57</v>
      </c>
      <c r="G952" s="1">
        <f t="shared" si="70"/>
        <v>2</v>
      </c>
      <c r="H952" s="1" t="s">
        <v>92</v>
      </c>
      <c r="I952" s="1" t="s">
        <v>49</v>
      </c>
      <c r="J952" s="23" t="s">
        <v>50</v>
      </c>
      <c r="K952" s="2" t="s">
        <v>51</v>
      </c>
      <c r="L952" s="1">
        <v>243</v>
      </c>
      <c r="M952" s="1">
        <v>6</v>
      </c>
      <c r="N952" s="1" t="str">
        <f t="shared" si="73"/>
        <v>Published</v>
      </c>
      <c r="O952" s="1">
        <f t="shared" si="71"/>
        <v>14.58</v>
      </c>
      <c r="P952" s="1">
        <v>8</v>
      </c>
      <c r="Q952" s="1">
        <v>1028</v>
      </c>
      <c r="R952" s="1" t="str">
        <f t="shared" si="74"/>
        <v>3</v>
      </c>
      <c r="S952" s="1">
        <v>72</v>
      </c>
      <c r="T952" s="1" t="str">
        <f t="shared" si="72"/>
        <v>2</v>
      </c>
      <c r="U952" s="1">
        <v>-28.826989999999999</v>
      </c>
      <c r="V952" s="3">
        <v>153.42011299999999</v>
      </c>
    </row>
    <row r="953" spans="1:22" x14ac:dyDescent="0.35">
      <c r="A953" s="22" t="s">
        <v>2967</v>
      </c>
      <c r="B953" s="1" t="s">
        <v>2968</v>
      </c>
      <c r="C953" s="1" t="s">
        <v>176</v>
      </c>
      <c r="D953" s="1" t="s">
        <v>176</v>
      </c>
      <c r="E953" s="1" t="s">
        <v>85</v>
      </c>
      <c r="F953" s="1" t="s">
        <v>47</v>
      </c>
      <c r="G953" s="1">
        <f t="shared" si="70"/>
        <v>1</v>
      </c>
      <c r="H953" s="1" t="s">
        <v>86</v>
      </c>
      <c r="I953" s="1" t="s">
        <v>49</v>
      </c>
      <c r="J953" s="23" t="s">
        <v>50</v>
      </c>
      <c r="K953" s="2" t="s">
        <v>51</v>
      </c>
      <c r="L953" s="1">
        <v>243</v>
      </c>
      <c r="M953" s="1">
        <v>12</v>
      </c>
      <c r="N953" s="1" t="str">
        <f t="shared" si="73"/>
        <v>Published</v>
      </c>
      <c r="O953" s="1">
        <f t="shared" si="71"/>
        <v>29.16</v>
      </c>
      <c r="P953" s="1">
        <v>49</v>
      </c>
      <c r="Q953" s="1">
        <v>991</v>
      </c>
      <c r="R953" s="1" t="str">
        <f t="shared" si="74"/>
        <v>2</v>
      </c>
      <c r="S953" s="1">
        <v>102</v>
      </c>
      <c r="T953" s="1" t="str">
        <f t="shared" si="72"/>
        <v>2</v>
      </c>
      <c r="U953" s="1">
        <v>-34.424596999999999</v>
      </c>
      <c r="V953" s="3">
        <v>150.871509</v>
      </c>
    </row>
    <row r="954" spans="1:22" x14ac:dyDescent="0.35">
      <c r="A954" s="22" t="s">
        <v>2969</v>
      </c>
      <c r="B954" s="1" t="s">
        <v>2970</v>
      </c>
      <c r="C954" s="1" t="s">
        <v>2971</v>
      </c>
      <c r="D954" s="1" t="s">
        <v>314</v>
      </c>
      <c r="E954" s="1" t="s">
        <v>68</v>
      </c>
      <c r="F954" s="1" t="s">
        <v>69</v>
      </c>
      <c r="G954" s="1">
        <f t="shared" si="70"/>
        <v>3</v>
      </c>
      <c r="H954" s="1" t="s">
        <v>86</v>
      </c>
      <c r="I954" s="1" t="s">
        <v>49</v>
      </c>
      <c r="J954" s="23" t="s">
        <v>50</v>
      </c>
      <c r="K954" s="2" t="s">
        <v>51</v>
      </c>
      <c r="L954" s="1">
        <v>109</v>
      </c>
      <c r="M954" s="1">
        <v>20</v>
      </c>
      <c r="N954" s="1" t="str">
        <f t="shared" si="73"/>
        <v>Published</v>
      </c>
      <c r="O954" s="1">
        <f t="shared" si="71"/>
        <v>21.8</v>
      </c>
      <c r="P954" s="1"/>
      <c r="Q954" s="1">
        <v>931</v>
      </c>
      <c r="R954" s="1" t="str">
        <f t="shared" si="74"/>
        <v>2</v>
      </c>
      <c r="S954" s="1">
        <v>114</v>
      </c>
      <c r="T954" s="1" t="str">
        <f t="shared" si="72"/>
        <v>2</v>
      </c>
      <c r="U954" s="1">
        <v>-36.832664000000001</v>
      </c>
      <c r="V954" s="3">
        <v>149.811656</v>
      </c>
    </row>
    <row r="955" spans="1:22" x14ac:dyDescent="0.35">
      <c r="A955" s="22" t="s">
        <v>2972</v>
      </c>
      <c r="B955" s="1" t="s">
        <v>2973</v>
      </c>
      <c r="C955" s="1" t="s">
        <v>2974</v>
      </c>
      <c r="D955" s="1" t="s">
        <v>525</v>
      </c>
      <c r="E955" s="1" t="s">
        <v>68</v>
      </c>
      <c r="F955" s="1" t="s">
        <v>57</v>
      </c>
      <c r="G955" s="1">
        <f t="shared" si="70"/>
        <v>2</v>
      </c>
      <c r="H955" s="1" t="s">
        <v>70</v>
      </c>
      <c r="I955" s="1" t="s">
        <v>49</v>
      </c>
      <c r="J955" s="23" t="s">
        <v>50</v>
      </c>
      <c r="K955" s="2" t="s">
        <v>51</v>
      </c>
      <c r="L955" s="1">
        <v>20</v>
      </c>
      <c r="M955" s="1"/>
      <c r="N955" s="1" t="str">
        <f t="shared" si="73"/>
        <v>Suppressed</v>
      </c>
      <c r="O955" s="1" t="str">
        <f t="shared" si="71"/>
        <v/>
      </c>
      <c r="P955" s="1">
        <v>0</v>
      </c>
      <c r="Q955" s="1">
        <v>898</v>
      </c>
      <c r="R955" s="1" t="str">
        <f t="shared" si="74"/>
        <v>1</v>
      </c>
      <c r="S955" s="1">
        <v>153</v>
      </c>
      <c r="T955" s="1" t="str">
        <f t="shared" si="72"/>
        <v>1</v>
      </c>
      <c r="U955" s="1">
        <v>-34.426627000000003</v>
      </c>
      <c r="V955" s="3">
        <v>148.24520200000001</v>
      </c>
    </row>
    <row r="956" spans="1:22" x14ac:dyDescent="0.35">
      <c r="A956" s="22" t="s">
        <v>2975</v>
      </c>
      <c r="B956" s="1" t="s">
        <v>2976</v>
      </c>
      <c r="C956" s="1" t="s">
        <v>2977</v>
      </c>
      <c r="D956" s="1" t="s">
        <v>211</v>
      </c>
      <c r="E956" s="1" t="s">
        <v>102</v>
      </c>
      <c r="F956" s="1" t="s">
        <v>69</v>
      </c>
      <c r="G956" s="1">
        <f t="shared" si="70"/>
        <v>3</v>
      </c>
      <c r="H956" s="1" t="s">
        <v>58</v>
      </c>
      <c r="I956" s="1" t="s">
        <v>49</v>
      </c>
      <c r="J956" s="23" t="s">
        <v>50</v>
      </c>
      <c r="K956" s="2" t="s">
        <v>51</v>
      </c>
      <c r="L956" s="1">
        <v>42</v>
      </c>
      <c r="M956" s="1">
        <v>14</v>
      </c>
      <c r="N956" s="1" t="str">
        <f t="shared" si="73"/>
        <v>Published</v>
      </c>
      <c r="O956" s="1">
        <f t="shared" si="71"/>
        <v>5.8800000000000008</v>
      </c>
      <c r="P956" s="1">
        <v>0</v>
      </c>
      <c r="Q956" s="1">
        <v>973</v>
      </c>
      <c r="R956" s="1" t="str">
        <f t="shared" si="74"/>
        <v>2</v>
      </c>
      <c r="S956" s="1">
        <v>106</v>
      </c>
      <c r="T956" s="1" t="str">
        <f t="shared" si="72"/>
        <v>1</v>
      </c>
      <c r="U956" s="1">
        <v>-32.333557999999996</v>
      </c>
      <c r="V956" s="3">
        <v>148.759119</v>
      </c>
    </row>
    <row r="957" spans="1:22" x14ac:dyDescent="0.35">
      <c r="A957" s="22" t="s">
        <v>2978</v>
      </c>
      <c r="B957" s="1" t="s">
        <v>2979</v>
      </c>
      <c r="C957" s="1" t="s">
        <v>2980</v>
      </c>
      <c r="D957" s="1" t="s">
        <v>587</v>
      </c>
      <c r="E957" s="1" t="s">
        <v>107</v>
      </c>
      <c r="F957" s="1" t="s">
        <v>57</v>
      </c>
      <c r="G957" s="1">
        <f t="shared" si="70"/>
        <v>2</v>
      </c>
      <c r="H957" s="1" t="s">
        <v>92</v>
      </c>
      <c r="I957" s="1" t="s">
        <v>49</v>
      </c>
      <c r="J957" s="23" t="s">
        <v>50</v>
      </c>
      <c r="K957" s="2" t="s">
        <v>51</v>
      </c>
      <c r="L957" s="1">
        <v>97</v>
      </c>
      <c r="M957" s="1">
        <v>16</v>
      </c>
      <c r="N957" s="1" t="str">
        <f t="shared" si="73"/>
        <v>Published</v>
      </c>
      <c r="O957" s="1">
        <f t="shared" si="71"/>
        <v>15.52</v>
      </c>
      <c r="P957" s="1">
        <v>8</v>
      </c>
      <c r="Q957" s="1">
        <v>922</v>
      </c>
      <c r="R957" s="1" t="str">
        <f t="shared" si="74"/>
        <v>2</v>
      </c>
      <c r="S957" s="1">
        <v>128</v>
      </c>
      <c r="T957" s="1" t="str">
        <f t="shared" si="72"/>
        <v>1</v>
      </c>
      <c r="U957" s="1">
        <v>-29.075389999999999</v>
      </c>
      <c r="V957" s="3">
        <v>153.339292</v>
      </c>
    </row>
    <row r="958" spans="1:22" x14ac:dyDescent="0.35">
      <c r="A958" s="22" t="s">
        <v>2981</v>
      </c>
      <c r="B958" s="1" t="s">
        <v>2982</v>
      </c>
      <c r="C958" s="1" t="s">
        <v>2983</v>
      </c>
      <c r="D958" s="1" t="s">
        <v>256</v>
      </c>
      <c r="E958" s="1" t="s">
        <v>107</v>
      </c>
      <c r="F958" s="1" t="s">
        <v>69</v>
      </c>
      <c r="G958" s="1">
        <f t="shared" si="70"/>
        <v>3</v>
      </c>
      <c r="H958" s="1" t="s">
        <v>92</v>
      </c>
      <c r="I958" s="1" t="s">
        <v>132</v>
      </c>
      <c r="J958" s="23" t="s">
        <v>50</v>
      </c>
      <c r="K958" s="2" t="s">
        <v>51</v>
      </c>
      <c r="L958" s="1">
        <v>159</v>
      </c>
      <c r="M958" s="1">
        <v>45</v>
      </c>
      <c r="N958" s="1" t="str">
        <f t="shared" si="73"/>
        <v>Published</v>
      </c>
      <c r="O958" s="1">
        <f t="shared" si="71"/>
        <v>71.55</v>
      </c>
      <c r="P958" s="1">
        <v>45</v>
      </c>
      <c r="Q958" s="1">
        <v>848</v>
      </c>
      <c r="R958" s="1" t="str">
        <f t="shared" si="74"/>
        <v>1</v>
      </c>
      <c r="S958" s="1">
        <v>150</v>
      </c>
      <c r="T958" s="1" t="str">
        <f t="shared" si="72"/>
        <v>2</v>
      </c>
      <c r="U958" s="1">
        <v>-28.389728000000002</v>
      </c>
      <c r="V958" s="3">
        <v>152.61014800000001</v>
      </c>
    </row>
    <row r="959" spans="1:22" x14ac:dyDescent="0.35">
      <c r="A959" s="22" t="s">
        <v>2984</v>
      </c>
      <c r="B959" s="1" t="s">
        <v>2985</v>
      </c>
      <c r="C959" s="1" t="s">
        <v>2986</v>
      </c>
      <c r="D959" s="1" t="s">
        <v>944</v>
      </c>
      <c r="E959" s="1" t="s">
        <v>261</v>
      </c>
      <c r="F959" s="1" t="s">
        <v>69</v>
      </c>
      <c r="G959" s="1">
        <f t="shared" si="70"/>
        <v>3</v>
      </c>
      <c r="H959" s="1" t="s">
        <v>70</v>
      </c>
      <c r="I959" s="1" t="s">
        <v>49</v>
      </c>
      <c r="J959" s="23" t="s">
        <v>50</v>
      </c>
      <c r="K959" s="2" t="s">
        <v>51</v>
      </c>
      <c r="L959" s="1">
        <v>20</v>
      </c>
      <c r="M959" s="1">
        <v>0</v>
      </c>
      <c r="N959" s="1" t="str">
        <f t="shared" si="73"/>
        <v>Published</v>
      </c>
      <c r="O959" s="1">
        <f t="shared" si="71"/>
        <v>0</v>
      </c>
      <c r="P959" s="1"/>
      <c r="Q959" s="1">
        <v>937</v>
      </c>
      <c r="R959" s="1" t="str">
        <f t="shared" si="74"/>
        <v>2</v>
      </c>
      <c r="S959" s="1">
        <v>110</v>
      </c>
      <c r="T959" s="1" t="str">
        <f t="shared" si="72"/>
        <v>1</v>
      </c>
      <c r="U959" s="1">
        <v>-33.745939999999997</v>
      </c>
      <c r="V959" s="3">
        <v>148.84904599999999</v>
      </c>
    </row>
    <row r="960" spans="1:22" x14ac:dyDescent="0.35">
      <c r="A960" s="22" t="s">
        <v>2987</v>
      </c>
      <c r="B960" s="1" t="s">
        <v>2988</v>
      </c>
      <c r="C960" s="1" t="s">
        <v>2989</v>
      </c>
      <c r="D960" s="1" t="s">
        <v>2834</v>
      </c>
      <c r="E960" s="1" t="s">
        <v>91</v>
      </c>
      <c r="F960" s="1" t="s">
        <v>69</v>
      </c>
      <c r="G960" s="1">
        <f t="shared" si="70"/>
        <v>3</v>
      </c>
      <c r="H960" s="1" t="s">
        <v>92</v>
      </c>
      <c r="I960" s="1" t="s">
        <v>49</v>
      </c>
      <c r="J960" s="23" t="s">
        <v>50</v>
      </c>
      <c r="K960" s="2" t="s">
        <v>51</v>
      </c>
      <c r="L960" s="1">
        <v>11</v>
      </c>
      <c r="M960" s="1">
        <v>0</v>
      </c>
      <c r="N960" s="1" t="str">
        <f t="shared" si="73"/>
        <v>Published</v>
      </c>
      <c r="O960" s="1">
        <f t="shared" si="71"/>
        <v>0</v>
      </c>
      <c r="P960" s="1">
        <v>0</v>
      </c>
      <c r="Q960" s="1">
        <v>900</v>
      </c>
      <c r="R960" s="1" t="str">
        <f t="shared" si="74"/>
        <v>2</v>
      </c>
      <c r="S960" s="1">
        <v>144</v>
      </c>
      <c r="T960" s="1" t="str">
        <f t="shared" si="72"/>
        <v>1</v>
      </c>
      <c r="U960" s="1">
        <v>-30.970234000000001</v>
      </c>
      <c r="V960" s="3">
        <v>151.344607</v>
      </c>
    </row>
    <row r="961" spans="1:22" x14ac:dyDescent="0.35">
      <c r="A961" s="22" t="s">
        <v>2990</v>
      </c>
      <c r="B961" s="1" t="s">
        <v>2991</v>
      </c>
      <c r="C961" s="1" t="s">
        <v>2992</v>
      </c>
      <c r="D961" s="1" t="s">
        <v>465</v>
      </c>
      <c r="E961" s="1" t="s">
        <v>281</v>
      </c>
      <c r="F961" s="1" t="s">
        <v>57</v>
      </c>
      <c r="G961" s="1">
        <f t="shared" si="70"/>
        <v>2</v>
      </c>
      <c r="H961" s="1" t="s">
        <v>92</v>
      </c>
      <c r="I961" s="1" t="s">
        <v>49</v>
      </c>
      <c r="J961" s="23" t="s">
        <v>50</v>
      </c>
      <c r="K961" s="2" t="s">
        <v>51</v>
      </c>
      <c r="L961" s="1">
        <v>349</v>
      </c>
      <c r="M961" s="1">
        <v>14</v>
      </c>
      <c r="N961" s="1" t="str">
        <f t="shared" si="73"/>
        <v>Published</v>
      </c>
      <c r="O961" s="1">
        <f t="shared" si="71"/>
        <v>48.860000000000007</v>
      </c>
      <c r="P961" s="1">
        <v>47</v>
      </c>
      <c r="Q961" s="1">
        <v>965</v>
      </c>
      <c r="R961" s="1" t="str">
        <f t="shared" si="74"/>
        <v>2</v>
      </c>
      <c r="S961" s="1">
        <v>99</v>
      </c>
      <c r="T961" s="1" t="str">
        <f t="shared" si="72"/>
        <v>3</v>
      </c>
      <c r="U961" s="1">
        <v>-30.112673000000001</v>
      </c>
      <c r="V961" s="3">
        <v>153.19650100000001</v>
      </c>
    </row>
    <row r="962" spans="1:22" x14ac:dyDescent="0.35">
      <c r="A962" s="22" t="s">
        <v>2993</v>
      </c>
      <c r="B962" s="1" t="s">
        <v>2994</v>
      </c>
      <c r="C962" s="1" t="s">
        <v>2995</v>
      </c>
      <c r="D962" s="1" t="s">
        <v>730</v>
      </c>
      <c r="E962" s="1" t="s">
        <v>261</v>
      </c>
      <c r="F962" s="1" t="s">
        <v>57</v>
      </c>
      <c r="G962" s="1">
        <f t="shared" ref="G962:G1025" si="75">IF(F962="Major Cities of Australia",1,IF(F962="Inner Regional Australia",2,IF(F962="Outer Regional Australia",3,IF(F962="Remote Australia",4,IF(F962="Very Remote Australia",5,6)))))</f>
        <v>2</v>
      </c>
      <c r="H962" s="1" t="s">
        <v>70</v>
      </c>
      <c r="I962" s="1" t="s">
        <v>49</v>
      </c>
      <c r="J962" s="23" t="s">
        <v>50</v>
      </c>
      <c r="K962" s="2" t="s">
        <v>51</v>
      </c>
      <c r="L962" s="1">
        <v>22</v>
      </c>
      <c r="M962" s="1"/>
      <c r="N962" s="1" t="str">
        <f t="shared" si="73"/>
        <v>Suppressed</v>
      </c>
      <c r="O962" s="1" t="str">
        <f t="shared" ref="O962:O1025" si="76">IF(OR(M962="",L962=""),"",M962/100*L962)</f>
        <v/>
      </c>
      <c r="P962" s="1"/>
      <c r="Q962" s="1">
        <v>992</v>
      </c>
      <c r="R962" s="1" t="str">
        <f t="shared" si="74"/>
        <v>2</v>
      </c>
      <c r="S962" s="1">
        <v>70</v>
      </c>
      <c r="T962" s="1" t="str">
        <f t="shared" ref="T962:T1025" si="77">IF(L962="","No enrolment",IF(L962&lt;100,"1",IF(L962&lt;300,"2",IF(L962&lt;600,"3",IF(L962&lt;1000,"4","5")))))</f>
        <v>1</v>
      </c>
      <c r="U962" s="1">
        <v>-33.251004999999999</v>
      </c>
      <c r="V962" s="3">
        <v>148.98420899999999</v>
      </c>
    </row>
    <row r="963" spans="1:22" x14ac:dyDescent="0.35">
      <c r="A963" s="22" t="s">
        <v>2996</v>
      </c>
      <c r="B963" s="1" t="s">
        <v>2997</v>
      </c>
      <c r="C963" s="1" t="s">
        <v>2998</v>
      </c>
      <c r="D963" s="1" t="s">
        <v>90</v>
      </c>
      <c r="E963" s="1" t="s">
        <v>91</v>
      </c>
      <c r="F963" s="1" t="s">
        <v>69</v>
      </c>
      <c r="G963" s="1">
        <f t="shared" si="75"/>
        <v>3</v>
      </c>
      <c r="H963" s="1" t="s">
        <v>92</v>
      </c>
      <c r="I963" s="1" t="s">
        <v>49</v>
      </c>
      <c r="J963" s="23" t="s">
        <v>50</v>
      </c>
      <c r="K963" s="2" t="s">
        <v>51</v>
      </c>
      <c r="L963" s="1">
        <v>11</v>
      </c>
      <c r="M963" s="1"/>
      <c r="N963" s="1" t="str">
        <f t="shared" ref="N963:N1026" si="78">IF(M963="","Suppressed","Published")</f>
        <v>Suppressed</v>
      </c>
      <c r="O963" s="1" t="str">
        <f t="shared" si="76"/>
        <v/>
      </c>
      <c r="P963" s="1"/>
      <c r="Q963" s="1">
        <v>840</v>
      </c>
      <c r="R963" s="1" t="str">
        <f t="shared" ref="R963:R1026" si="79">IF(Q963="","No ICSEA",IF(Q963&lt;900,"1",IF(Q963&lt;1000,"2",IF(Q963&lt;1100,"3","4"))))</f>
        <v>1</v>
      </c>
      <c r="S963" s="1">
        <v>174</v>
      </c>
      <c r="T963" s="1" t="str">
        <f t="shared" si="77"/>
        <v>1</v>
      </c>
      <c r="U963" s="1">
        <v>-31.301770000000001</v>
      </c>
      <c r="V963" s="3">
        <v>151.14806999999999</v>
      </c>
    </row>
    <row r="964" spans="1:22" x14ac:dyDescent="0.35">
      <c r="A964" s="22" t="s">
        <v>2999</v>
      </c>
      <c r="B964" s="1" t="s">
        <v>3000</v>
      </c>
      <c r="C964" s="1" t="s">
        <v>3001</v>
      </c>
      <c r="D964" s="1" t="s">
        <v>176</v>
      </c>
      <c r="E964" s="1" t="s">
        <v>85</v>
      </c>
      <c r="F964" s="1" t="s">
        <v>47</v>
      </c>
      <c r="G964" s="1">
        <f t="shared" si="75"/>
        <v>1</v>
      </c>
      <c r="H964" s="1" t="s">
        <v>86</v>
      </c>
      <c r="I964" s="1" t="s">
        <v>49</v>
      </c>
      <c r="J964" s="23" t="s">
        <v>50</v>
      </c>
      <c r="K964" s="2" t="s">
        <v>51</v>
      </c>
      <c r="L964" s="1">
        <v>519</v>
      </c>
      <c r="M964" s="1">
        <v>5</v>
      </c>
      <c r="N964" s="1" t="str">
        <f t="shared" si="78"/>
        <v>Published</v>
      </c>
      <c r="O964" s="1">
        <f t="shared" si="76"/>
        <v>25.950000000000003</v>
      </c>
      <c r="P964" s="1">
        <v>12</v>
      </c>
      <c r="Q964" s="1">
        <v>1070</v>
      </c>
      <c r="R964" s="1" t="str">
        <f t="shared" si="79"/>
        <v>3</v>
      </c>
      <c r="S964" s="1">
        <v>52</v>
      </c>
      <c r="T964" s="1" t="str">
        <f t="shared" si="77"/>
        <v>3</v>
      </c>
      <c r="U964" s="1">
        <v>-34.345568999999998</v>
      </c>
      <c r="V964" s="3">
        <v>150.90680599999999</v>
      </c>
    </row>
    <row r="965" spans="1:22" x14ac:dyDescent="0.35">
      <c r="A965" s="22" t="s">
        <v>3002</v>
      </c>
      <c r="B965" s="1" t="s">
        <v>3003</v>
      </c>
      <c r="C965" s="1" t="s">
        <v>3004</v>
      </c>
      <c r="D965" s="1" t="s">
        <v>260</v>
      </c>
      <c r="E965" s="1" t="s">
        <v>261</v>
      </c>
      <c r="F965" s="1" t="s">
        <v>69</v>
      </c>
      <c r="G965" s="1">
        <f t="shared" si="75"/>
        <v>3</v>
      </c>
      <c r="H965" s="1" t="s">
        <v>70</v>
      </c>
      <c r="I965" s="1" t="s">
        <v>49</v>
      </c>
      <c r="J965" s="23" t="s">
        <v>50</v>
      </c>
      <c r="K965" s="2" t="s">
        <v>51</v>
      </c>
      <c r="L965" s="1">
        <v>87</v>
      </c>
      <c r="M965" s="1">
        <v>24</v>
      </c>
      <c r="N965" s="1" t="str">
        <f t="shared" si="78"/>
        <v>Published</v>
      </c>
      <c r="O965" s="1">
        <f t="shared" si="76"/>
        <v>20.88</v>
      </c>
      <c r="P965" s="1"/>
      <c r="Q965" s="1">
        <v>921</v>
      </c>
      <c r="R965" s="1" t="str">
        <f t="shared" si="79"/>
        <v>2</v>
      </c>
      <c r="S965" s="1">
        <v>129</v>
      </c>
      <c r="T965" s="1" t="str">
        <f t="shared" si="77"/>
        <v>1</v>
      </c>
      <c r="U965" s="1">
        <v>-33.923924999999997</v>
      </c>
      <c r="V965" s="3">
        <v>147.24207000000001</v>
      </c>
    </row>
    <row r="966" spans="1:22" x14ac:dyDescent="0.35">
      <c r="A966" s="22" t="s">
        <v>3005</v>
      </c>
      <c r="B966" s="1" t="s">
        <v>3006</v>
      </c>
      <c r="C966" s="1" t="s">
        <v>3007</v>
      </c>
      <c r="D966" s="1" t="s">
        <v>260</v>
      </c>
      <c r="E966" s="1" t="s">
        <v>261</v>
      </c>
      <c r="F966" s="1" t="s">
        <v>69</v>
      </c>
      <c r="G966" s="1">
        <f t="shared" si="75"/>
        <v>3</v>
      </c>
      <c r="H966" s="1" t="s">
        <v>70</v>
      </c>
      <c r="I966" s="1" t="s">
        <v>49</v>
      </c>
      <c r="J966" s="23" t="s">
        <v>50</v>
      </c>
      <c r="K966" s="2" t="s">
        <v>51</v>
      </c>
      <c r="L966" s="1">
        <v>202</v>
      </c>
      <c r="M966" s="1">
        <v>19</v>
      </c>
      <c r="N966" s="1" t="str">
        <f t="shared" si="78"/>
        <v>Published</v>
      </c>
      <c r="O966" s="1">
        <f t="shared" si="76"/>
        <v>38.380000000000003</v>
      </c>
      <c r="P966" s="1">
        <v>7</v>
      </c>
      <c r="Q966" s="1">
        <v>952</v>
      </c>
      <c r="R966" s="1" t="str">
        <f t="shared" si="79"/>
        <v>2</v>
      </c>
      <c r="S966" s="1">
        <v>102</v>
      </c>
      <c r="T966" s="1" t="str">
        <f t="shared" si="77"/>
        <v>2</v>
      </c>
      <c r="U966" s="1">
        <v>-33.918501999999997</v>
      </c>
      <c r="V966" s="3">
        <v>147.20405600000001</v>
      </c>
    </row>
    <row r="967" spans="1:22" x14ac:dyDescent="0.35">
      <c r="A967" s="22" t="s">
        <v>3008</v>
      </c>
      <c r="B967" s="1" t="s">
        <v>3009</v>
      </c>
      <c r="C967" s="1" t="s">
        <v>3010</v>
      </c>
      <c r="D967" s="1" t="s">
        <v>191</v>
      </c>
      <c r="E967" s="1" t="s">
        <v>75</v>
      </c>
      <c r="F967" s="1" t="s">
        <v>47</v>
      </c>
      <c r="G967" s="1">
        <f t="shared" si="75"/>
        <v>1</v>
      </c>
      <c r="H967" s="1" t="s">
        <v>63</v>
      </c>
      <c r="I967" s="1" t="s">
        <v>49</v>
      </c>
      <c r="J967" s="23" t="s">
        <v>50</v>
      </c>
      <c r="K967" s="2" t="s">
        <v>51</v>
      </c>
      <c r="L967" s="1">
        <v>193</v>
      </c>
      <c r="M967" s="1">
        <v>15</v>
      </c>
      <c r="N967" s="1" t="str">
        <f t="shared" si="78"/>
        <v>Published</v>
      </c>
      <c r="O967" s="1">
        <f t="shared" si="76"/>
        <v>28.95</v>
      </c>
      <c r="P967" s="1">
        <v>3</v>
      </c>
      <c r="Q967" s="1">
        <v>955</v>
      </c>
      <c r="R967" s="1" t="str">
        <f t="shared" si="79"/>
        <v>2</v>
      </c>
      <c r="S967" s="1">
        <v>106</v>
      </c>
      <c r="T967" s="1" t="str">
        <f t="shared" si="77"/>
        <v>2</v>
      </c>
      <c r="U967" s="1">
        <v>-33.174833</v>
      </c>
      <c r="V967" s="3">
        <v>151.48296099999999</v>
      </c>
    </row>
    <row r="968" spans="1:22" x14ac:dyDescent="0.35">
      <c r="A968" s="22" t="s">
        <v>3011</v>
      </c>
      <c r="B968" s="1" t="s">
        <v>3012</v>
      </c>
      <c r="C968" s="1" t="s">
        <v>3013</v>
      </c>
      <c r="D968" s="1" t="s">
        <v>314</v>
      </c>
      <c r="E968" s="1" t="s">
        <v>68</v>
      </c>
      <c r="F968" s="1" t="s">
        <v>69</v>
      </c>
      <c r="G968" s="1">
        <f t="shared" si="75"/>
        <v>3</v>
      </c>
      <c r="H968" s="1" t="s">
        <v>70</v>
      </c>
      <c r="I968" s="1" t="s">
        <v>49</v>
      </c>
      <c r="J968" s="23" t="s">
        <v>50</v>
      </c>
      <c r="K968" s="2" t="s">
        <v>51</v>
      </c>
      <c r="L968" s="1">
        <v>27</v>
      </c>
      <c r="M968" s="1"/>
      <c r="N968" s="1" t="str">
        <f t="shared" si="78"/>
        <v>Suppressed</v>
      </c>
      <c r="O968" s="1" t="str">
        <f t="shared" si="76"/>
        <v/>
      </c>
      <c r="P968" s="1">
        <v>0</v>
      </c>
      <c r="Q968" s="1">
        <v>935</v>
      </c>
      <c r="R968" s="1" t="str">
        <f t="shared" si="79"/>
        <v>2</v>
      </c>
      <c r="S968" s="1">
        <v>121</v>
      </c>
      <c r="T968" s="1" t="str">
        <f t="shared" si="77"/>
        <v>1</v>
      </c>
      <c r="U968" s="1">
        <v>-36.92962</v>
      </c>
      <c r="V968" s="3">
        <v>149.64655999999999</v>
      </c>
    </row>
    <row r="969" spans="1:22" x14ac:dyDescent="0.35">
      <c r="A969" s="22" t="s">
        <v>3014</v>
      </c>
      <c r="B969" s="1" t="s">
        <v>3015</v>
      </c>
      <c r="C969" s="1" t="s">
        <v>1580</v>
      </c>
      <c r="D969" s="1" t="s">
        <v>186</v>
      </c>
      <c r="E969" s="1" t="s">
        <v>187</v>
      </c>
      <c r="F969" s="1" t="s">
        <v>47</v>
      </c>
      <c r="G969" s="1">
        <f t="shared" si="75"/>
        <v>1</v>
      </c>
      <c r="H969" s="1" t="s">
        <v>63</v>
      </c>
      <c r="I969" s="1" t="s">
        <v>49</v>
      </c>
      <c r="J969" s="23" t="s">
        <v>50</v>
      </c>
      <c r="K969" s="2" t="s">
        <v>51</v>
      </c>
      <c r="L969" s="1">
        <v>433</v>
      </c>
      <c r="M969" s="1">
        <v>25</v>
      </c>
      <c r="N969" s="1" t="str">
        <f t="shared" si="78"/>
        <v>Published</v>
      </c>
      <c r="O969" s="1">
        <f t="shared" si="76"/>
        <v>108.25</v>
      </c>
      <c r="P969" s="1">
        <v>20</v>
      </c>
      <c r="Q969" s="1">
        <v>931</v>
      </c>
      <c r="R969" s="1" t="str">
        <f t="shared" si="79"/>
        <v>2</v>
      </c>
      <c r="S969" s="1">
        <v>131</v>
      </c>
      <c r="T969" s="1" t="str">
        <f t="shared" si="77"/>
        <v>3</v>
      </c>
      <c r="U969" s="1">
        <v>-33.271886000000002</v>
      </c>
      <c r="V969" s="3">
        <v>151.426188</v>
      </c>
    </row>
    <row r="970" spans="1:22" x14ac:dyDescent="0.35">
      <c r="A970" s="22" t="s">
        <v>3016</v>
      </c>
      <c r="B970" s="1" t="s">
        <v>3017</v>
      </c>
      <c r="C970" s="1" t="s">
        <v>3018</v>
      </c>
      <c r="D970" s="1" t="s">
        <v>186</v>
      </c>
      <c r="E970" s="1" t="s">
        <v>187</v>
      </c>
      <c r="F970" s="1" t="s">
        <v>47</v>
      </c>
      <c r="G970" s="1">
        <f t="shared" si="75"/>
        <v>1</v>
      </c>
      <c r="H970" s="1" t="s">
        <v>63</v>
      </c>
      <c r="I970" s="1" t="s">
        <v>49</v>
      </c>
      <c r="J970" s="23" t="s">
        <v>50</v>
      </c>
      <c r="K970" s="2" t="s">
        <v>51</v>
      </c>
      <c r="L970" s="1">
        <v>94</v>
      </c>
      <c r="M970" s="1">
        <v>13</v>
      </c>
      <c r="N970" s="1" t="str">
        <f t="shared" si="78"/>
        <v>Published</v>
      </c>
      <c r="O970" s="1">
        <f t="shared" si="76"/>
        <v>12.22</v>
      </c>
      <c r="P970" s="1">
        <v>15</v>
      </c>
      <c r="Q970" s="1">
        <v>978</v>
      </c>
      <c r="R970" s="1" t="str">
        <f t="shared" si="79"/>
        <v>2</v>
      </c>
      <c r="S970" s="1">
        <v>131</v>
      </c>
      <c r="T970" s="1" t="str">
        <f t="shared" si="77"/>
        <v>1</v>
      </c>
      <c r="U970" s="1">
        <v>-33.267128999999997</v>
      </c>
      <c r="V970" s="3">
        <v>151.34807000000001</v>
      </c>
    </row>
    <row r="971" spans="1:22" x14ac:dyDescent="0.35">
      <c r="A971" s="22" t="s">
        <v>3019</v>
      </c>
      <c r="B971" s="1" t="s">
        <v>3020</v>
      </c>
      <c r="C971" s="1" t="s">
        <v>3021</v>
      </c>
      <c r="D971" s="1" t="s">
        <v>390</v>
      </c>
      <c r="E971" s="1" t="s">
        <v>107</v>
      </c>
      <c r="F971" s="1" t="s">
        <v>57</v>
      </c>
      <c r="G971" s="1">
        <f t="shared" si="75"/>
        <v>2</v>
      </c>
      <c r="H971" s="1" t="s">
        <v>92</v>
      </c>
      <c r="I971" s="1" t="s">
        <v>49</v>
      </c>
      <c r="J971" s="23" t="s">
        <v>50</v>
      </c>
      <c r="K971" s="2" t="s">
        <v>51</v>
      </c>
      <c r="L971" s="1">
        <v>17</v>
      </c>
      <c r="M971" s="1"/>
      <c r="N971" s="1" t="str">
        <f t="shared" si="78"/>
        <v>Suppressed</v>
      </c>
      <c r="O971" s="1" t="str">
        <f t="shared" si="76"/>
        <v/>
      </c>
      <c r="P971" s="1">
        <v>0</v>
      </c>
      <c r="Q971" s="1">
        <v>985</v>
      </c>
      <c r="R971" s="1" t="str">
        <f t="shared" si="79"/>
        <v>2</v>
      </c>
      <c r="S971" s="1">
        <v>109</v>
      </c>
      <c r="T971" s="1" t="str">
        <f t="shared" si="77"/>
        <v>1</v>
      </c>
      <c r="U971" s="1">
        <v>-28.890407</v>
      </c>
      <c r="V971" s="3">
        <v>153.30571800000001</v>
      </c>
    </row>
    <row r="972" spans="1:22" x14ac:dyDescent="0.35">
      <c r="A972" s="22" t="s">
        <v>3022</v>
      </c>
      <c r="B972" s="1" t="s">
        <v>3023</v>
      </c>
      <c r="C972" s="1" t="s">
        <v>3024</v>
      </c>
      <c r="D972" s="1" t="s">
        <v>280</v>
      </c>
      <c r="E972" s="1" t="s">
        <v>281</v>
      </c>
      <c r="F972" s="1" t="s">
        <v>57</v>
      </c>
      <c r="G972" s="1">
        <f t="shared" si="75"/>
        <v>2</v>
      </c>
      <c r="H972" s="1" t="s">
        <v>92</v>
      </c>
      <c r="I972" s="1" t="s">
        <v>49</v>
      </c>
      <c r="J972" s="23" t="s">
        <v>50</v>
      </c>
      <c r="K972" s="2" t="s">
        <v>51</v>
      </c>
      <c r="L972" s="1">
        <v>295</v>
      </c>
      <c r="M972" s="1">
        <v>22</v>
      </c>
      <c r="N972" s="1" t="str">
        <f t="shared" si="78"/>
        <v>Published</v>
      </c>
      <c r="O972" s="1">
        <f t="shared" si="76"/>
        <v>64.900000000000006</v>
      </c>
      <c r="P972" s="1">
        <v>13</v>
      </c>
      <c r="Q972" s="1">
        <v>978</v>
      </c>
      <c r="R972" s="1" t="str">
        <f t="shared" si="79"/>
        <v>2</v>
      </c>
      <c r="S972" s="1">
        <v>85</v>
      </c>
      <c r="T972" s="1" t="str">
        <f t="shared" si="77"/>
        <v>2</v>
      </c>
      <c r="U972" s="1">
        <v>-29.439523999999999</v>
      </c>
      <c r="V972" s="3">
        <v>153.35315700000001</v>
      </c>
    </row>
    <row r="973" spans="1:22" x14ac:dyDescent="0.35">
      <c r="A973" s="22" t="s">
        <v>3025</v>
      </c>
      <c r="B973" s="1" t="s">
        <v>3026</v>
      </c>
      <c r="C973" s="1" t="s">
        <v>3027</v>
      </c>
      <c r="D973" s="1" t="s">
        <v>95</v>
      </c>
      <c r="E973" s="1" t="s">
        <v>96</v>
      </c>
      <c r="F973" s="1" t="s">
        <v>57</v>
      </c>
      <c r="G973" s="1">
        <f t="shared" si="75"/>
        <v>2</v>
      </c>
      <c r="H973" s="1" t="s">
        <v>70</v>
      </c>
      <c r="I973" s="1" t="s">
        <v>49</v>
      </c>
      <c r="J973" s="23" t="s">
        <v>50</v>
      </c>
      <c r="K973" s="2" t="s">
        <v>51</v>
      </c>
      <c r="L973" s="1">
        <v>140</v>
      </c>
      <c r="M973" s="1">
        <v>7</v>
      </c>
      <c r="N973" s="1" t="str">
        <f t="shared" si="78"/>
        <v>Published</v>
      </c>
      <c r="O973" s="1">
        <f t="shared" si="76"/>
        <v>9.8000000000000007</v>
      </c>
      <c r="P973" s="1"/>
      <c r="Q973" s="1">
        <v>1030</v>
      </c>
      <c r="R973" s="1" t="str">
        <f t="shared" si="79"/>
        <v>3</v>
      </c>
      <c r="S973" s="1">
        <v>74</v>
      </c>
      <c r="T973" s="1" t="str">
        <f t="shared" si="77"/>
        <v>2</v>
      </c>
      <c r="U973" s="1">
        <v>-35.967573000000002</v>
      </c>
      <c r="V973" s="3">
        <v>147.00730200000001</v>
      </c>
    </row>
    <row r="974" spans="1:22" x14ac:dyDescent="0.35">
      <c r="A974" s="22" t="s">
        <v>3028</v>
      </c>
      <c r="B974" s="1" t="s">
        <v>3029</v>
      </c>
      <c r="C974" s="1" t="s">
        <v>3030</v>
      </c>
      <c r="D974" s="1" t="s">
        <v>1763</v>
      </c>
      <c r="E974" s="1" t="s">
        <v>80</v>
      </c>
      <c r="F974" s="1" t="s">
        <v>69</v>
      </c>
      <c r="G974" s="1">
        <f t="shared" si="75"/>
        <v>3</v>
      </c>
      <c r="H974" s="1" t="s">
        <v>70</v>
      </c>
      <c r="I974" s="1" t="s">
        <v>49</v>
      </c>
      <c r="J974" s="23" t="s">
        <v>50</v>
      </c>
      <c r="K974" s="2" t="s">
        <v>51</v>
      </c>
      <c r="L974" s="1">
        <v>70</v>
      </c>
      <c r="M974" s="1">
        <v>29</v>
      </c>
      <c r="N974" s="1" t="str">
        <f t="shared" si="78"/>
        <v>Published</v>
      </c>
      <c r="O974" s="1">
        <f t="shared" si="76"/>
        <v>20.299999999999997</v>
      </c>
      <c r="P974" s="1">
        <v>0</v>
      </c>
      <c r="Q974" s="1">
        <v>860</v>
      </c>
      <c r="R974" s="1" t="str">
        <f t="shared" si="79"/>
        <v>1</v>
      </c>
      <c r="S974" s="1">
        <v>176</v>
      </c>
      <c r="T974" s="1" t="str">
        <f t="shared" si="77"/>
        <v>1</v>
      </c>
      <c r="U974" s="1">
        <v>-34.597911000000003</v>
      </c>
      <c r="V974" s="3">
        <v>146.41121100000001</v>
      </c>
    </row>
    <row r="975" spans="1:22" x14ac:dyDescent="0.35">
      <c r="A975" s="22" t="s">
        <v>3031</v>
      </c>
      <c r="B975" s="1" t="s">
        <v>3032</v>
      </c>
      <c r="C975" s="1" t="s">
        <v>3033</v>
      </c>
      <c r="D975" s="1" t="s">
        <v>121</v>
      </c>
      <c r="E975" s="1" t="s">
        <v>122</v>
      </c>
      <c r="F975" s="1" t="s">
        <v>57</v>
      </c>
      <c r="G975" s="1">
        <f t="shared" si="75"/>
        <v>2</v>
      </c>
      <c r="H975" s="1" t="s">
        <v>86</v>
      </c>
      <c r="I975" s="1" t="s">
        <v>49</v>
      </c>
      <c r="J975" s="23" t="s">
        <v>50</v>
      </c>
      <c r="K975" s="2" t="s">
        <v>51</v>
      </c>
      <c r="L975" s="1">
        <v>35</v>
      </c>
      <c r="M975" s="1">
        <v>17</v>
      </c>
      <c r="N975" s="1" t="str">
        <f t="shared" si="78"/>
        <v>Published</v>
      </c>
      <c r="O975" s="1">
        <f t="shared" si="76"/>
        <v>5.95</v>
      </c>
      <c r="P975" s="1"/>
      <c r="Q975" s="1">
        <v>934</v>
      </c>
      <c r="R975" s="1" t="str">
        <f t="shared" si="79"/>
        <v>2</v>
      </c>
      <c r="S975" s="1">
        <v>142</v>
      </c>
      <c r="T975" s="1" t="str">
        <f t="shared" si="77"/>
        <v>1</v>
      </c>
      <c r="U975" s="1">
        <v>-34.320475000000002</v>
      </c>
      <c r="V975" s="3">
        <v>150.57124400000001</v>
      </c>
    </row>
    <row r="976" spans="1:22" x14ac:dyDescent="0.35">
      <c r="A976" s="22" t="s">
        <v>3034</v>
      </c>
      <c r="B976" s="1" t="s">
        <v>3035</v>
      </c>
      <c r="C976" s="1" t="s">
        <v>3036</v>
      </c>
      <c r="D976" s="1" t="s">
        <v>2834</v>
      </c>
      <c r="E976" s="1" t="s">
        <v>91</v>
      </c>
      <c r="F976" s="1" t="s">
        <v>69</v>
      </c>
      <c r="G976" s="1">
        <f t="shared" si="75"/>
        <v>3</v>
      </c>
      <c r="H976" s="1" t="s">
        <v>92</v>
      </c>
      <c r="I976" s="1" t="s">
        <v>49</v>
      </c>
      <c r="J976" s="23" t="s">
        <v>50</v>
      </c>
      <c r="K976" s="2" t="s">
        <v>51</v>
      </c>
      <c r="L976" s="1">
        <v>3</v>
      </c>
      <c r="M976" s="1">
        <v>0</v>
      </c>
      <c r="N976" s="1" t="str">
        <f t="shared" si="78"/>
        <v>Published</v>
      </c>
      <c r="O976" s="1">
        <f t="shared" si="76"/>
        <v>0</v>
      </c>
      <c r="P976" s="1">
        <v>0</v>
      </c>
      <c r="Q976" s="1"/>
      <c r="R976" s="1" t="str">
        <f t="shared" si="79"/>
        <v>No ICSEA</v>
      </c>
      <c r="S976" s="1">
        <v>128</v>
      </c>
      <c r="T976" s="1" t="str">
        <f t="shared" si="77"/>
        <v>1</v>
      </c>
      <c r="U976" s="1">
        <v>-31.250589999999999</v>
      </c>
      <c r="V976" s="3">
        <v>151.94820999999999</v>
      </c>
    </row>
    <row r="977" spans="1:22" x14ac:dyDescent="0.35">
      <c r="A977" s="22" t="s">
        <v>3037</v>
      </c>
      <c r="B977" s="1" t="s">
        <v>3038</v>
      </c>
      <c r="C977" s="1" t="s">
        <v>3039</v>
      </c>
      <c r="D977" s="1" t="s">
        <v>408</v>
      </c>
      <c r="E977" s="1" t="s">
        <v>68</v>
      </c>
      <c r="F977" s="1" t="s">
        <v>57</v>
      </c>
      <c r="G977" s="1">
        <f t="shared" si="75"/>
        <v>2</v>
      </c>
      <c r="H977" s="1" t="s">
        <v>86</v>
      </c>
      <c r="I977" s="1" t="s">
        <v>49</v>
      </c>
      <c r="J977" s="23" t="s">
        <v>50</v>
      </c>
      <c r="K977" s="2" t="s">
        <v>51</v>
      </c>
      <c r="L977" s="1">
        <v>305</v>
      </c>
      <c r="M977" s="1">
        <v>7</v>
      </c>
      <c r="N977" s="1" t="str">
        <f t="shared" si="78"/>
        <v>Published</v>
      </c>
      <c r="O977" s="1">
        <f t="shared" si="76"/>
        <v>21.35</v>
      </c>
      <c r="P977" s="1">
        <v>12</v>
      </c>
      <c r="Q977" s="1">
        <v>1012</v>
      </c>
      <c r="R977" s="1" t="str">
        <f t="shared" si="79"/>
        <v>3</v>
      </c>
      <c r="S977" s="1">
        <v>84</v>
      </c>
      <c r="T977" s="1" t="str">
        <f t="shared" si="77"/>
        <v>3</v>
      </c>
      <c r="U977" s="1">
        <v>-34.837587999999997</v>
      </c>
      <c r="V977" s="3">
        <v>148.90686500000001</v>
      </c>
    </row>
    <row r="978" spans="1:22" x14ac:dyDescent="0.35">
      <c r="A978" s="22" t="s">
        <v>3040</v>
      </c>
      <c r="B978" s="1" t="s">
        <v>3041</v>
      </c>
      <c r="C978" s="1" t="s">
        <v>3042</v>
      </c>
      <c r="D978" s="1" t="s">
        <v>310</v>
      </c>
      <c r="E978" s="1" t="s">
        <v>80</v>
      </c>
      <c r="F978" s="1" t="s">
        <v>69</v>
      </c>
      <c r="G978" s="1">
        <f t="shared" si="75"/>
        <v>3</v>
      </c>
      <c r="H978" s="1" t="s">
        <v>70</v>
      </c>
      <c r="I978" s="1" t="s">
        <v>49</v>
      </c>
      <c r="J978" s="23" t="s">
        <v>50</v>
      </c>
      <c r="K978" s="2" t="s">
        <v>51</v>
      </c>
      <c r="L978" s="1">
        <v>106</v>
      </c>
      <c r="M978" s="1">
        <v>12</v>
      </c>
      <c r="N978" s="1" t="str">
        <f t="shared" si="78"/>
        <v>Published</v>
      </c>
      <c r="O978" s="1">
        <f t="shared" si="76"/>
        <v>12.719999999999999</v>
      </c>
      <c r="P978" s="1"/>
      <c r="Q978" s="1">
        <v>933</v>
      </c>
      <c r="R978" s="1" t="str">
        <f t="shared" si="79"/>
        <v>2</v>
      </c>
      <c r="S978" s="1">
        <v>118</v>
      </c>
      <c r="T978" s="1" t="str">
        <f t="shared" si="77"/>
        <v>2</v>
      </c>
      <c r="U978" s="1">
        <v>-34.252389000000001</v>
      </c>
      <c r="V978" s="3">
        <v>146.19830899999999</v>
      </c>
    </row>
    <row r="979" spans="1:22" x14ac:dyDescent="0.35">
      <c r="A979" s="22" t="s">
        <v>3043</v>
      </c>
      <c r="B979" s="1" t="s">
        <v>3044</v>
      </c>
      <c r="C979" s="1" t="s">
        <v>3045</v>
      </c>
      <c r="D979" s="1" t="s">
        <v>730</v>
      </c>
      <c r="E979" s="1" t="s">
        <v>102</v>
      </c>
      <c r="F979" s="1" t="s">
        <v>69</v>
      </c>
      <c r="G979" s="1">
        <f t="shared" si="75"/>
        <v>3</v>
      </c>
      <c r="H979" s="1" t="s">
        <v>70</v>
      </c>
      <c r="I979" s="1" t="s">
        <v>132</v>
      </c>
      <c r="J979" s="23" t="s">
        <v>50</v>
      </c>
      <c r="K979" s="2" t="s">
        <v>51</v>
      </c>
      <c r="L979" s="1">
        <v>75</v>
      </c>
      <c r="M979" s="1">
        <v>29</v>
      </c>
      <c r="N979" s="1" t="str">
        <f t="shared" si="78"/>
        <v>Published</v>
      </c>
      <c r="O979" s="1">
        <f t="shared" si="76"/>
        <v>21.75</v>
      </c>
      <c r="P979" s="1"/>
      <c r="Q979" s="1">
        <v>858</v>
      </c>
      <c r="R979" s="1" t="str">
        <f t="shared" si="79"/>
        <v>1</v>
      </c>
      <c r="S979" s="1">
        <v>162</v>
      </c>
      <c r="T979" s="1" t="str">
        <f t="shared" si="77"/>
        <v>1</v>
      </c>
      <c r="U979" s="1">
        <v>-32.754375000000003</v>
      </c>
      <c r="V979" s="3">
        <v>148.64967300000001</v>
      </c>
    </row>
    <row r="980" spans="1:22" x14ac:dyDescent="0.35">
      <c r="A980" s="22" t="s">
        <v>3046</v>
      </c>
      <c r="B980" s="1" t="s">
        <v>3047</v>
      </c>
      <c r="C980" s="1" t="s">
        <v>3048</v>
      </c>
      <c r="D980" s="1" t="s">
        <v>1796</v>
      </c>
      <c r="E980" s="1" t="s">
        <v>80</v>
      </c>
      <c r="F980" s="1" t="s">
        <v>69</v>
      </c>
      <c r="G980" s="1">
        <f t="shared" si="75"/>
        <v>3</v>
      </c>
      <c r="H980" s="1" t="s">
        <v>70</v>
      </c>
      <c r="I980" s="1" t="s">
        <v>49</v>
      </c>
      <c r="J980" s="23" t="s">
        <v>50</v>
      </c>
      <c r="K980" s="2" t="s">
        <v>51</v>
      </c>
      <c r="L980" s="1">
        <v>12</v>
      </c>
      <c r="M980" s="1"/>
      <c r="N980" s="1" t="str">
        <f t="shared" si="78"/>
        <v>Suppressed</v>
      </c>
      <c r="O980" s="1" t="str">
        <f t="shared" si="76"/>
        <v/>
      </c>
      <c r="P980" s="1"/>
      <c r="Q980" s="1">
        <v>947</v>
      </c>
      <c r="R980" s="1" t="str">
        <f t="shared" si="79"/>
        <v>2</v>
      </c>
      <c r="S980" s="1">
        <v>114</v>
      </c>
      <c r="T980" s="1" t="str">
        <f t="shared" si="77"/>
        <v>1</v>
      </c>
      <c r="U980" s="1">
        <v>-35.386786999999998</v>
      </c>
      <c r="V980" s="3">
        <v>147.06098700000001</v>
      </c>
    </row>
    <row r="981" spans="1:22" x14ac:dyDescent="0.35">
      <c r="A981" s="22" t="s">
        <v>3049</v>
      </c>
      <c r="B981" s="1" t="s">
        <v>3050</v>
      </c>
      <c r="C981" s="1" t="s">
        <v>3051</v>
      </c>
      <c r="D981" s="1" t="s">
        <v>159</v>
      </c>
      <c r="E981" s="1" t="s">
        <v>91</v>
      </c>
      <c r="F981" s="1" t="s">
        <v>69</v>
      </c>
      <c r="G981" s="1">
        <f t="shared" si="75"/>
        <v>3</v>
      </c>
      <c r="H981" s="1" t="s">
        <v>92</v>
      </c>
      <c r="I981" s="1" t="s">
        <v>49</v>
      </c>
      <c r="J981" s="23" t="s">
        <v>50</v>
      </c>
      <c r="K981" s="2" t="s">
        <v>51</v>
      </c>
      <c r="L981" s="1">
        <v>7</v>
      </c>
      <c r="M981" s="1">
        <v>0</v>
      </c>
      <c r="N981" s="1" t="str">
        <f t="shared" si="78"/>
        <v>Published</v>
      </c>
      <c r="O981" s="1">
        <f t="shared" si="76"/>
        <v>0</v>
      </c>
      <c r="P981" s="1">
        <v>0</v>
      </c>
      <c r="Q981" s="1">
        <v>1022</v>
      </c>
      <c r="R981" s="1" t="str">
        <f t="shared" si="79"/>
        <v>3</v>
      </c>
      <c r="S981" s="1">
        <v>55</v>
      </c>
      <c r="T981" s="1" t="str">
        <f t="shared" si="77"/>
        <v>1</v>
      </c>
      <c r="U981" s="1">
        <v>-28.902218999999999</v>
      </c>
      <c r="V981" s="3">
        <v>150.77626100000001</v>
      </c>
    </row>
    <row r="982" spans="1:22" x14ac:dyDescent="0.35">
      <c r="A982" s="22" t="s">
        <v>3052</v>
      </c>
      <c r="B982" s="1" t="s">
        <v>3053</v>
      </c>
      <c r="C982" s="1" t="s">
        <v>3054</v>
      </c>
      <c r="D982" s="1" t="s">
        <v>310</v>
      </c>
      <c r="E982" s="1" t="s">
        <v>80</v>
      </c>
      <c r="F982" s="1" t="s">
        <v>69</v>
      </c>
      <c r="G982" s="1">
        <f t="shared" si="75"/>
        <v>3</v>
      </c>
      <c r="H982" s="1" t="s">
        <v>70</v>
      </c>
      <c r="I982" s="1" t="s">
        <v>49</v>
      </c>
      <c r="J982" s="23" t="s">
        <v>50</v>
      </c>
      <c r="K982" s="2" t="s">
        <v>51</v>
      </c>
      <c r="L982" s="1">
        <v>49</v>
      </c>
      <c r="M982" s="1">
        <v>14</v>
      </c>
      <c r="N982" s="1" t="str">
        <f t="shared" si="78"/>
        <v>Published</v>
      </c>
      <c r="O982" s="1">
        <f t="shared" si="76"/>
        <v>6.86</v>
      </c>
      <c r="P982" s="1">
        <v>12</v>
      </c>
      <c r="Q982" s="1">
        <v>931</v>
      </c>
      <c r="R982" s="1" t="str">
        <f t="shared" si="79"/>
        <v>2</v>
      </c>
      <c r="S982" s="1">
        <v>121</v>
      </c>
      <c r="T982" s="1" t="str">
        <f t="shared" si="77"/>
        <v>1</v>
      </c>
      <c r="U982" s="1">
        <v>-34.299691000000003</v>
      </c>
      <c r="V982" s="3">
        <v>146.08617599999999</v>
      </c>
    </row>
    <row r="983" spans="1:22" x14ac:dyDescent="0.35">
      <c r="A983" s="22" t="s">
        <v>3055</v>
      </c>
      <c r="B983" s="1" t="s">
        <v>3056</v>
      </c>
      <c r="C983" s="1" t="s">
        <v>3057</v>
      </c>
      <c r="D983" s="1" t="s">
        <v>525</v>
      </c>
      <c r="E983" s="1" t="s">
        <v>68</v>
      </c>
      <c r="F983" s="1" t="s">
        <v>57</v>
      </c>
      <c r="G983" s="1">
        <f t="shared" si="75"/>
        <v>2</v>
      </c>
      <c r="H983" s="1" t="s">
        <v>70</v>
      </c>
      <c r="I983" s="1" t="s">
        <v>49</v>
      </c>
      <c r="J983" s="23" t="s">
        <v>50</v>
      </c>
      <c r="K983" s="2" t="s">
        <v>51</v>
      </c>
      <c r="L983" s="1">
        <v>524</v>
      </c>
      <c r="M983" s="1">
        <v>12</v>
      </c>
      <c r="N983" s="1" t="str">
        <f t="shared" si="78"/>
        <v>Published</v>
      </c>
      <c r="O983" s="1">
        <f t="shared" si="76"/>
        <v>62.879999999999995</v>
      </c>
      <c r="P983" s="1">
        <v>12</v>
      </c>
      <c r="Q983" s="1">
        <v>969</v>
      </c>
      <c r="R983" s="1" t="str">
        <f t="shared" si="79"/>
        <v>2</v>
      </c>
      <c r="S983" s="1">
        <v>107</v>
      </c>
      <c r="T983" s="1" t="str">
        <f t="shared" si="77"/>
        <v>3</v>
      </c>
      <c r="U983" s="1">
        <v>-34.321407000000001</v>
      </c>
      <c r="V983" s="3">
        <v>148.29023100000001</v>
      </c>
    </row>
    <row r="984" spans="1:22" x14ac:dyDescent="0.35">
      <c r="A984" s="22" t="s">
        <v>3058</v>
      </c>
      <c r="B984" s="1" t="s">
        <v>3059</v>
      </c>
      <c r="C984" s="1" t="s">
        <v>3060</v>
      </c>
      <c r="D984" s="1" t="s">
        <v>191</v>
      </c>
      <c r="E984" s="1" t="s">
        <v>75</v>
      </c>
      <c r="F984" s="1" t="s">
        <v>47</v>
      </c>
      <c r="G984" s="1">
        <f t="shared" si="75"/>
        <v>1</v>
      </c>
      <c r="H984" s="1" t="s">
        <v>63</v>
      </c>
      <c r="I984" s="1" t="s">
        <v>49</v>
      </c>
      <c r="J984" s="23" t="s">
        <v>50</v>
      </c>
      <c r="K984" s="2" t="s">
        <v>51</v>
      </c>
      <c r="L984" s="1">
        <v>647</v>
      </c>
      <c r="M984" s="1">
        <v>19</v>
      </c>
      <c r="N984" s="1" t="str">
        <f t="shared" si="78"/>
        <v>Published</v>
      </c>
      <c r="O984" s="1">
        <f t="shared" si="76"/>
        <v>122.93</v>
      </c>
      <c r="P984" s="1">
        <v>10</v>
      </c>
      <c r="Q984" s="1">
        <v>967</v>
      </c>
      <c r="R984" s="1" t="str">
        <f t="shared" si="79"/>
        <v>2</v>
      </c>
      <c r="S984" s="1">
        <v>105</v>
      </c>
      <c r="T984" s="1" t="str">
        <f t="shared" si="77"/>
        <v>4</v>
      </c>
      <c r="U984" s="1">
        <v>-32.922891999999997</v>
      </c>
      <c r="V984" s="3">
        <v>151.62038699999999</v>
      </c>
    </row>
    <row r="985" spans="1:22" x14ac:dyDescent="0.35">
      <c r="A985" s="22" t="s">
        <v>3061</v>
      </c>
      <c r="B985" s="1" t="s">
        <v>3062</v>
      </c>
      <c r="C985" s="1" t="s">
        <v>872</v>
      </c>
      <c r="D985" s="1" t="s">
        <v>872</v>
      </c>
      <c r="E985" s="1" t="s">
        <v>261</v>
      </c>
      <c r="F985" s="1" t="s">
        <v>57</v>
      </c>
      <c r="G985" s="1">
        <f t="shared" si="75"/>
        <v>2</v>
      </c>
      <c r="H985" s="1" t="s">
        <v>58</v>
      </c>
      <c r="I985" s="1" t="s">
        <v>49</v>
      </c>
      <c r="J985" s="23" t="s">
        <v>50</v>
      </c>
      <c r="K985" s="2" t="s">
        <v>51</v>
      </c>
      <c r="L985" s="1">
        <v>120</v>
      </c>
      <c r="M985" s="1">
        <v>15</v>
      </c>
      <c r="N985" s="1" t="str">
        <f t="shared" si="78"/>
        <v>Published</v>
      </c>
      <c r="O985" s="1">
        <f t="shared" si="76"/>
        <v>18</v>
      </c>
      <c r="P985" s="1"/>
      <c r="Q985" s="1">
        <v>934</v>
      </c>
      <c r="R985" s="1" t="str">
        <f t="shared" si="79"/>
        <v>2</v>
      </c>
      <c r="S985" s="1">
        <v>130</v>
      </c>
      <c r="T985" s="1" t="str">
        <f t="shared" si="77"/>
        <v>2</v>
      </c>
      <c r="U985" s="1">
        <v>-33.466135999999999</v>
      </c>
      <c r="V985" s="3">
        <v>150.18282600000001</v>
      </c>
    </row>
    <row r="986" spans="1:22" x14ac:dyDescent="0.35">
      <c r="A986" s="22" t="s">
        <v>3063</v>
      </c>
      <c r="B986" s="1" t="s">
        <v>3064</v>
      </c>
      <c r="C986" s="1" t="s">
        <v>3065</v>
      </c>
      <c r="D986" s="1" t="s">
        <v>236</v>
      </c>
      <c r="E986" s="1" t="s">
        <v>107</v>
      </c>
      <c r="F986" s="1" t="s">
        <v>47</v>
      </c>
      <c r="G986" s="1">
        <f t="shared" si="75"/>
        <v>1</v>
      </c>
      <c r="H986" s="1" t="s">
        <v>92</v>
      </c>
      <c r="I986" s="1" t="s">
        <v>49</v>
      </c>
      <c r="J986" s="23" t="s">
        <v>50</v>
      </c>
      <c r="K986" s="2" t="s">
        <v>51</v>
      </c>
      <c r="L986" s="1">
        <v>556</v>
      </c>
      <c r="M986" s="1">
        <v>9</v>
      </c>
      <c r="N986" s="1" t="str">
        <f t="shared" si="78"/>
        <v>Published</v>
      </c>
      <c r="O986" s="1">
        <f t="shared" si="76"/>
        <v>50.04</v>
      </c>
      <c r="P986" s="1">
        <v>10</v>
      </c>
      <c r="Q986" s="1">
        <v>1036</v>
      </c>
      <c r="R986" s="1" t="str">
        <f t="shared" si="79"/>
        <v>3</v>
      </c>
      <c r="S986" s="1">
        <v>69</v>
      </c>
      <c r="T986" s="1" t="str">
        <f t="shared" si="77"/>
        <v>3</v>
      </c>
      <c r="U986" s="1">
        <v>-28.377624999999998</v>
      </c>
      <c r="V986" s="3">
        <v>153.56779800000001</v>
      </c>
    </row>
    <row r="987" spans="1:22" x14ac:dyDescent="0.35">
      <c r="A987" s="22" t="s">
        <v>3066</v>
      </c>
      <c r="B987" s="1" t="s">
        <v>3067</v>
      </c>
      <c r="C987" s="1" t="s">
        <v>3068</v>
      </c>
      <c r="D987" s="1" t="s">
        <v>649</v>
      </c>
      <c r="E987" s="1" t="s">
        <v>102</v>
      </c>
      <c r="F987" s="1" t="s">
        <v>241</v>
      </c>
      <c r="G987" s="1">
        <f t="shared" si="75"/>
        <v>4</v>
      </c>
      <c r="H987" s="1" t="s">
        <v>92</v>
      </c>
      <c r="I987" s="1" t="s">
        <v>49</v>
      </c>
      <c r="J987" s="23" t="s">
        <v>50</v>
      </c>
      <c r="K987" s="2" t="s">
        <v>51</v>
      </c>
      <c r="L987" s="1">
        <v>20</v>
      </c>
      <c r="M987" s="1"/>
      <c r="N987" s="1" t="str">
        <f t="shared" si="78"/>
        <v>Suppressed</v>
      </c>
      <c r="O987" s="1" t="str">
        <f t="shared" si="76"/>
        <v/>
      </c>
      <c r="P987" s="1">
        <v>0</v>
      </c>
      <c r="Q987" s="1">
        <v>944</v>
      </c>
      <c r="R987" s="1" t="str">
        <f t="shared" si="79"/>
        <v>2</v>
      </c>
      <c r="S987" s="1">
        <v>78</v>
      </c>
      <c r="T987" s="1" t="str">
        <f t="shared" si="77"/>
        <v>1</v>
      </c>
      <c r="U987" s="1">
        <v>-29.813929999999999</v>
      </c>
      <c r="V987" s="3">
        <v>148.91248999999999</v>
      </c>
    </row>
    <row r="988" spans="1:22" x14ac:dyDescent="0.35">
      <c r="A988" s="22" t="s">
        <v>3069</v>
      </c>
      <c r="B988" s="1" t="s">
        <v>3070</v>
      </c>
      <c r="C988" s="1" t="s">
        <v>211</v>
      </c>
      <c r="D988" s="1" t="s">
        <v>211</v>
      </c>
      <c r="E988" s="1" t="s">
        <v>102</v>
      </c>
      <c r="F988" s="1" t="s">
        <v>57</v>
      </c>
      <c r="G988" s="1">
        <f t="shared" si="75"/>
        <v>2</v>
      </c>
      <c r="H988" s="1" t="s">
        <v>58</v>
      </c>
      <c r="I988" s="1" t="s">
        <v>49</v>
      </c>
      <c r="J988" s="23" t="s">
        <v>50</v>
      </c>
      <c r="K988" s="2" t="s">
        <v>51</v>
      </c>
      <c r="L988" s="1">
        <v>293</v>
      </c>
      <c r="M988" s="1">
        <v>69</v>
      </c>
      <c r="N988" s="1" t="str">
        <f t="shared" si="78"/>
        <v>Published</v>
      </c>
      <c r="O988" s="1">
        <f t="shared" si="76"/>
        <v>202.17</v>
      </c>
      <c r="P988" s="1">
        <v>6</v>
      </c>
      <c r="Q988" s="1">
        <v>772</v>
      </c>
      <c r="R988" s="1" t="str">
        <f t="shared" si="79"/>
        <v>1</v>
      </c>
      <c r="S988" s="1">
        <v>186</v>
      </c>
      <c r="T988" s="1" t="str">
        <f t="shared" si="77"/>
        <v>2</v>
      </c>
      <c r="U988" s="1">
        <v>-32.251914999999997</v>
      </c>
      <c r="V988" s="3">
        <v>148.588301</v>
      </c>
    </row>
    <row r="989" spans="1:22" x14ac:dyDescent="0.35">
      <c r="A989" s="22" t="s">
        <v>3071</v>
      </c>
      <c r="B989" s="1" t="s">
        <v>3072</v>
      </c>
      <c r="C989" s="1" t="s">
        <v>3073</v>
      </c>
      <c r="D989" s="1" t="s">
        <v>737</v>
      </c>
      <c r="E989" s="1" t="s">
        <v>738</v>
      </c>
      <c r="F989" s="1" t="s">
        <v>47</v>
      </c>
      <c r="G989" s="1">
        <f t="shared" si="75"/>
        <v>1</v>
      </c>
      <c r="H989" s="1" t="s">
        <v>182</v>
      </c>
      <c r="I989" s="1" t="s">
        <v>49</v>
      </c>
      <c r="J989" s="23" t="s">
        <v>50</v>
      </c>
      <c r="K989" s="2" t="s">
        <v>51</v>
      </c>
      <c r="L989" s="1">
        <v>416</v>
      </c>
      <c r="M989" s="1">
        <v>2</v>
      </c>
      <c r="N989" s="1" t="str">
        <f t="shared" si="78"/>
        <v>Published</v>
      </c>
      <c r="O989" s="1">
        <f t="shared" si="76"/>
        <v>8.32</v>
      </c>
      <c r="P989" s="1">
        <v>14</v>
      </c>
      <c r="Q989" s="1">
        <v>1098</v>
      </c>
      <c r="R989" s="1" t="str">
        <f t="shared" si="79"/>
        <v>3</v>
      </c>
      <c r="S989" s="1">
        <v>40</v>
      </c>
      <c r="T989" s="1" t="str">
        <f t="shared" si="77"/>
        <v>3</v>
      </c>
      <c r="U989" s="1">
        <v>-34.00779</v>
      </c>
      <c r="V989" s="3">
        <v>151.080693</v>
      </c>
    </row>
    <row r="990" spans="1:22" x14ac:dyDescent="0.35">
      <c r="A990" s="22" t="s">
        <v>3074</v>
      </c>
      <c r="B990" s="1" t="s">
        <v>3075</v>
      </c>
      <c r="C990" s="1" t="s">
        <v>3076</v>
      </c>
      <c r="D990" s="1" t="s">
        <v>543</v>
      </c>
      <c r="E990" s="1" t="s">
        <v>102</v>
      </c>
      <c r="F990" s="1" t="s">
        <v>544</v>
      </c>
      <c r="G990" s="1">
        <f t="shared" si="75"/>
        <v>5</v>
      </c>
      <c r="H990" s="1" t="s">
        <v>70</v>
      </c>
      <c r="I990" s="1" t="s">
        <v>49</v>
      </c>
      <c r="J990" s="23" t="s">
        <v>50</v>
      </c>
      <c r="K990" s="2" t="s">
        <v>51</v>
      </c>
      <c r="L990" s="1">
        <v>8</v>
      </c>
      <c r="M990" s="1">
        <v>0</v>
      </c>
      <c r="N990" s="1" t="str">
        <f t="shared" si="78"/>
        <v>Published</v>
      </c>
      <c r="O990" s="1">
        <f t="shared" si="76"/>
        <v>0</v>
      </c>
      <c r="P990" s="1">
        <v>0</v>
      </c>
      <c r="Q990" s="1">
        <v>923</v>
      </c>
      <c r="R990" s="1" t="str">
        <f t="shared" si="79"/>
        <v>2</v>
      </c>
      <c r="S990" s="1">
        <v>135</v>
      </c>
      <c r="T990" s="1" t="str">
        <f t="shared" si="77"/>
        <v>1</v>
      </c>
      <c r="U990" s="1">
        <v>-30.535792000000001</v>
      </c>
      <c r="V990" s="3">
        <v>145.117942</v>
      </c>
    </row>
    <row r="991" spans="1:22" x14ac:dyDescent="0.35">
      <c r="A991" s="22" t="s">
        <v>3077</v>
      </c>
      <c r="B991" s="1" t="s">
        <v>3078</v>
      </c>
      <c r="C991" s="1" t="s">
        <v>3079</v>
      </c>
      <c r="D991" s="1" t="s">
        <v>180</v>
      </c>
      <c r="E991" s="1" t="s">
        <v>181</v>
      </c>
      <c r="F991" s="1" t="s">
        <v>47</v>
      </c>
      <c r="G991" s="1">
        <f t="shared" si="75"/>
        <v>1</v>
      </c>
      <c r="H991" s="1" t="s">
        <v>86</v>
      </c>
      <c r="I991" s="1" t="s">
        <v>49</v>
      </c>
      <c r="J991" s="23" t="s">
        <v>50</v>
      </c>
      <c r="K991" s="2" t="s">
        <v>51</v>
      </c>
      <c r="L991" s="1">
        <v>114</v>
      </c>
      <c r="M991" s="1">
        <v>10</v>
      </c>
      <c r="N991" s="1" t="str">
        <f t="shared" si="78"/>
        <v>Published</v>
      </c>
      <c r="O991" s="1">
        <f t="shared" si="76"/>
        <v>11.4</v>
      </c>
      <c r="P991" s="1">
        <v>57</v>
      </c>
      <c r="Q991" s="1">
        <v>947</v>
      </c>
      <c r="R991" s="1" t="str">
        <f t="shared" si="79"/>
        <v>2</v>
      </c>
      <c r="S991" s="1">
        <v>145</v>
      </c>
      <c r="T991" s="1" t="str">
        <f t="shared" si="77"/>
        <v>2</v>
      </c>
      <c r="U991" s="1">
        <v>-33.882804999999998</v>
      </c>
      <c r="V991" s="3">
        <v>150.790299</v>
      </c>
    </row>
    <row r="992" spans="1:22" x14ac:dyDescent="0.35">
      <c r="A992" s="22" t="s">
        <v>3080</v>
      </c>
      <c r="B992" s="1" t="s">
        <v>3081</v>
      </c>
      <c r="C992" s="1" t="s">
        <v>3082</v>
      </c>
      <c r="D992" s="1" t="s">
        <v>543</v>
      </c>
      <c r="E992" s="1" t="s">
        <v>102</v>
      </c>
      <c r="F992" s="1" t="s">
        <v>544</v>
      </c>
      <c r="G992" s="1">
        <f t="shared" si="75"/>
        <v>5</v>
      </c>
      <c r="H992" s="1" t="s">
        <v>92</v>
      </c>
      <c r="I992" s="1" t="s">
        <v>49</v>
      </c>
      <c r="J992" s="23" t="s">
        <v>50</v>
      </c>
      <c r="K992" s="2" t="s">
        <v>51</v>
      </c>
      <c r="L992" s="1">
        <v>11</v>
      </c>
      <c r="M992" s="1">
        <v>100</v>
      </c>
      <c r="N992" s="1" t="str">
        <f t="shared" si="78"/>
        <v>Published</v>
      </c>
      <c r="O992" s="1">
        <f t="shared" si="76"/>
        <v>11</v>
      </c>
      <c r="P992" s="1">
        <v>0</v>
      </c>
      <c r="Q992" s="1">
        <v>600</v>
      </c>
      <c r="R992" s="1" t="str">
        <f t="shared" si="79"/>
        <v>1</v>
      </c>
      <c r="S992" s="1">
        <v>238</v>
      </c>
      <c r="T992" s="1" t="str">
        <f t="shared" si="77"/>
        <v>1</v>
      </c>
      <c r="U992" s="1">
        <v>-29.318854999999999</v>
      </c>
      <c r="V992" s="3">
        <v>145.844482</v>
      </c>
    </row>
    <row r="993" spans="1:22" x14ac:dyDescent="0.35">
      <c r="A993" s="22" t="s">
        <v>3083</v>
      </c>
      <c r="B993" s="1" t="s">
        <v>3084</v>
      </c>
      <c r="C993" s="1" t="s">
        <v>3085</v>
      </c>
      <c r="D993" s="1" t="s">
        <v>537</v>
      </c>
      <c r="E993" s="1" t="s">
        <v>181</v>
      </c>
      <c r="F993" s="1" t="s">
        <v>47</v>
      </c>
      <c r="G993" s="1">
        <f t="shared" si="75"/>
        <v>1</v>
      </c>
      <c r="H993" s="1" t="s">
        <v>182</v>
      </c>
      <c r="I993" s="1" t="s">
        <v>49</v>
      </c>
      <c r="J993" s="23" t="s">
        <v>50</v>
      </c>
      <c r="K993" s="2" t="s">
        <v>51</v>
      </c>
      <c r="L993" s="1">
        <v>642</v>
      </c>
      <c r="M993" s="1">
        <v>2</v>
      </c>
      <c r="N993" s="1" t="str">
        <f t="shared" si="78"/>
        <v>Published</v>
      </c>
      <c r="O993" s="1">
        <f t="shared" si="76"/>
        <v>12.84</v>
      </c>
      <c r="P993" s="1">
        <v>94</v>
      </c>
      <c r="Q993" s="1">
        <v>893</v>
      </c>
      <c r="R993" s="1" t="str">
        <f t="shared" si="79"/>
        <v>1</v>
      </c>
      <c r="S993" s="1">
        <v>190</v>
      </c>
      <c r="T993" s="1" t="str">
        <f t="shared" si="77"/>
        <v>4</v>
      </c>
      <c r="U993" s="1">
        <v>-33.866093999999997</v>
      </c>
      <c r="V993" s="3">
        <v>150.94027199999999</v>
      </c>
    </row>
    <row r="994" spans="1:22" x14ac:dyDescent="0.35">
      <c r="A994" s="22" t="s">
        <v>3086</v>
      </c>
      <c r="B994" s="1" t="s">
        <v>3087</v>
      </c>
      <c r="C994" s="1" t="s">
        <v>3088</v>
      </c>
      <c r="D994" s="1" t="s">
        <v>554</v>
      </c>
      <c r="E994" s="1" t="s">
        <v>276</v>
      </c>
      <c r="F994" s="1" t="s">
        <v>57</v>
      </c>
      <c r="G994" s="1">
        <f t="shared" si="75"/>
        <v>2</v>
      </c>
      <c r="H994" s="1" t="s">
        <v>58</v>
      </c>
      <c r="I994" s="1" t="s">
        <v>49</v>
      </c>
      <c r="J994" s="23" t="s">
        <v>50</v>
      </c>
      <c r="K994" s="2" t="s">
        <v>51</v>
      </c>
      <c r="L994" s="1">
        <v>73</v>
      </c>
      <c r="M994" s="1"/>
      <c r="N994" s="1" t="str">
        <f t="shared" si="78"/>
        <v>Suppressed</v>
      </c>
      <c r="O994" s="1" t="str">
        <f t="shared" si="76"/>
        <v/>
      </c>
      <c r="P994" s="1">
        <v>12</v>
      </c>
      <c r="Q994" s="1">
        <v>1014</v>
      </c>
      <c r="R994" s="1" t="str">
        <f t="shared" si="79"/>
        <v>3</v>
      </c>
      <c r="S994" s="1">
        <v>86</v>
      </c>
      <c r="T994" s="1" t="str">
        <f t="shared" si="77"/>
        <v>1</v>
      </c>
      <c r="U994" s="1">
        <v>-30.749941</v>
      </c>
      <c r="V994" s="3">
        <v>152.995226</v>
      </c>
    </row>
    <row r="995" spans="1:22" x14ac:dyDescent="0.35">
      <c r="A995" s="22" t="s">
        <v>3089</v>
      </c>
      <c r="B995" s="1" t="s">
        <v>3090</v>
      </c>
      <c r="C995" s="1" t="s">
        <v>3091</v>
      </c>
      <c r="D995" s="1" t="s">
        <v>325</v>
      </c>
      <c r="E995" s="1" t="s">
        <v>276</v>
      </c>
      <c r="F995" s="1" t="s">
        <v>57</v>
      </c>
      <c r="G995" s="1">
        <f t="shared" si="75"/>
        <v>2</v>
      </c>
      <c r="H995" s="1" t="s">
        <v>58</v>
      </c>
      <c r="I995" s="1" t="s">
        <v>49</v>
      </c>
      <c r="J995" s="23" t="s">
        <v>50</v>
      </c>
      <c r="K995" s="2" t="s">
        <v>51</v>
      </c>
      <c r="L995" s="1">
        <v>53</v>
      </c>
      <c r="M995" s="1">
        <v>36</v>
      </c>
      <c r="N995" s="1" t="str">
        <f t="shared" si="78"/>
        <v>Published</v>
      </c>
      <c r="O995" s="1">
        <f t="shared" si="76"/>
        <v>19.079999999999998</v>
      </c>
      <c r="P995" s="1">
        <v>0</v>
      </c>
      <c r="Q995" s="1">
        <v>848</v>
      </c>
      <c r="R995" s="1" t="str">
        <f t="shared" si="79"/>
        <v>1</v>
      </c>
      <c r="S995" s="1">
        <v>159</v>
      </c>
      <c r="T995" s="1" t="str">
        <f t="shared" si="77"/>
        <v>1</v>
      </c>
      <c r="U995" s="1">
        <v>-30.818842</v>
      </c>
      <c r="V995" s="3">
        <v>152.993686</v>
      </c>
    </row>
    <row r="996" spans="1:22" x14ac:dyDescent="0.35">
      <c r="A996" s="22" t="s">
        <v>3092</v>
      </c>
      <c r="B996" s="1" t="s">
        <v>3093</v>
      </c>
      <c r="C996" s="1" t="s">
        <v>3094</v>
      </c>
      <c r="D996" s="1" t="s">
        <v>382</v>
      </c>
      <c r="E996" s="1" t="s">
        <v>196</v>
      </c>
      <c r="F996" s="1" t="s">
        <v>57</v>
      </c>
      <c r="G996" s="1">
        <f t="shared" si="75"/>
        <v>2</v>
      </c>
      <c r="H996" s="1" t="s">
        <v>86</v>
      </c>
      <c r="I996" s="1" t="s">
        <v>49</v>
      </c>
      <c r="J996" s="23" t="s">
        <v>50</v>
      </c>
      <c r="K996" s="2" t="s">
        <v>51</v>
      </c>
      <c r="L996" s="1">
        <v>255</v>
      </c>
      <c r="M996" s="1">
        <v>12</v>
      </c>
      <c r="N996" s="1" t="str">
        <f t="shared" si="78"/>
        <v>Published</v>
      </c>
      <c r="O996" s="1">
        <f t="shared" si="76"/>
        <v>30.599999999999998</v>
      </c>
      <c r="P996" s="1">
        <v>6</v>
      </c>
      <c r="Q996" s="1">
        <v>956</v>
      </c>
      <c r="R996" s="1" t="str">
        <f t="shared" si="79"/>
        <v>2</v>
      </c>
      <c r="S996" s="1">
        <v>115</v>
      </c>
      <c r="T996" s="1" t="str">
        <f t="shared" si="77"/>
        <v>2</v>
      </c>
      <c r="U996" s="1">
        <v>-35.167301999999999</v>
      </c>
      <c r="V996" s="3">
        <v>150.584194</v>
      </c>
    </row>
    <row r="997" spans="1:22" x14ac:dyDescent="0.35">
      <c r="A997" s="22" t="s">
        <v>3095</v>
      </c>
      <c r="B997" s="1" t="s">
        <v>3096</v>
      </c>
      <c r="C997" s="1" t="s">
        <v>953</v>
      </c>
      <c r="D997" s="1" t="s">
        <v>737</v>
      </c>
      <c r="E997" s="1" t="s">
        <v>738</v>
      </c>
      <c r="F997" s="1" t="s">
        <v>47</v>
      </c>
      <c r="G997" s="1">
        <f t="shared" si="75"/>
        <v>1</v>
      </c>
      <c r="H997" s="1" t="s">
        <v>182</v>
      </c>
      <c r="I997" s="1" t="s">
        <v>49</v>
      </c>
      <c r="J997" s="23" t="s">
        <v>50</v>
      </c>
      <c r="K997" s="2" t="s">
        <v>51</v>
      </c>
      <c r="L997" s="1">
        <v>261</v>
      </c>
      <c r="M997" s="1">
        <v>2</v>
      </c>
      <c r="N997" s="1" t="str">
        <f t="shared" si="78"/>
        <v>Published</v>
      </c>
      <c r="O997" s="1">
        <f t="shared" si="76"/>
        <v>5.22</v>
      </c>
      <c r="P997" s="1">
        <v>21</v>
      </c>
      <c r="Q997" s="1">
        <v>1093</v>
      </c>
      <c r="R997" s="1" t="str">
        <f t="shared" si="79"/>
        <v>3</v>
      </c>
      <c r="S997" s="1">
        <v>38</v>
      </c>
      <c r="T997" s="1" t="str">
        <f t="shared" si="77"/>
        <v>2</v>
      </c>
      <c r="U997" s="1">
        <v>-34.066110000000002</v>
      </c>
      <c r="V997" s="3">
        <v>151.154201</v>
      </c>
    </row>
    <row r="998" spans="1:22" x14ac:dyDescent="0.35">
      <c r="A998" s="22" t="s">
        <v>3097</v>
      </c>
      <c r="B998" s="1" t="s">
        <v>3098</v>
      </c>
      <c r="C998" s="1" t="s">
        <v>3099</v>
      </c>
      <c r="D998" s="1" t="s">
        <v>382</v>
      </c>
      <c r="E998" s="1" t="s">
        <v>196</v>
      </c>
      <c r="F998" s="1" t="s">
        <v>57</v>
      </c>
      <c r="G998" s="1">
        <f t="shared" si="75"/>
        <v>2</v>
      </c>
      <c r="H998" s="1" t="s">
        <v>86</v>
      </c>
      <c r="I998" s="1" t="s">
        <v>49</v>
      </c>
      <c r="J998" s="23" t="s">
        <v>50</v>
      </c>
      <c r="K998" s="2" t="s">
        <v>51</v>
      </c>
      <c r="L998" s="1">
        <v>365</v>
      </c>
      <c r="M998" s="1">
        <v>21</v>
      </c>
      <c r="N998" s="1" t="str">
        <f t="shared" si="78"/>
        <v>Published</v>
      </c>
      <c r="O998" s="1">
        <f t="shared" si="76"/>
        <v>76.649999999999991</v>
      </c>
      <c r="P998" s="1">
        <v>8</v>
      </c>
      <c r="Q998" s="1">
        <v>959</v>
      </c>
      <c r="R998" s="1" t="str">
        <f t="shared" si="79"/>
        <v>2</v>
      </c>
      <c r="S998" s="1">
        <v>116</v>
      </c>
      <c r="T998" s="1" t="str">
        <f t="shared" si="77"/>
        <v>3</v>
      </c>
      <c r="U998" s="1">
        <v>-35.090698000000003</v>
      </c>
      <c r="V998" s="3">
        <v>150.563917</v>
      </c>
    </row>
    <row r="999" spans="1:22" x14ac:dyDescent="0.35">
      <c r="A999" s="22" t="s">
        <v>3100</v>
      </c>
      <c r="B999" s="1" t="s">
        <v>3101</v>
      </c>
      <c r="C999" s="1" t="s">
        <v>3102</v>
      </c>
      <c r="D999" s="1" t="s">
        <v>180</v>
      </c>
      <c r="E999" s="1" t="s">
        <v>181</v>
      </c>
      <c r="F999" s="1" t="s">
        <v>47</v>
      </c>
      <c r="G999" s="1">
        <f t="shared" si="75"/>
        <v>1</v>
      </c>
      <c r="H999" s="1" t="s">
        <v>182</v>
      </c>
      <c r="I999" s="1" t="s">
        <v>49</v>
      </c>
      <c r="J999" s="23" t="s">
        <v>50</v>
      </c>
      <c r="K999" s="2" t="s">
        <v>51</v>
      </c>
      <c r="L999" s="1">
        <v>219</v>
      </c>
      <c r="M999" s="1">
        <v>6</v>
      </c>
      <c r="N999" s="1" t="str">
        <f t="shared" si="78"/>
        <v>Published</v>
      </c>
      <c r="O999" s="1">
        <f t="shared" si="76"/>
        <v>13.139999999999999</v>
      </c>
      <c r="P999" s="1">
        <v>71</v>
      </c>
      <c r="Q999" s="1">
        <v>951</v>
      </c>
      <c r="R999" s="1" t="str">
        <f t="shared" si="79"/>
        <v>2</v>
      </c>
      <c r="S999" s="1">
        <v>133</v>
      </c>
      <c r="T999" s="1" t="str">
        <f t="shared" si="77"/>
        <v>2</v>
      </c>
      <c r="U999" s="1">
        <v>-33.909641999999998</v>
      </c>
      <c r="V999" s="3">
        <v>150.92940899999999</v>
      </c>
    </row>
    <row r="1000" spans="1:22" x14ac:dyDescent="0.35">
      <c r="A1000" s="22" t="s">
        <v>3103</v>
      </c>
      <c r="B1000" s="1" t="s">
        <v>3104</v>
      </c>
      <c r="C1000" s="1" t="s">
        <v>90</v>
      </c>
      <c r="D1000" s="1" t="s">
        <v>90</v>
      </c>
      <c r="E1000" s="1" t="s">
        <v>91</v>
      </c>
      <c r="F1000" s="1" t="s">
        <v>57</v>
      </c>
      <c r="G1000" s="1">
        <f t="shared" si="75"/>
        <v>2</v>
      </c>
      <c r="H1000" s="1" t="s">
        <v>92</v>
      </c>
      <c r="I1000" s="1" t="s">
        <v>49</v>
      </c>
      <c r="J1000" s="23" t="s">
        <v>50</v>
      </c>
      <c r="K1000" s="2" t="s">
        <v>51</v>
      </c>
      <c r="L1000" s="1">
        <v>377</v>
      </c>
      <c r="M1000" s="1">
        <v>41</v>
      </c>
      <c r="N1000" s="1" t="str">
        <f t="shared" si="78"/>
        <v>Published</v>
      </c>
      <c r="O1000" s="1">
        <f t="shared" si="76"/>
        <v>154.57</v>
      </c>
      <c r="P1000" s="1">
        <v>15</v>
      </c>
      <c r="Q1000" s="1">
        <v>870</v>
      </c>
      <c r="R1000" s="1" t="str">
        <f t="shared" si="79"/>
        <v>1</v>
      </c>
      <c r="S1000" s="1">
        <v>132</v>
      </c>
      <c r="T1000" s="1" t="str">
        <f t="shared" si="77"/>
        <v>3</v>
      </c>
      <c r="U1000" s="1">
        <v>-31.058786000000001</v>
      </c>
      <c r="V1000" s="3">
        <v>150.89498</v>
      </c>
    </row>
    <row r="1001" spans="1:22" x14ac:dyDescent="0.35">
      <c r="A1001" s="22" t="s">
        <v>3105</v>
      </c>
      <c r="B1001" s="1" t="s">
        <v>3106</v>
      </c>
      <c r="C1001" s="1" t="s">
        <v>3107</v>
      </c>
      <c r="D1001" s="1" t="s">
        <v>111</v>
      </c>
      <c r="E1001" s="1" t="s">
        <v>56</v>
      </c>
      <c r="F1001" s="1" t="s">
        <v>57</v>
      </c>
      <c r="G1001" s="1">
        <f t="shared" si="75"/>
        <v>2</v>
      </c>
      <c r="H1001" s="1" t="s">
        <v>63</v>
      </c>
      <c r="I1001" s="1" t="s">
        <v>49</v>
      </c>
      <c r="J1001" s="23" t="s">
        <v>50</v>
      </c>
      <c r="K1001" s="2" t="s">
        <v>51</v>
      </c>
      <c r="L1001" s="1">
        <v>267</v>
      </c>
      <c r="M1001" s="1">
        <v>12</v>
      </c>
      <c r="N1001" s="1" t="str">
        <f t="shared" si="78"/>
        <v>Published</v>
      </c>
      <c r="O1001" s="1">
        <f t="shared" si="76"/>
        <v>32.04</v>
      </c>
      <c r="P1001" s="1">
        <v>10</v>
      </c>
      <c r="Q1001" s="1">
        <v>992</v>
      </c>
      <c r="R1001" s="1" t="str">
        <f t="shared" si="79"/>
        <v>2</v>
      </c>
      <c r="S1001" s="1">
        <v>99</v>
      </c>
      <c r="T1001" s="1" t="str">
        <f t="shared" si="77"/>
        <v>2</v>
      </c>
      <c r="U1001" s="1">
        <v>-32.709978</v>
      </c>
      <c r="V1001" s="3">
        <v>152.06535099999999</v>
      </c>
    </row>
    <row r="1002" spans="1:22" x14ac:dyDescent="0.35">
      <c r="A1002" s="22" t="s">
        <v>3108</v>
      </c>
      <c r="B1002" s="1" t="s">
        <v>3109</v>
      </c>
      <c r="C1002" s="1" t="s">
        <v>3110</v>
      </c>
      <c r="D1002" s="1" t="s">
        <v>152</v>
      </c>
      <c r="E1002" s="1" t="s">
        <v>170</v>
      </c>
      <c r="F1002" s="1" t="s">
        <v>47</v>
      </c>
      <c r="G1002" s="1">
        <f t="shared" si="75"/>
        <v>1</v>
      </c>
      <c r="H1002" s="1" t="s">
        <v>48</v>
      </c>
      <c r="I1002" s="1" t="s">
        <v>49</v>
      </c>
      <c r="J1002" s="23" t="s">
        <v>50</v>
      </c>
      <c r="K1002" s="2" t="s">
        <v>51</v>
      </c>
      <c r="L1002" s="1">
        <v>578</v>
      </c>
      <c r="M1002" s="1">
        <v>1</v>
      </c>
      <c r="N1002" s="1" t="str">
        <f t="shared" si="78"/>
        <v>Published</v>
      </c>
      <c r="O1002" s="1">
        <f t="shared" si="76"/>
        <v>5.78</v>
      </c>
      <c r="P1002" s="1">
        <v>89</v>
      </c>
      <c r="Q1002" s="1">
        <v>958</v>
      </c>
      <c r="R1002" s="1" t="str">
        <f t="shared" si="79"/>
        <v>2</v>
      </c>
      <c r="S1002" s="1">
        <v>145</v>
      </c>
      <c r="T1002" s="1" t="str">
        <f t="shared" si="77"/>
        <v>3</v>
      </c>
      <c r="U1002" s="1">
        <v>-33.885596999999997</v>
      </c>
      <c r="V1002" s="3">
        <v>151.00161</v>
      </c>
    </row>
    <row r="1003" spans="1:22" x14ac:dyDescent="0.35">
      <c r="A1003" s="22" t="s">
        <v>3111</v>
      </c>
      <c r="B1003" s="1" t="s">
        <v>3112</v>
      </c>
      <c r="C1003" s="1" t="s">
        <v>3113</v>
      </c>
      <c r="D1003" s="1" t="s">
        <v>152</v>
      </c>
      <c r="E1003" s="1" t="s">
        <v>229</v>
      </c>
      <c r="F1003" s="1" t="s">
        <v>47</v>
      </c>
      <c r="G1003" s="1">
        <f t="shared" si="75"/>
        <v>1</v>
      </c>
      <c r="H1003" s="1" t="s">
        <v>182</v>
      </c>
      <c r="I1003" s="1" t="s">
        <v>49</v>
      </c>
      <c r="J1003" s="23" t="s">
        <v>50</v>
      </c>
      <c r="K1003" s="2" t="s">
        <v>51</v>
      </c>
      <c r="L1003" s="1">
        <v>685</v>
      </c>
      <c r="M1003" s="1"/>
      <c r="N1003" s="1" t="str">
        <f t="shared" si="78"/>
        <v>Suppressed</v>
      </c>
      <c r="O1003" s="1" t="str">
        <f t="shared" si="76"/>
        <v/>
      </c>
      <c r="P1003" s="1">
        <v>80</v>
      </c>
      <c r="Q1003" s="1">
        <v>1017</v>
      </c>
      <c r="R1003" s="1" t="str">
        <f t="shared" si="79"/>
        <v>3</v>
      </c>
      <c r="S1003" s="1">
        <v>106</v>
      </c>
      <c r="T1003" s="1" t="str">
        <f t="shared" si="77"/>
        <v>4</v>
      </c>
      <c r="U1003" s="1">
        <v>-33.912435000000002</v>
      </c>
      <c r="V1003" s="3">
        <v>150.9922</v>
      </c>
    </row>
    <row r="1004" spans="1:22" x14ac:dyDescent="0.35">
      <c r="A1004" s="22" t="s">
        <v>3114</v>
      </c>
      <c r="B1004" s="1" t="s">
        <v>3115</v>
      </c>
      <c r="C1004" s="1" t="s">
        <v>3116</v>
      </c>
      <c r="D1004" s="1" t="s">
        <v>876</v>
      </c>
      <c r="E1004" s="1" t="s">
        <v>330</v>
      </c>
      <c r="F1004" s="1" t="s">
        <v>47</v>
      </c>
      <c r="G1004" s="1">
        <f t="shared" si="75"/>
        <v>1</v>
      </c>
      <c r="H1004" s="1" t="s">
        <v>48</v>
      </c>
      <c r="I1004" s="1" t="s">
        <v>49</v>
      </c>
      <c r="J1004" s="23" t="s">
        <v>50</v>
      </c>
      <c r="K1004" s="2" t="s">
        <v>51</v>
      </c>
      <c r="L1004" s="1">
        <v>376</v>
      </c>
      <c r="M1004" s="1">
        <v>8</v>
      </c>
      <c r="N1004" s="1" t="str">
        <f t="shared" si="78"/>
        <v>Published</v>
      </c>
      <c r="O1004" s="1">
        <f t="shared" si="76"/>
        <v>30.080000000000002</v>
      </c>
      <c r="P1004" s="1">
        <v>24</v>
      </c>
      <c r="Q1004" s="1">
        <v>1095</v>
      </c>
      <c r="R1004" s="1" t="str">
        <f t="shared" si="79"/>
        <v>3</v>
      </c>
      <c r="S1004" s="1">
        <v>41</v>
      </c>
      <c r="T1004" s="1" t="str">
        <f t="shared" si="77"/>
        <v>3</v>
      </c>
      <c r="U1004" s="1">
        <v>-33.933332999999998</v>
      </c>
      <c r="V1004" s="3">
        <v>151.25408999999999</v>
      </c>
    </row>
    <row r="1005" spans="1:22" x14ac:dyDescent="0.35">
      <c r="A1005" s="22" t="s">
        <v>3117</v>
      </c>
      <c r="B1005" s="1" t="s">
        <v>3118</v>
      </c>
      <c r="C1005" s="1" t="s">
        <v>3119</v>
      </c>
      <c r="D1005" s="1" t="s">
        <v>415</v>
      </c>
      <c r="E1005" s="1" t="s">
        <v>91</v>
      </c>
      <c r="F1005" s="1" t="s">
        <v>69</v>
      </c>
      <c r="G1005" s="1">
        <f t="shared" si="75"/>
        <v>3</v>
      </c>
      <c r="H1005" s="1" t="s">
        <v>92</v>
      </c>
      <c r="I1005" s="1" t="s">
        <v>49</v>
      </c>
      <c r="J1005" s="23" t="s">
        <v>50</v>
      </c>
      <c r="K1005" s="2" t="s">
        <v>51</v>
      </c>
      <c r="L1005" s="1">
        <v>12</v>
      </c>
      <c r="M1005" s="1"/>
      <c r="N1005" s="1" t="str">
        <f t="shared" si="78"/>
        <v>Suppressed</v>
      </c>
      <c r="O1005" s="1" t="str">
        <f t="shared" si="76"/>
        <v/>
      </c>
      <c r="P1005" s="1">
        <v>0</v>
      </c>
      <c r="Q1005" s="1">
        <v>979</v>
      </c>
      <c r="R1005" s="1" t="str">
        <f t="shared" si="79"/>
        <v>2</v>
      </c>
      <c r="S1005" s="1">
        <v>77</v>
      </c>
      <c r="T1005" s="1" t="str">
        <f t="shared" si="77"/>
        <v>1</v>
      </c>
      <c r="U1005" s="1">
        <v>-29.125233999999999</v>
      </c>
      <c r="V1005" s="3">
        <v>150.30939699999999</v>
      </c>
    </row>
    <row r="1006" spans="1:22" x14ac:dyDescent="0.35">
      <c r="A1006" s="22" t="s">
        <v>3120</v>
      </c>
      <c r="B1006" s="1" t="s">
        <v>3121</v>
      </c>
      <c r="C1006" s="1" t="s">
        <v>3122</v>
      </c>
      <c r="D1006" s="1" t="s">
        <v>761</v>
      </c>
      <c r="E1006" s="1" t="s">
        <v>127</v>
      </c>
      <c r="F1006" s="1" t="s">
        <v>47</v>
      </c>
      <c r="G1006" s="1">
        <f t="shared" si="75"/>
        <v>1</v>
      </c>
      <c r="H1006" s="1" t="s">
        <v>148</v>
      </c>
      <c r="I1006" s="1" t="s">
        <v>49</v>
      </c>
      <c r="J1006" s="23" t="s">
        <v>50</v>
      </c>
      <c r="K1006" s="2" t="s">
        <v>51</v>
      </c>
      <c r="L1006" s="1">
        <v>142</v>
      </c>
      <c r="M1006" s="1"/>
      <c r="N1006" s="1" t="str">
        <f t="shared" si="78"/>
        <v>Suppressed</v>
      </c>
      <c r="O1006" s="1" t="str">
        <f t="shared" si="76"/>
        <v/>
      </c>
      <c r="P1006" s="1">
        <v>51</v>
      </c>
      <c r="Q1006" s="1">
        <v>1096</v>
      </c>
      <c r="R1006" s="1" t="str">
        <f t="shared" si="79"/>
        <v>3</v>
      </c>
      <c r="S1006" s="1">
        <v>38</v>
      </c>
      <c r="T1006" s="1" t="str">
        <f t="shared" si="77"/>
        <v>2</v>
      </c>
      <c r="U1006" s="1">
        <v>-33.667417</v>
      </c>
      <c r="V1006" s="3">
        <v>150.95255</v>
      </c>
    </row>
    <row r="1007" spans="1:22" x14ac:dyDescent="0.35">
      <c r="A1007" s="22" t="s">
        <v>3123</v>
      </c>
      <c r="B1007" s="1" t="s">
        <v>3124</v>
      </c>
      <c r="C1007" s="1" t="s">
        <v>3125</v>
      </c>
      <c r="D1007" s="1" t="s">
        <v>737</v>
      </c>
      <c r="E1007" s="1" t="s">
        <v>738</v>
      </c>
      <c r="F1007" s="1" t="s">
        <v>47</v>
      </c>
      <c r="G1007" s="1">
        <f t="shared" si="75"/>
        <v>1</v>
      </c>
      <c r="H1007" s="1" t="s">
        <v>182</v>
      </c>
      <c r="I1007" s="1" t="s">
        <v>49</v>
      </c>
      <c r="J1007" s="23" t="s">
        <v>50</v>
      </c>
      <c r="K1007" s="2" t="s">
        <v>51</v>
      </c>
      <c r="L1007" s="1">
        <v>70</v>
      </c>
      <c r="M1007" s="1"/>
      <c r="N1007" s="1" t="str">
        <f t="shared" si="78"/>
        <v>Suppressed</v>
      </c>
      <c r="O1007" s="1" t="str">
        <f t="shared" si="76"/>
        <v/>
      </c>
      <c r="P1007" s="1"/>
      <c r="Q1007" s="1">
        <v>1054</v>
      </c>
      <c r="R1007" s="1" t="str">
        <f t="shared" si="79"/>
        <v>3</v>
      </c>
      <c r="S1007" s="1">
        <v>75</v>
      </c>
      <c r="T1007" s="1" t="str">
        <f t="shared" si="77"/>
        <v>1</v>
      </c>
      <c r="U1007" s="1">
        <v>-34.026575000000001</v>
      </c>
      <c r="V1007" s="3">
        <v>151.04111399999999</v>
      </c>
    </row>
    <row r="1008" spans="1:22" x14ac:dyDescent="0.35">
      <c r="A1008" s="22" t="s">
        <v>3126</v>
      </c>
      <c r="B1008" s="1" t="s">
        <v>3127</v>
      </c>
      <c r="C1008" s="1" t="s">
        <v>1841</v>
      </c>
      <c r="D1008" s="1" t="s">
        <v>203</v>
      </c>
      <c r="E1008" s="1" t="s">
        <v>204</v>
      </c>
      <c r="F1008" s="1" t="s">
        <v>47</v>
      </c>
      <c r="G1008" s="1">
        <f t="shared" si="75"/>
        <v>1</v>
      </c>
      <c r="H1008" s="1" t="s">
        <v>148</v>
      </c>
      <c r="I1008" s="1" t="s">
        <v>49</v>
      </c>
      <c r="J1008" s="23" t="s">
        <v>50</v>
      </c>
      <c r="K1008" s="2" t="s">
        <v>51</v>
      </c>
      <c r="L1008" s="1">
        <v>651</v>
      </c>
      <c r="M1008" s="1"/>
      <c r="N1008" s="1" t="str">
        <f t="shared" si="78"/>
        <v>Suppressed</v>
      </c>
      <c r="O1008" s="1" t="str">
        <f t="shared" si="76"/>
        <v/>
      </c>
      <c r="P1008" s="1">
        <v>22</v>
      </c>
      <c r="Q1008" s="1">
        <v>1177</v>
      </c>
      <c r="R1008" s="1" t="str">
        <f t="shared" si="79"/>
        <v>4</v>
      </c>
      <c r="S1008" s="1">
        <v>3</v>
      </c>
      <c r="T1008" s="1" t="str">
        <f t="shared" si="77"/>
        <v>4</v>
      </c>
      <c r="U1008" s="1">
        <v>-33.805985</v>
      </c>
      <c r="V1008" s="3">
        <v>151.25875400000001</v>
      </c>
    </row>
    <row r="1009" spans="1:22" x14ac:dyDescent="0.35">
      <c r="A1009" s="22" t="s">
        <v>3128</v>
      </c>
      <c r="B1009" s="1" t="s">
        <v>3129</v>
      </c>
      <c r="C1009" s="1" t="s">
        <v>1341</v>
      </c>
      <c r="D1009" s="1" t="s">
        <v>1342</v>
      </c>
      <c r="E1009" s="1" t="s">
        <v>68</v>
      </c>
      <c r="F1009" s="1" t="s">
        <v>57</v>
      </c>
      <c r="G1009" s="1">
        <f t="shared" si="75"/>
        <v>2</v>
      </c>
      <c r="H1009" s="1" t="s">
        <v>86</v>
      </c>
      <c r="I1009" s="1" t="s">
        <v>49</v>
      </c>
      <c r="J1009" s="23" t="s">
        <v>50</v>
      </c>
      <c r="K1009" s="2" t="s">
        <v>51</v>
      </c>
      <c r="L1009" s="1">
        <v>373</v>
      </c>
      <c r="M1009" s="1">
        <v>9</v>
      </c>
      <c r="N1009" s="1" t="str">
        <f t="shared" si="78"/>
        <v>Published</v>
      </c>
      <c r="O1009" s="1">
        <f t="shared" si="76"/>
        <v>33.57</v>
      </c>
      <c r="P1009" s="1">
        <v>10</v>
      </c>
      <c r="Q1009" s="1">
        <v>978</v>
      </c>
      <c r="R1009" s="1" t="str">
        <f t="shared" si="79"/>
        <v>2</v>
      </c>
      <c r="S1009" s="1">
        <v>106</v>
      </c>
      <c r="T1009" s="1" t="str">
        <f t="shared" si="77"/>
        <v>3</v>
      </c>
      <c r="U1009" s="1">
        <v>-34.759172</v>
      </c>
      <c r="V1009" s="3">
        <v>149.70070699999999</v>
      </c>
    </row>
    <row r="1010" spans="1:22" x14ac:dyDescent="0.35">
      <c r="A1010" s="22" t="s">
        <v>3130</v>
      </c>
      <c r="B1010" s="1" t="s">
        <v>3131</v>
      </c>
      <c r="C1010" s="1" t="s">
        <v>3132</v>
      </c>
      <c r="D1010" s="1" t="s">
        <v>152</v>
      </c>
      <c r="E1010" s="1" t="s">
        <v>229</v>
      </c>
      <c r="F1010" s="1" t="s">
        <v>47</v>
      </c>
      <c r="G1010" s="1">
        <f t="shared" si="75"/>
        <v>1</v>
      </c>
      <c r="H1010" s="1" t="s">
        <v>48</v>
      </c>
      <c r="I1010" s="1" t="s">
        <v>49</v>
      </c>
      <c r="J1010" s="23" t="s">
        <v>50</v>
      </c>
      <c r="K1010" s="2" t="s">
        <v>51</v>
      </c>
      <c r="L1010" s="1">
        <v>126</v>
      </c>
      <c r="M1010" s="1">
        <v>6</v>
      </c>
      <c r="N1010" s="1" t="str">
        <f t="shared" si="78"/>
        <v>Published</v>
      </c>
      <c r="O1010" s="1">
        <f t="shared" si="76"/>
        <v>7.56</v>
      </c>
      <c r="P1010" s="1">
        <v>83</v>
      </c>
      <c r="Q1010" s="1">
        <v>958</v>
      </c>
      <c r="R1010" s="1" t="str">
        <f t="shared" si="79"/>
        <v>2</v>
      </c>
      <c r="S1010" s="1">
        <v>142</v>
      </c>
      <c r="T1010" s="1" t="str">
        <f t="shared" si="77"/>
        <v>2</v>
      </c>
      <c r="U1010" s="1">
        <v>-33.947208000000003</v>
      </c>
      <c r="V1010" s="3">
        <v>151.04658599999999</v>
      </c>
    </row>
    <row r="1011" spans="1:22" x14ac:dyDescent="0.35">
      <c r="A1011" s="22" t="s">
        <v>3133</v>
      </c>
      <c r="B1011" s="1" t="s">
        <v>3134</v>
      </c>
      <c r="C1011" s="1" t="s">
        <v>3135</v>
      </c>
      <c r="D1011" s="1" t="s">
        <v>121</v>
      </c>
      <c r="E1011" s="1" t="s">
        <v>429</v>
      </c>
      <c r="F1011" s="1" t="s">
        <v>57</v>
      </c>
      <c r="G1011" s="1">
        <f t="shared" si="75"/>
        <v>2</v>
      </c>
      <c r="H1011" s="1" t="s">
        <v>86</v>
      </c>
      <c r="I1011" s="1" t="s">
        <v>49</v>
      </c>
      <c r="J1011" s="23" t="s">
        <v>50</v>
      </c>
      <c r="K1011" s="2" t="s">
        <v>51</v>
      </c>
      <c r="L1011" s="1">
        <v>434</v>
      </c>
      <c r="M1011" s="1">
        <v>11</v>
      </c>
      <c r="N1011" s="1" t="str">
        <f t="shared" si="78"/>
        <v>Published</v>
      </c>
      <c r="O1011" s="1">
        <f t="shared" si="76"/>
        <v>47.74</v>
      </c>
      <c r="P1011" s="1">
        <v>8</v>
      </c>
      <c r="Q1011" s="1">
        <v>958</v>
      </c>
      <c r="R1011" s="1" t="str">
        <f t="shared" si="79"/>
        <v>2</v>
      </c>
      <c r="S1011" s="1">
        <v>116</v>
      </c>
      <c r="T1011" s="1" t="str">
        <f t="shared" si="77"/>
        <v>3</v>
      </c>
      <c r="U1011" s="1">
        <v>-33.890923999999998</v>
      </c>
      <c r="V1011" s="3">
        <v>150.60539</v>
      </c>
    </row>
    <row r="1012" spans="1:22" x14ac:dyDescent="0.35">
      <c r="A1012" s="22" t="s">
        <v>3136</v>
      </c>
      <c r="B1012" s="1" t="s">
        <v>3137</v>
      </c>
      <c r="C1012" s="1" t="s">
        <v>3138</v>
      </c>
      <c r="D1012" s="1" t="s">
        <v>203</v>
      </c>
      <c r="E1012" s="1" t="s">
        <v>204</v>
      </c>
      <c r="F1012" s="1" t="s">
        <v>47</v>
      </c>
      <c r="G1012" s="1">
        <f t="shared" si="75"/>
        <v>1</v>
      </c>
      <c r="H1012" s="1" t="s">
        <v>148</v>
      </c>
      <c r="I1012" s="1" t="s">
        <v>49</v>
      </c>
      <c r="J1012" s="23" t="s">
        <v>50</v>
      </c>
      <c r="K1012" s="2" t="s">
        <v>51</v>
      </c>
      <c r="L1012" s="1">
        <v>186</v>
      </c>
      <c r="M1012" s="1"/>
      <c r="N1012" s="1" t="str">
        <f t="shared" si="78"/>
        <v>Suppressed</v>
      </c>
      <c r="O1012" s="1" t="str">
        <f t="shared" si="76"/>
        <v/>
      </c>
      <c r="P1012" s="1">
        <v>20</v>
      </c>
      <c r="Q1012" s="1">
        <v>1111</v>
      </c>
      <c r="R1012" s="1" t="str">
        <f t="shared" si="79"/>
        <v>4</v>
      </c>
      <c r="S1012" s="1">
        <v>27</v>
      </c>
      <c r="T1012" s="1" t="str">
        <f t="shared" si="77"/>
        <v>2</v>
      </c>
      <c r="U1012" s="1">
        <v>-33.727235</v>
      </c>
      <c r="V1012" s="3">
        <v>151.216645</v>
      </c>
    </row>
    <row r="1013" spans="1:22" x14ac:dyDescent="0.35">
      <c r="A1013" s="22" t="s">
        <v>3139</v>
      </c>
      <c r="B1013" s="1" t="s">
        <v>3140</v>
      </c>
      <c r="C1013" s="1" t="s">
        <v>3141</v>
      </c>
      <c r="D1013" s="1" t="s">
        <v>220</v>
      </c>
      <c r="E1013" s="1" t="s">
        <v>107</v>
      </c>
      <c r="F1013" s="1" t="s">
        <v>57</v>
      </c>
      <c r="G1013" s="1">
        <f t="shared" si="75"/>
        <v>2</v>
      </c>
      <c r="H1013" s="1" t="s">
        <v>92</v>
      </c>
      <c r="I1013" s="1" t="s">
        <v>49</v>
      </c>
      <c r="J1013" s="23" t="s">
        <v>50</v>
      </c>
      <c r="K1013" s="2" t="s">
        <v>51</v>
      </c>
      <c r="L1013" s="1">
        <v>10</v>
      </c>
      <c r="M1013" s="1"/>
      <c r="N1013" s="1" t="str">
        <f t="shared" si="78"/>
        <v>Suppressed</v>
      </c>
      <c r="O1013" s="1" t="str">
        <f t="shared" si="76"/>
        <v/>
      </c>
      <c r="P1013" s="1">
        <v>0</v>
      </c>
      <c r="Q1013" s="1">
        <v>1003</v>
      </c>
      <c r="R1013" s="1" t="str">
        <f t="shared" si="79"/>
        <v>3</v>
      </c>
      <c r="S1013" s="1">
        <v>84</v>
      </c>
      <c r="T1013" s="1" t="str">
        <f t="shared" si="77"/>
        <v>1</v>
      </c>
      <c r="U1013" s="1">
        <v>-28.607149</v>
      </c>
      <c r="V1013" s="3">
        <v>153.401937</v>
      </c>
    </row>
    <row r="1014" spans="1:22" x14ac:dyDescent="0.35">
      <c r="A1014" s="22" t="s">
        <v>3142</v>
      </c>
      <c r="B1014" s="1" t="s">
        <v>3143</v>
      </c>
      <c r="C1014" s="1" t="s">
        <v>3144</v>
      </c>
      <c r="D1014" s="1" t="s">
        <v>191</v>
      </c>
      <c r="E1014" s="1" t="s">
        <v>75</v>
      </c>
      <c r="F1014" s="1" t="s">
        <v>47</v>
      </c>
      <c r="G1014" s="1">
        <f t="shared" si="75"/>
        <v>1</v>
      </c>
      <c r="H1014" s="1" t="s">
        <v>63</v>
      </c>
      <c r="I1014" s="1" t="s">
        <v>49</v>
      </c>
      <c r="J1014" s="23" t="s">
        <v>50</v>
      </c>
      <c r="K1014" s="2" t="s">
        <v>51</v>
      </c>
      <c r="L1014" s="1">
        <v>182</v>
      </c>
      <c r="M1014" s="1">
        <v>37</v>
      </c>
      <c r="N1014" s="1" t="str">
        <f t="shared" si="78"/>
        <v>Published</v>
      </c>
      <c r="O1014" s="1">
        <f t="shared" si="76"/>
        <v>67.34</v>
      </c>
      <c r="P1014" s="1">
        <v>13</v>
      </c>
      <c r="Q1014" s="1">
        <v>853</v>
      </c>
      <c r="R1014" s="1" t="str">
        <f t="shared" si="79"/>
        <v>1</v>
      </c>
      <c r="S1014" s="1">
        <v>177</v>
      </c>
      <c r="T1014" s="1" t="str">
        <f t="shared" si="77"/>
        <v>2</v>
      </c>
      <c r="U1014" s="1">
        <v>-32.984172000000001</v>
      </c>
      <c r="V1014" s="3">
        <v>151.69135499999999</v>
      </c>
    </row>
    <row r="1015" spans="1:22" x14ac:dyDescent="0.35">
      <c r="A1015" s="22" t="s">
        <v>3145</v>
      </c>
      <c r="B1015" s="1" t="s">
        <v>3146</v>
      </c>
      <c r="C1015" s="1" t="s">
        <v>3147</v>
      </c>
      <c r="D1015" s="1" t="s">
        <v>737</v>
      </c>
      <c r="E1015" s="1" t="s">
        <v>738</v>
      </c>
      <c r="F1015" s="1" t="s">
        <v>57</v>
      </c>
      <c r="G1015" s="1">
        <f t="shared" si="75"/>
        <v>2</v>
      </c>
      <c r="H1015" s="1" t="s">
        <v>182</v>
      </c>
      <c r="I1015" s="1" t="s">
        <v>49</v>
      </c>
      <c r="J1015" s="23" t="s">
        <v>50</v>
      </c>
      <c r="K1015" s="2" t="s">
        <v>51</v>
      </c>
      <c r="L1015" s="1">
        <v>174</v>
      </c>
      <c r="M1015" s="1">
        <v>3</v>
      </c>
      <c r="N1015" s="1" t="str">
        <f t="shared" si="78"/>
        <v>Published</v>
      </c>
      <c r="O1015" s="1">
        <f t="shared" si="76"/>
        <v>5.22</v>
      </c>
      <c r="P1015" s="1">
        <v>15</v>
      </c>
      <c r="Q1015" s="1">
        <v>1067</v>
      </c>
      <c r="R1015" s="1" t="str">
        <f t="shared" si="79"/>
        <v>3</v>
      </c>
      <c r="S1015" s="1">
        <v>60</v>
      </c>
      <c r="T1015" s="1" t="str">
        <f t="shared" si="77"/>
        <v>2</v>
      </c>
      <c r="U1015" s="1">
        <v>-34.086792000000003</v>
      </c>
      <c r="V1015" s="3">
        <v>151.152422</v>
      </c>
    </row>
    <row r="1016" spans="1:22" x14ac:dyDescent="0.35">
      <c r="A1016" s="22" t="s">
        <v>3148</v>
      </c>
      <c r="B1016" s="1" t="s">
        <v>3149</v>
      </c>
      <c r="C1016" s="1" t="s">
        <v>3150</v>
      </c>
      <c r="D1016" s="1" t="s">
        <v>1776</v>
      </c>
      <c r="E1016" s="1" t="s">
        <v>147</v>
      </c>
      <c r="F1016" s="1" t="s">
        <v>47</v>
      </c>
      <c r="G1016" s="1">
        <f t="shared" si="75"/>
        <v>1</v>
      </c>
      <c r="H1016" s="1" t="s">
        <v>148</v>
      </c>
      <c r="I1016" s="1" t="s">
        <v>49</v>
      </c>
      <c r="J1016" s="23" t="s">
        <v>50</v>
      </c>
      <c r="K1016" s="2" t="s">
        <v>51</v>
      </c>
      <c r="L1016" s="1">
        <v>519</v>
      </c>
      <c r="M1016" s="1">
        <v>0</v>
      </c>
      <c r="N1016" s="1" t="str">
        <f t="shared" si="78"/>
        <v>Published</v>
      </c>
      <c r="O1016" s="1">
        <f t="shared" si="76"/>
        <v>0</v>
      </c>
      <c r="P1016" s="1">
        <v>61</v>
      </c>
      <c r="Q1016" s="1">
        <v>1176</v>
      </c>
      <c r="R1016" s="1" t="str">
        <f t="shared" si="79"/>
        <v>4</v>
      </c>
      <c r="S1016" s="1">
        <v>0</v>
      </c>
      <c r="T1016" s="1" t="str">
        <f t="shared" si="77"/>
        <v>3</v>
      </c>
      <c r="U1016" s="1">
        <v>-33.732269000000002</v>
      </c>
      <c r="V1016" s="3">
        <v>151.14108899999999</v>
      </c>
    </row>
    <row r="1017" spans="1:22" x14ac:dyDescent="0.35">
      <c r="A1017" s="22" t="s">
        <v>3151</v>
      </c>
      <c r="B1017" s="1" t="s">
        <v>3152</v>
      </c>
      <c r="C1017" s="1" t="s">
        <v>3153</v>
      </c>
      <c r="D1017" s="1" t="s">
        <v>152</v>
      </c>
      <c r="E1017" s="1" t="s">
        <v>229</v>
      </c>
      <c r="F1017" s="1" t="s">
        <v>47</v>
      </c>
      <c r="G1017" s="1">
        <f t="shared" si="75"/>
        <v>1</v>
      </c>
      <c r="H1017" s="1" t="s">
        <v>182</v>
      </c>
      <c r="I1017" s="1" t="s">
        <v>49</v>
      </c>
      <c r="J1017" s="23" t="s">
        <v>50</v>
      </c>
      <c r="K1017" s="2" t="s">
        <v>51</v>
      </c>
      <c r="L1017" s="1">
        <v>586</v>
      </c>
      <c r="M1017" s="1"/>
      <c r="N1017" s="1" t="str">
        <f t="shared" si="78"/>
        <v>Suppressed</v>
      </c>
      <c r="O1017" s="1" t="str">
        <f t="shared" si="76"/>
        <v/>
      </c>
      <c r="P1017" s="1">
        <v>87</v>
      </c>
      <c r="Q1017" s="1">
        <v>968</v>
      </c>
      <c r="R1017" s="1" t="str">
        <f t="shared" si="79"/>
        <v>2</v>
      </c>
      <c r="S1017" s="1">
        <v>137</v>
      </c>
      <c r="T1017" s="1" t="str">
        <f t="shared" si="77"/>
        <v>3</v>
      </c>
      <c r="U1017" s="1">
        <v>-33.925485999999999</v>
      </c>
      <c r="V1017" s="3">
        <v>151.01367400000001</v>
      </c>
    </row>
    <row r="1018" spans="1:22" x14ac:dyDescent="0.35">
      <c r="A1018" s="22" t="s">
        <v>3154</v>
      </c>
      <c r="B1018" s="1" t="s">
        <v>3155</v>
      </c>
      <c r="C1018" s="1" t="s">
        <v>3156</v>
      </c>
      <c r="D1018" s="1" t="s">
        <v>203</v>
      </c>
      <c r="E1018" s="1" t="s">
        <v>204</v>
      </c>
      <c r="F1018" s="1" t="s">
        <v>47</v>
      </c>
      <c r="G1018" s="1">
        <f t="shared" si="75"/>
        <v>1</v>
      </c>
      <c r="H1018" s="1" t="s">
        <v>148</v>
      </c>
      <c r="I1018" s="1" t="s">
        <v>49</v>
      </c>
      <c r="J1018" s="23" t="s">
        <v>50</v>
      </c>
      <c r="K1018" s="2" t="s">
        <v>51</v>
      </c>
      <c r="L1018" s="1">
        <v>666</v>
      </c>
      <c r="M1018" s="1">
        <v>1</v>
      </c>
      <c r="N1018" s="1" t="str">
        <f t="shared" si="78"/>
        <v>Published</v>
      </c>
      <c r="O1018" s="1">
        <f t="shared" si="76"/>
        <v>6.66</v>
      </c>
      <c r="P1018" s="1">
        <v>11</v>
      </c>
      <c r="Q1018" s="1">
        <v>1094</v>
      </c>
      <c r="R1018" s="1" t="str">
        <f t="shared" si="79"/>
        <v>3</v>
      </c>
      <c r="S1018" s="1">
        <v>35</v>
      </c>
      <c r="T1018" s="1" t="str">
        <f t="shared" si="77"/>
        <v>4</v>
      </c>
      <c r="U1018" s="1">
        <v>-33.639377000000003</v>
      </c>
      <c r="V1018" s="3">
        <v>151.326739</v>
      </c>
    </row>
    <row r="1019" spans="1:22" x14ac:dyDescent="0.35">
      <c r="A1019" s="22" t="s">
        <v>3157</v>
      </c>
      <c r="B1019" s="1" t="s">
        <v>3158</v>
      </c>
      <c r="C1019" s="1" t="s">
        <v>445</v>
      </c>
      <c r="D1019" s="1" t="s">
        <v>386</v>
      </c>
      <c r="E1019" s="1" t="s">
        <v>229</v>
      </c>
      <c r="F1019" s="1" t="s">
        <v>47</v>
      </c>
      <c r="G1019" s="1">
        <f t="shared" si="75"/>
        <v>1</v>
      </c>
      <c r="H1019" s="1" t="s">
        <v>48</v>
      </c>
      <c r="I1019" s="1" t="s">
        <v>49</v>
      </c>
      <c r="J1019" s="23" t="s">
        <v>50</v>
      </c>
      <c r="K1019" s="2" t="s">
        <v>51</v>
      </c>
      <c r="L1019" s="1">
        <v>246</v>
      </c>
      <c r="M1019" s="1">
        <v>0</v>
      </c>
      <c r="N1019" s="1" t="str">
        <f t="shared" si="78"/>
        <v>Published</v>
      </c>
      <c r="O1019" s="1">
        <f t="shared" si="76"/>
        <v>0</v>
      </c>
      <c r="P1019" s="1">
        <v>78</v>
      </c>
      <c r="Q1019" s="1">
        <v>1123</v>
      </c>
      <c r="R1019" s="1" t="str">
        <f t="shared" si="79"/>
        <v>4</v>
      </c>
      <c r="S1019" s="1">
        <v>23</v>
      </c>
      <c r="T1019" s="1" t="str">
        <f t="shared" si="77"/>
        <v>2</v>
      </c>
      <c r="U1019" s="1">
        <v>-33.996752000000001</v>
      </c>
      <c r="V1019" s="3">
        <v>151.10690500000001</v>
      </c>
    </row>
    <row r="1020" spans="1:22" x14ac:dyDescent="0.35">
      <c r="A1020" s="22" t="s">
        <v>3159</v>
      </c>
      <c r="B1020" s="1" t="s">
        <v>3160</v>
      </c>
      <c r="C1020" s="1" t="s">
        <v>1589</v>
      </c>
      <c r="D1020" s="1" t="s">
        <v>74</v>
      </c>
      <c r="E1020" s="1" t="s">
        <v>75</v>
      </c>
      <c r="F1020" s="1" t="s">
        <v>47</v>
      </c>
      <c r="G1020" s="1">
        <f t="shared" si="75"/>
        <v>1</v>
      </c>
      <c r="H1020" s="1" t="s">
        <v>63</v>
      </c>
      <c r="I1020" s="1" t="s">
        <v>49</v>
      </c>
      <c r="J1020" s="23" t="s">
        <v>50</v>
      </c>
      <c r="K1020" s="2" t="s">
        <v>51</v>
      </c>
      <c r="L1020" s="1">
        <v>362</v>
      </c>
      <c r="M1020" s="1">
        <v>5</v>
      </c>
      <c r="N1020" s="1" t="str">
        <f t="shared" si="78"/>
        <v>Published</v>
      </c>
      <c r="O1020" s="1">
        <f t="shared" si="76"/>
        <v>18.100000000000001</v>
      </c>
      <c r="P1020" s="1">
        <v>16</v>
      </c>
      <c r="Q1020" s="1">
        <v>1139</v>
      </c>
      <c r="R1020" s="1" t="str">
        <f t="shared" si="79"/>
        <v>4</v>
      </c>
      <c r="S1020" s="1">
        <v>20</v>
      </c>
      <c r="T1020" s="1" t="str">
        <f t="shared" si="77"/>
        <v>3</v>
      </c>
      <c r="U1020" s="1">
        <v>-32.933439999999997</v>
      </c>
      <c r="V1020" s="3">
        <v>151.753489</v>
      </c>
    </row>
    <row r="1021" spans="1:22" x14ac:dyDescent="0.35">
      <c r="A1021" s="22" t="s">
        <v>3161</v>
      </c>
      <c r="B1021" s="1" t="s">
        <v>3162</v>
      </c>
      <c r="C1021" s="1" t="s">
        <v>3163</v>
      </c>
      <c r="D1021" s="1" t="s">
        <v>386</v>
      </c>
      <c r="E1021" s="1" t="s">
        <v>229</v>
      </c>
      <c r="F1021" s="1" t="s">
        <v>47</v>
      </c>
      <c r="G1021" s="1">
        <f t="shared" si="75"/>
        <v>1</v>
      </c>
      <c r="H1021" s="1" t="s">
        <v>48</v>
      </c>
      <c r="I1021" s="1" t="s">
        <v>49</v>
      </c>
      <c r="J1021" s="23" t="s">
        <v>50</v>
      </c>
      <c r="K1021" s="2" t="s">
        <v>51</v>
      </c>
      <c r="L1021" s="1">
        <v>272</v>
      </c>
      <c r="M1021" s="1"/>
      <c r="N1021" s="1" t="str">
        <f t="shared" si="78"/>
        <v>Suppressed</v>
      </c>
      <c r="O1021" s="1" t="str">
        <f t="shared" si="76"/>
        <v/>
      </c>
      <c r="P1021" s="1">
        <v>47</v>
      </c>
      <c r="Q1021" s="1">
        <v>1099</v>
      </c>
      <c r="R1021" s="1" t="str">
        <f t="shared" si="79"/>
        <v>3</v>
      </c>
      <c r="S1021" s="1">
        <v>35</v>
      </c>
      <c r="T1021" s="1" t="str">
        <f t="shared" si="77"/>
        <v>2</v>
      </c>
      <c r="U1021" s="1">
        <v>-33.984955999999997</v>
      </c>
      <c r="V1021" s="3">
        <v>151.04467600000001</v>
      </c>
    </row>
    <row r="1022" spans="1:22" x14ac:dyDescent="0.35">
      <c r="A1022" s="22" t="s">
        <v>3164</v>
      </c>
      <c r="B1022" s="1" t="s">
        <v>3165</v>
      </c>
      <c r="C1022" s="1" t="s">
        <v>3166</v>
      </c>
      <c r="D1022" s="1" t="s">
        <v>386</v>
      </c>
      <c r="E1022" s="1" t="s">
        <v>229</v>
      </c>
      <c r="F1022" s="1" t="s">
        <v>47</v>
      </c>
      <c r="G1022" s="1">
        <f t="shared" si="75"/>
        <v>1</v>
      </c>
      <c r="H1022" s="1" t="s">
        <v>48</v>
      </c>
      <c r="I1022" s="1" t="s">
        <v>49</v>
      </c>
      <c r="J1022" s="23" t="s">
        <v>50</v>
      </c>
      <c r="K1022" s="2" t="s">
        <v>51</v>
      </c>
      <c r="L1022" s="1">
        <v>519</v>
      </c>
      <c r="M1022" s="1">
        <v>2</v>
      </c>
      <c r="N1022" s="1" t="str">
        <f t="shared" si="78"/>
        <v>Published</v>
      </c>
      <c r="O1022" s="1">
        <f t="shared" si="76"/>
        <v>10.38</v>
      </c>
      <c r="P1022" s="1">
        <v>53</v>
      </c>
      <c r="Q1022" s="1">
        <v>1132</v>
      </c>
      <c r="R1022" s="1" t="str">
        <f t="shared" si="79"/>
        <v>4</v>
      </c>
      <c r="S1022" s="1">
        <v>15</v>
      </c>
      <c r="T1022" s="1" t="str">
        <f t="shared" si="77"/>
        <v>3</v>
      </c>
      <c r="U1022" s="1">
        <v>-33.979005999999998</v>
      </c>
      <c r="V1022" s="3">
        <v>151.065459</v>
      </c>
    </row>
    <row r="1023" spans="1:22" x14ac:dyDescent="0.35">
      <c r="A1023" s="22" t="s">
        <v>3167</v>
      </c>
      <c r="B1023" s="1" t="s">
        <v>3168</v>
      </c>
      <c r="C1023" s="1" t="s">
        <v>2141</v>
      </c>
      <c r="D1023" s="1" t="s">
        <v>74</v>
      </c>
      <c r="E1023" s="1" t="s">
        <v>75</v>
      </c>
      <c r="F1023" s="1" t="s">
        <v>47</v>
      </c>
      <c r="G1023" s="1">
        <f t="shared" si="75"/>
        <v>1</v>
      </c>
      <c r="H1023" s="1" t="s">
        <v>63</v>
      </c>
      <c r="I1023" s="1" t="s">
        <v>49</v>
      </c>
      <c r="J1023" s="23" t="s">
        <v>50</v>
      </c>
      <c r="K1023" s="2" t="s">
        <v>51</v>
      </c>
      <c r="L1023" s="1">
        <v>462</v>
      </c>
      <c r="M1023" s="1">
        <v>4</v>
      </c>
      <c r="N1023" s="1" t="str">
        <f t="shared" si="78"/>
        <v>Published</v>
      </c>
      <c r="O1023" s="1">
        <f t="shared" si="76"/>
        <v>18.48</v>
      </c>
      <c r="P1023" s="1">
        <v>18</v>
      </c>
      <c r="Q1023" s="1">
        <v>1095</v>
      </c>
      <c r="R1023" s="1" t="str">
        <f t="shared" si="79"/>
        <v>3</v>
      </c>
      <c r="S1023" s="1">
        <v>37</v>
      </c>
      <c r="T1023" s="1" t="str">
        <f t="shared" si="77"/>
        <v>3</v>
      </c>
      <c r="U1023" s="1">
        <v>-32.931486999999997</v>
      </c>
      <c r="V1023" s="3">
        <v>151.717578</v>
      </c>
    </row>
    <row r="1024" spans="1:22" x14ac:dyDescent="0.35">
      <c r="A1024" s="22" t="s">
        <v>3169</v>
      </c>
      <c r="B1024" s="1" t="s">
        <v>3170</v>
      </c>
      <c r="C1024" s="1" t="s">
        <v>228</v>
      </c>
      <c r="D1024" s="1" t="s">
        <v>152</v>
      </c>
      <c r="E1024" s="1" t="s">
        <v>229</v>
      </c>
      <c r="F1024" s="1" t="s">
        <v>47</v>
      </c>
      <c r="G1024" s="1">
        <f t="shared" si="75"/>
        <v>1</v>
      </c>
      <c r="H1024" s="1" t="s">
        <v>48</v>
      </c>
      <c r="I1024" s="1" t="s">
        <v>49</v>
      </c>
      <c r="J1024" s="23" t="s">
        <v>50</v>
      </c>
      <c r="K1024" s="2" t="s">
        <v>51</v>
      </c>
      <c r="L1024" s="1">
        <v>430</v>
      </c>
      <c r="M1024" s="1"/>
      <c r="N1024" s="1" t="str">
        <f t="shared" si="78"/>
        <v>Suppressed</v>
      </c>
      <c r="O1024" s="1" t="str">
        <f t="shared" si="76"/>
        <v/>
      </c>
      <c r="P1024" s="1">
        <v>100</v>
      </c>
      <c r="Q1024" s="1">
        <v>965</v>
      </c>
      <c r="R1024" s="1" t="str">
        <f t="shared" si="79"/>
        <v>2</v>
      </c>
      <c r="S1024" s="1">
        <v>138</v>
      </c>
      <c r="T1024" s="1" t="str">
        <f t="shared" si="77"/>
        <v>3</v>
      </c>
      <c r="U1024" s="1">
        <v>-33.895370999999997</v>
      </c>
      <c r="V1024" s="3">
        <v>151.060249</v>
      </c>
    </row>
    <row r="1025" spans="1:22" x14ac:dyDescent="0.35">
      <c r="A1025" s="22" t="s">
        <v>3171</v>
      </c>
      <c r="B1025" s="1" t="s">
        <v>3172</v>
      </c>
      <c r="C1025" s="1" t="s">
        <v>3173</v>
      </c>
      <c r="D1025" s="1" t="s">
        <v>176</v>
      </c>
      <c r="E1025" s="1" t="s">
        <v>85</v>
      </c>
      <c r="F1025" s="1" t="s">
        <v>47</v>
      </c>
      <c r="G1025" s="1">
        <f t="shared" si="75"/>
        <v>1</v>
      </c>
      <c r="H1025" s="1" t="s">
        <v>86</v>
      </c>
      <c r="I1025" s="1" t="s">
        <v>49</v>
      </c>
      <c r="J1025" s="23" t="s">
        <v>50</v>
      </c>
      <c r="K1025" s="2" t="s">
        <v>51</v>
      </c>
      <c r="L1025" s="1">
        <v>164</v>
      </c>
      <c r="M1025" s="1">
        <v>16</v>
      </c>
      <c r="N1025" s="1" t="str">
        <f t="shared" si="78"/>
        <v>Published</v>
      </c>
      <c r="O1025" s="1">
        <f t="shared" si="76"/>
        <v>26.240000000000002</v>
      </c>
      <c r="P1025" s="1">
        <v>20</v>
      </c>
      <c r="Q1025" s="1">
        <v>982</v>
      </c>
      <c r="R1025" s="1" t="str">
        <f t="shared" si="79"/>
        <v>2</v>
      </c>
      <c r="S1025" s="1">
        <v>97</v>
      </c>
      <c r="T1025" s="1" t="str">
        <f t="shared" si="77"/>
        <v>2</v>
      </c>
      <c r="U1025" s="1">
        <v>-34.380763999999999</v>
      </c>
      <c r="V1025" s="3">
        <v>150.89024599999999</v>
      </c>
    </row>
    <row r="1026" spans="1:22" x14ac:dyDescent="0.35">
      <c r="A1026" s="22" t="s">
        <v>3174</v>
      </c>
      <c r="B1026" s="1" t="s">
        <v>3175</v>
      </c>
      <c r="C1026" s="1" t="s">
        <v>737</v>
      </c>
      <c r="D1026" s="1" t="s">
        <v>737</v>
      </c>
      <c r="E1026" s="1" t="s">
        <v>738</v>
      </c>
      <c r="F1026" s="1" t="s">
        <v>47</v>
      </c>
      <c r="G1026" s="1">
        <f t="shared" ref="G1026:G1089" si="80">IF(F1026="Major Cities of Australia",1,IF(F1026="Inner Regional Australia",2,IF(F1026="Outer Regional Australia",3,IF(F1026="Remote Australia",4,IF(F1026="Very Remote Australia",5,6)))))</f>
        <v>1</v>
      </c>
      <c r="H1026" s="1" t="s">
        <v>182</v>
      </c>
      <c r="I1026" s="1" t="s">
        <v>49</v>
      </c>
      <c r="J1026" s="23" t="s">
        <v>50</v>
      </c>
      <c r="K1026" s="2" t="s">
        <v>51</v>
      </c>
      <c r="L1026" s="1">
        <v>225</v>
      </c>
      <c r="M1026" s="1"/>
      <c r="N1026" s="1" t="str">
        <f t="shared" si="78"/>
        <v>Suppressed</v>
      </c>
      <c r="O1026" s="1" t="str">
        <f t="shared" ref="O1026:O1089" si="81">IF(OR(M1026="",L1026=""),"",M1026/100*L1026)</f>
        <v/>
      </c>
      <c r="P1026" s="1">
        <v>23</v>
      </c>
      <c r="Q1026" s="1">
        <v>1073</v>
      </c>
      <c r="R1026" s="1" t="str">
        <f t="shared" si="79"/>
        <v>3</v>
      </c>
      <c r="S1026" s="1">
        <v>51</v>
      </c>
      <c r="T1026" s="1" t="str">
        <f t="shared" ref="T1026:T1089" si="82">IF(L1026="","No enrolment",IF(L1026&lt;100,"1",IF(L1026&lt;300,"2",IF(L1026&lt;600,"3",IF(L1026&lt;1000,"4","5")))))</f>
        <v>2</v>
      </c>
      <c r="U1026" s="1">
        <v>-34.026784999999997</v>
      </c>
      <c r="V1026" s="3">
        <v>151.06708399999999</v>
      </c>
    </row>
    <row r="1027" spans="1:22" x14ac:dyDescent="0.35">
      <c r="A1027" s="22" t="s">
        <v>3176</v>
      </c>
      <c r="B1027" s="1" t="s">
        <v>3177</v>
      </c>
      <c r="C1027" s="1" t="s">
        <v>291</v>
      </c>
      <c r="D1027" s="1" t="s">
        <v>291</v>
      </c>
      <c r="E1027" s="1" t="s">
        <v>261</v>
      </c>
      <c r="F1027" s="1" t="s">
        <v>57</v>
      </c>
      <c r="G1027" s="1">
        <f t="shared" si="80"/>
        <v>2</v>
      </c>
      <c r="H1027" s="1" t="s">
        <v>58</v>
      </c>
      <c r="I1027" s="1" t="s">
        <v>49</v>
      </c>
      <c r="J1027" s="23" t="s">
        <v>50</v>
      </c>
      <c r="K1027" s="2" t="s">
        <v>51</v>
      </c>
      <c r="L1027" s="1">
        <v>515</v>
      </c>
      <c r="M1027" s="1">
        <v>25</v>
      </c>
      <c r="N1027" s="1" t="str">
        <f t="shared" ref="N1027:N1090" si="83">IF(M1027="","Suppressed","Published")</f>
        <v>Published</v>
      </c>
      <c r="O1027" s="1">
        <f t="shared" si="81"/>
        <v>128.75</v>
      </c>
      <c r="P1027" s="1">
        <v>9</v>
      </c>
      <c r="Q1027" s="1">
        <v>927</v>
      </c>
      <c r="R1027" s="1" t="str">
        <f t="shared" ref="R1027:R1090" si="84">IF(Q1027="","No ICSEA",IF(Q1027&lt;900,"1",IF(Q1027&lt;1000,"2",IF(Q1027&lt;1100,"3","4"))))</f>
        <v>2</v>
      </c>
      <c r="S1027" s="1">
        <v>127</v>
      </c>
      <c r="T1027" s="1" t="str">
        <f t="shared" si="82"/>
        <v>3</v>
      </c>
      <c r="U1027" s="1">
        <v>-33.411002000000003</v>
      </c>
      <c r="V1027" s="3">
        <v>149.55974599999999</v>
      </c>
    </row>
    <row r="1028" spans="1:22" x14ac:dyDescent="0.35">
      <c r="A1028" s="22" t="s">
        <v>3178</v>
      </c>
      <c r="B1028" s="1" t="s">
        <v>3179</v>
      </c>
      <c r="C1028" s="1" t="s">
        <v>3180</v>
      </c>
      <c r="D1028" s="1" t="s">
        <v>176</v>
      </c>
      <c r="E1028" s="1" t="s">
        <v>85</v>
      </c>
      <c r="F1028" s="1" t="s">
        <v>47</v>
      </c>
      <c r="G1028" s="1">
        <f t="shared" si="80"/>
        <v>1</v>
      </c>
      <c r="H1028" s="1" t="s">
        <v>86</v>
      </c>
      <c r="I1028" s="1" t="s">
        <v>49</v>
      </c>
      <c r="J1028" s="23" t="s">
        <v>50</v>
      </c>
      <c r="K1028" s="2" t="s">
        <v>51</v>
      </c>
      <c r="L1028" s="1">
        <v>271</v>
      </c>
      <c r="M1028" s="1">
        <v>5</v>
      </c>
      <c r="N1028" s="1" t="str">
        <f t="shared" si="83"/>
        <v>Published</v>
      </c>
      <c r="O1028" s="1">
        <f t="shared" si="81"/>
        <v>13.55</v>
      </c>
      <c r="P1028" s="1">
        <v>59</v>
      </c>
      <c r="Q1028" s="1">
        <v>1065</v>
      </c>
      <c r="R1028" s="1" t="str">
        <f t="shared" si="84"/>
        <v>3</v>
      </c>
      <c r="S1028" s="1">
        <v>65</v>
      </c>
      <c r="T1028" s="1" t="str">
        <f t="shared" si="82"/>
        <v>2</v>
      </c>
      <c r="U1028" s="1">
        <v>-34.417233000000003</v>
      </c>
      <c r="V1028" s="3">
        <v>150.87936400000001</v>
      </c>
    </row>
    <row r="1029" spans="1:22" x14ac:dyDescent="0.35">
      <c r="A1029" s="22" t="s">
        <v>3181</v>
      </c>
      <c r="B1029" s="1" t="s">
        <v>3182</v>
      </c>
      <c r="C1029" s="1" t="s">
        <v>3183</v>
      </c>
      <c r="D1029" s="1" t="s">
        <v>203</v>
      </c>
      <c r="E1029" s="1" t="s">
        <v>204</v>
      </c>
      <c r="F1029" s="1" t="s">
        <v>47</v>
      </c>
      <c r="G1029" s="1">
        <f t="shared" si="80"/>
        <v>1</v>
      </c>
      <c r="H1029" s="1" t="s">
        <v>148</v>
      </c>
      <c r="I1029" s="1" t="s">
        <v>49</v>
      </c>
      <c r="J1029" s="23" t="s">
        <v>50</v>
      </c>
      <c r="K1029" s="2" t="s">
        <v>51</v>
      </c>
      <c r="L1029" s="1">
        <v>511</v>
      </c>
      <c r="M1029" s="1">
        <v>3</v>
      </c>
      <c r="N1029" s="1" t="str">
        <f t="shared" si="83"/>
        <v>Published</v>
      </c>
      <c r="O1029" s="1">
        <f t="shared" si="81"/>
        <v>15.33</v>
      </c>
      <c r="P1029" s="1">
        <v>25</v>
      </c>
      <c r="Q1029" s="1">
        <v>1059</v>
      </c>
      <c r="R1029" s="1" t="str">
        <f t="shared" si="84"/>
        <v>3</v>
      </c>
      <c r="S1029" s="1">
        <v>60</v>
      </c>
      <c r="T1029" s="1" t="str">
        <f t="shared" si="82"/>
        <v>3</v>
      </c>
      <c r="U1029" s="1">
        <v>-33.749200000000002</v>
      </c>
      <c r="V1029" s="3">
        <v>151.273639</v>
      </c>
    </row>
    <row r="1030" spans="1:22" x14ac:dyDescent="0.35">
      <c r="A1030" s="22" t="s">
        <v>3184</v>
      </c>
      <c r="B1030" s="1" t="s">
        <v>3185</v>
      </c>
      <c r="C1030" s="1" t="s">
        <v>3186</v>
      </c>
      <c r="D1030" s="1" t="s">
        <v>737</v>
      </c>
      <c r="E1030" s="1" t="s">
        <v>738</v>
      </c>
      <c r="F1030" s="1" t="s">
        <v>47</v>
      </c>
      <c r="G1030" s="1">
        <f t="shared" si="80"/>
        <v>1</v>
      </c>
      <c r="H1030" s="1" t="s">
        <v>182</v>
      </c>
      <c r="I1030" s="1" t="s">
        <v>49</v>
      </c>
      <c r="J1030" s="23" t="s">
        <v>50</v>
      </c>
      <c r="K1030" s="2" t="s">
        <v>51</v>
      </c>
      <c r="L1030" s="1">
        <v>139</v>
      </c>
      <c r="M1030" s="1"/>
      <c r="N1030" s="1" t="str">
        <f t="shared" si="83"/>
        <v>Suppressed</v>
      </c>
      <c r="O1030" s="1" t="str">
        <f t="shared" si="81"/>
        <v/>
      </c>
      <c r="P1030" s="1">
        <v>23</v>
      </c>
      <c r="Q1030" s="1">
        <v>1062</v>
      </c>
      <c r="R1030" s="1" t="str">
        <f t="shared" si="84"/>
        <v>3</v>
      </c>
      <c r="S1030" s="1">
        <v>66</v>
      </c>
      <c r="T1030" s="1" t="str">
        <f t="shared" si="82"/>
        <v>2</v>
      </c>
      <c r="U1030" s="1">
        <v>-34.017944999999997</v>
      </c>
      <c r="V1030" s="3">
        <v>151.06090900000001</v>
      </c>
    </row>
    <row r="1031" spans="1:22" x14ac:dyDescent="0.35">
      <c r="A1031" s="22" t="s">
        <v>3187</v>
      </c>
      <c r="B1031" s="1" t="s">
        <v>3188</v>
      </c>
      <c r="C1031" s="1" t="s">
        <v>3189</v>
      </c>
      <c r="D1031" s="1" t="s">
        <v>224</v>
      </c>
      <c r="E1031" s="1" t="s">
        <v>229</v>
      </c>
      <c r="F1031" s="1" t="s">
        <v>47</v>
      </c>
      <c r="G1031" s="1">
        <f t="shared" si="80"/>
        <v>1</v>
      </c>
      <c r="H1031" s="1" t="s">
        <v>48</v>
      </c>
      <c r="I1031" s="1" t="s">
        <v>49</v>
      </c>
      <c r="J1031" s="23" t="s">
        <v>50</v>
      </c>
      <c r="K1031" s="2" t="s">
        <v>51</v>
      </c>
      <c r="L1031" s="1">
        <v>447</v>
      </c>
      <c r="M1031" s="1">
        <v>3</v>
      </c>
      <c r="N1031" s="1" t="str">
        <f t="shared" si="83"/>
        <v>Published</v>
      </c>
      <c r="O1031" s="1">
        <f t="shared" si="81"/>
        <v>13.41</v>
      </c>
      <c r="P1031" s="1">
        <v>63</v>
      </c>
      <c r="Q1031" s="1">
        <v>1039</v>
      </c>
      <c r="R1031" s="1" t="str">
        <f t="shared" si="84"/>
        <v>3</v>
      </c>
      <c r="S1031" s="1">
        <v>71</v>
      </c>
      <c r="T1031" s="1" t="str">
        <f t="shared" si="82"/>
        <v>3</v>
      </c>
      <c r="U1031" s="1">
        <v>-33.981431000000001</v>
      </c>
      <c r="V1031" s="3">
        <v>151.14354900000001</v>
      </c>
    </row>
    <row r="1032" spans="1:22" x14ac:dyDescent="0.35">
      <c r="A1032" s="22" t="s">
        <v>3190</v>
      </c>
      <c r="B1032" s="1" t="s">
        <v>3191</v>
      </c>
      <c r="C1032" s="1" t="s">
        <v>1502</v>
      </c>
      <c r="D1032" s="1" t="s">
        <v>1502</v>
      </c>
      <c r="E1032" s="1" t="s">
        <v>46</v>
      </c>
      <c r="F1032" s="1" t="s">
        <v>47</v>
      </c>
      <c r="G1032" s="1">
        <f t="shared" si="80"/>
        <v>1</v>
      </c>
      <c r="H1032" s="1" t="s">
        <v>48</v>
      </c>
      <c r="I1032" s="1" t="s">
        <v>3192</v>
      </c>
      <c r="J1032" s="23" t="s">
        <v>50</v>
      </c>
      <c r="K1032" s="2" t="s">
        <v>51</v>
      </c>
      <c r="L1032" s="1">
        <v>79</v>
      </c>
      <c r="M1032" s="1"/>
      <c r="N1032" s="1" t="str">
        <f t="shared" si="83"/>
        <v>Suppressed</v>
      </c>
      <c r="O1032" s="1" t="str">
        <f t="shared" si="81"/>
        <v/>
      </c>
      <c r="P1032" s="1">
        <v>89</v>
      </c>
      <c r="Q1032" s="1">
        <v>1006</v>
      </c>
      <c r="R1032" s="1" t="str">
        <f t="shared" si="84"/>
        <v>3</v>
      </c>
      <c r="S1032" s="1">
        <v>114</v>
      </c>
      <c r="T1032" s="1" t="str">
        <f t="shared" si="82"/>
        <v>1</v>
      </c>
      <c r="U1032" s="1">
        <v>-33.879568999999996</v>
      </c>
      <c r="V1032" s="3">
        <v>151.081613</v>
      </c>
    </row>
    <row r="1033" spans="1:22" x14ac:dyDescent="0.35">
      <c r="A1033" s="22" t="s">
        <v>3193</v>
      </c>
      <c r="B1033" s="1" t="s">
        <v>3194</v>
      </c>
      <c r="C1033" s="1" t="s">
        <v>3195</v>
      </c>
      <c r="D1033" s="1" t="s">
        <v>1776</v>
      </c>
      <c r="E1033" s="1" t="s">
        <v>147</v>
      </c>
      <c r="F1033" s="1" t="s">
        <v>47</v>
      </c>
      <c r="G1033" s="1">
        <f t="shared" si="80"/>
        <v>1</v>
      </c>
      <c r="H1033" s="1" t="s">
        <v>148</v>
      </c>
      <c r="I1033" s="1" t="s">
        <v>49</v>
      </c>
      <c r="J1033" s="23" t="s">
        <v>50</v>
      </c>
      <c r="K1033" s="2" t="s">
        <v>51</v>
      </c>
      <c r="L1033" s="1">
        <v>508</v>
      </c>
      <c r="M1033" s="1">
        <v>1</v>
      </c>
      <c r="N1033" s="1" t="str">
        <f t="shared" si="83"/>
        <v>Published</v>
      </c>
      <c r="O1033" s="1">
        <f t="shared" si="81"/>
        <v>5.08</v>
      </c>
      <c r="P1033" s="1">
        <v>46</v>
      </c>
      <c r="Q1033" s="1">
        <v>1156</v>
      </c>
      <c r="R1033" s="1" t="str">
        <f t="shared" si="84"/>
        <v>4</v>
      </c>
      <c r="S1033" s="1">
        <v>4</v>
      </c>
      <c r="T1033" s="1" t="str">
        <f t="shared" si="82"/>
        <v>3</v>
      </c>
      <c r="U1033" s="1">
        <v>-33.715583000000002</v>
      </c>
      <c r="V1033" s="3">
        <v>151.12847600000001</v>
      </c>
    </row>
    <row r="1034" spans="1:22" x14ac:dyDescent="0.35">
      <c r="A1034" s="22" t="s">
        <v>3196</v>
      </c>
      <c r="B1034" s="1" t="s">
        <v>3197</v>
      </c>
      <c r="C1034" s="1" t="s">
        <v>642</v>
      </c>
      <c r="D1034" s="1" t="s">
        <v>642</v>
      </c>
      <c r="E1034" s="1" t="s">
        <v>170</v>
      </c>
      <c r="F1034" s="1" t="s">
        <v>47</v>
      </c>
      <c r="G1034" s="1">
        <f t="shared" si="80"/>
        <v>1</v>
      </c>
      <c r="H1034" s="1" t="s">
        <v>48</v>
      </c>
      <c r="I1034" s="1" t="s">
        <v>49</v>
      </c>
      <c r="J1034" s="23" t="s">
        <v>50</v>
      </c>
      <c r="K1034" s="2" t="s">
        <v>51</v>
      </c>
      <c r="L1034" s="1">
        <v>465</v>
      </c>
      <c r="M1034" s="1"/>
      <c r="N1034" s="1" t="str">
        <f t="shared" si="83"/>
        <v>Suppressed</v>
      </c>
      <c r="O1034" s="1" t="str">
        <f t="shared" si="81"/>
        <v/>
      </c>
      <c r="P1034" s="1">
        <v>79</v>
      </c>
      <c r="Q1034" s="1">
        <v>1091</v>
      </c>
      <c r="R1034" s="1" t="str">
        <f t="shared" si="84"/>
        <v>3</v>
      </c>
      <c r="S1034" s="1">
        <v>34</v>
      </c>
      <c r="T1034" s="1" t="str">
        <f t="shared" si="82"/>
        <v>3</v>
      </c>
      <c r="U1034" s="1">
        <v>-33.806080999999999</v>
      </c>
      <c r="V1034" s="3">
        <v>151.01776599999999</v>
      </c>
    </row>
    <row r="1035" spans="1:22" x14ac:dyDescent="0.35">
      <c r="A1035" s="22" t="s">
        <v>3198</v>
      </c>
      <c r="B1035" s="1" t="s">
        <v>3199</v>
      </c>
      <c r="C1035" s="1" t="s">
        <v>1154</v>
      </c>
      <c r="D1035" s="1" t="s">
        <v>642</v>
      </c>
      <c r="E1035" s="1" t="s">
        <v>170</v>
      </c>
      <c r="F1035" s="1" t="s">
        <v>47</v>
      </c>
      <c r="G1035" s="1">
        <f t="shared" si="80"/>
        <v>1</v>
      </c>
      <c r="H1035" s="1" t="s">
        <v>148</v>
      </c>
      <c r="I1035" s="1" t="s">
        <v>49</v>
      </c>
      <c r="J1035" s="23" t="s">
        <v>50</v>
      </c>
      <c r="K1035" s="2" t="s">
        <v>51</v>
      </c>
      <c r="L1035" s="1">
        <v>163</v>
      </c>
      <c r="M1035" s="1"/>
      <c r="N1035" s="1" t="str">
        <f t="shared" si="83"/>
        <v>Suppressed</v>
      </c>
      <c r="O1035" s="1" t="str">
        <f t="shared" si="81"/>
        <v/>
      </c>
      <c r="P1035" s="1">
        <v>59</v>
      </c>
      <c r="Q1035" s="1">
        <v>1087</v>
      </c>
      <c r="R1035" s="1" t="str">
        <f t="shared" si="84"/>
        <v>3</v>
      </c>
      <c r="S1035" s="1">
        <v>40</v>
      </c>
      <c r="T1035" s="1" t="str">
        <f t="shared" si="82"/>
        <v>2</v>
      </c>
      <c r="U1035" s="1">
        <v>-33.814849000000002</v>
      </c>
      <c r="V1035" s="3">
        <v>151.07193899999999</v>
      </c>
    </row>
    <row r="1036" spans="1:22" x14ac:dyDescent="0.35">
      <c r="A1036" s="22" t="s">
        <v>3200</v>
      </c>
      <c r="B1036" s="1" t="s">
        <v>3201</v>
      </c>
      <c r="C1036" s="1" t="s">
        <v>291</v>
      </c>
      <c r="D1036" s="1" t="s">
        <v>291</v>
      </c>
      <c r="E1036" s="1" t="s">
        <v>261</v>
      </c>
      <c r="F1036" s="1" t="s">
        <v>57</v>
      </c>
      <c r="G1036" s="1">
        <f t="shared" si="80"/>
        <v>2</v>
      </c>
      <c r="H1036" s="1" t="s">
        <v>58</v>
      </c>
      <c r="I1036" s="1" t="s">
        <v>49</v>
      </c>
      <c r="J1036" s="23" t="s">
        <v>50</v>
      </c>
      <c r="K1036" s="2" t="s">
        <v>51</v>
      </c>
      <c r="L1036" s="1">
        <v>184</v>
      </c>
      <c r="M1036" s="1">
        <v>16</v>
      </c>
      <c r="N1036" s="1" t="str">
        <f t="shared" si="83"/>
        <v>Published</v>
      </c>
      <c r="O1036" s="1">
        <f t="shared" si="81"/>
        <v>29.44</v>
      </c>
      <c r="P1036" s="1">
        <v>8</v>
      </c>
      <c r="Q1036" s="1">
        <v>936</v>
      </c>
      <c r="R1036" s="1" t="str">
        <f t="shared" si="84"/>
        <v>2</v>
      </c>
      <c r="S1036" s="1">
        <v>125</v>
      </c>
      <c r="T1036" s="1" t="str">
        <f t="shared" si="82"/>
        <v>2</v>
      </c>
      <c r="U1036" s="1">
        <v>-33.432988999999999</v>
      </c>
      <c r="V1036" s="3">
        <v>149.568873</v>
      </c>
    </row>
    <row r="1037" spans="1:22" x14ac:dyDescent="0.35">
      <c r="A1037" s="22" t="s">
        <v>3202</v>
      </c>
      <c r="B1037" s="1" t="s">
        <v>3203</v>
      </c>
      <c r="C1037" s="1" t="s">
        <v>3204</v>
      </c>
      <c r="D1037" s="1" t="s">
        <v>74</v>
      </c>
      <c r="E1037" s="1" t="s">
        <v>75</v>
      </c>
      <c r="F1037" s="1" t="s">
        <v>47</v>
      </c>
      <c r="G1037" s="1">
        <f t="shared" si="80"/>
        <v>1</v>
      </c>
      <c r="H1037" s="1" t="s">
        <v>63</v>
      </c>
      <c r="I1037" s="1" t="s">
        <v>49</v>
      </c>
      <c r="J1037" s="23" t="s">
        <v>50</v>
      </c>
      <c r="K1037" s="2" t="s">
        <v>51</v>
      </c>
      <c r="L1037" s="1">
        <v>583</v>
      </c>
      <c r="M1037" s="1">
        <v>9</v>
      </c>
      <c r="N1037" s="1" t="str">
        <f t="shared" si="83"/>
        <v>Published</v>
      </c>
      <c r="O1037" s="1">
        <f t="shared" si="81"/>
        <v>52.47</v>
      </c>
      <c r="P1037" s="1">
        <v>22</v>
      </c>
      <c r="Q1037" s="1">
        <v>1083</v>
      </c>
      <c r="R1037" s="1" t="str">
        <f t="shared" si="84"/>
        <v>3</v>
      </c>
      <c r="S1037" s="1">
        <v>41</v>
      </c>
      <c r="T1037" s="1" t="str">
        <f t="shared" si="82"/>
        <v>3</v>
      </c>
      <c r="U1037" s="1">
        <v>-32.920074999999997</v>
      </c>
      <c r="V1037" s="3">
        <v>151.675241</v>
      </c>
    </row>
    <row r="1038" spans="1:22" x14ac:dyDescent="0.35">
      <c r="A1038" s="22" t="s">
        <v>3205</v>
      </c>
      <c r="B1038" s="1" t="s">
        <v>3206</v>
      </c>
      <c r="C1038" s="1" t="s">
        <v>3207</v>
      </c>
      <c r="D1038" s="1" t="s">
        <v>428</v>
      </c>
      <c r="E1038" s="1" t="s">
        <v>429</v>
      </c>
      <c r="F1038" s="1" t="s">
        <v>47</v>
      </c>
      <c r="G1038" s="1">
        <f t="shared" si="80"/>
        <v>1</v>
      </c>
      <c r="H1038" s="1" t="s">
        <v>63</v>
      </c>
      <c r="I1038" s="1" t="s">
        <v>49</v>
      </c>
      <c r="J1038" s="23" t="s">
        <v>50</v>
      </c>
      <c r="K1038" s="2" t="s">
        <v>51</v>
      </c>
      <c r="L1038" s="1">
        <v>356</v>
      </c>
      <c r="M1038" s="1">
        <v>6</v>
      </c>
      <c r="N1038" s="1" t="str">
        <f t="shared" si="83"/>
        <v>Published</v>
      </c>
      <c r="O1038" s="1">
        <f t="shared" si="81"/>
        <v>21.36</v>
      </c>
      <c r="P1038" s="1">
        <v>12</v>
      </c>
      <c r="Q1038" s="1">
        <v>1044</v>
      </c>
      <c r="R1038" s="1" t="str">
        <f t="shared" si="84"/>
        <v>3</v>
      </c>
      <c r="S1038" s="1">
        <v>71</v>
      </c>
      <c r="T1038" s="1" t="str">
        <f t="shared" si="82"/>
        <v>3</v>
      </c>
      <c r="U1038" s="1">
        <v>-33.726554</v>
      </c>
      <c r="V1038" s="3">
        <v>150.45939899999999</v>
      </c>
    </row>
    <row r="1039" spans="1:22" x14ac:dyDescent="0.35">
      <c r="A1039" s="22" t="s">
        <v>3208</v>
      </c>
      <c r="B1039" s="1" t="s">
        <v>3209</v>
      </c>
      <c r="C1039" s="1" t="s">
        <v>2880</v>
      </c>
      <c r="D1039" s="1" t="s">
        <v>1776</v>
      </c>
      <c r="E1039" s="1" t="s">
        <v>147</v>
      </c>
      <c r="F1039" s="1" t="s">
        <v>47</v>
      </c>
      <c r="G1039" s="1">
        <f t="shared" si="80"/>
        <v>1</v>
      </c>
      <c r="H1039" s="1" t="s">
        <v>148</v>
      </c>
      <c r="I1039" s="1" t="s">
        <v>49</v>
      </c>
      <c r="J1039" s="23" t="s">
        <v>50</v>
      </c>
      <c r="K1039" s="2" t="s">
        <v>51</v>
      </c>
      <c r="L1039" s="1">
        <v>531</v>
      </c>
      <c r="M1039" s="1"/>
      <c r="N1039" s="1" t="str">
        <f t="shared" si="83"/>
        <v>Suppressed</v>
      </c>
      <c r="O1039" s="1" t="str">
        <f t="shared" si="81"/>
        <v/>
      </c>
      <c r="P1039" s="1">
        <v>40</v>
      </c>
      <c r="Q1039" s="1">
        <v>1181</v>
      </c>
      <c r="R1039" s="1" t="str">
        <f t="shared" si="84"/>
        <v>4</v>
      </c>
      <c r="S1039" s="1">
        <v>0</v>
      </c>
      <c r="T1039" s="1" t="str">
        <f t="shared" si="82"/>
        <v>3</v>
      </c>
      <c r="U1039" s="1">
        <v>-33.745258</v>
      </c>
      <c r="V1039" s="3">
        <v>151.114305</v>
      </c>
    </row>
    <row r="1040" spans="1:22" x14ac:dyDescent="0.35">
      <c r="A1040" s="22" t="s">
        <v>3210</v>
      </c>
      <c r="B1040" s="1" t="s">
        <v>3211</v>
      </c>
      <c r="C1040" s="1" t="s">
        <v>390</v>
      </c>
      <c r="D1040" s="1" t="s">
        <v>390</v>
      </c>
      <c r="E1040" s="1" t="s">
        <v>107</v>
      </c>
      <c r="F1040" s="1" t="s">
        <v>57</v>
      </c>
      <c r="G1040" s="1">
        <f t="shared" si="80"/>
        <v>2</v>
      </c>
      <c r="H1040" s="1" t="s">
        <v>92</v>
      </c>
      <c r="I1040" s="1" t="s">
        <v>49</v>
      </c>
      <c r="J1040" s="23" t="s">
        <v>50</v>
      </c>
      <c r="K1040" s="2" t="s">
        <v>51</v>
      </c>
      <c r="L1040" s="1">
        <v>350</v>
      </c>
      <c r="M1040" s="1">
        <v>17</v>
      </c>
      <c r="N1040" s="1" t="str">
        <f t="shared" si="83"/>
        <v>Published</v>
      </c>
      <c r="O1040" s="1">
        <f t="shared" si="81"/>
        <v>59.500000000000007</v>
      </c>
      <c r="P1040" s="1">
        <v>15</v>
      </c>
      <c r="Q1040" s="1">
        <v>947</v>
      </c>
      <c r="R1040" s="1" t="str">
        <f t="shared" si="84"/>
        <v>2</v>
      </c>
      <c r="S1040" s="1">
        <v>113</v>
      </c>
      <c r="T1040" s="1" t="str">
        <f t="shared" si="82"/>
        <v>3</v>
      </c>
      <c r="U1040" s="1">
        <v>-28.830300999999999</v>
      </c>
      <c r="V1040" s="3">
        <v>153.293261</v>
      </c>
    </row>
    <row r="1041" spans="1:22" x14ac:dyDescent="0.35">
      <c r="A1041" s="22" t="s">
        <v>3212</v>
      </c>
      <c r="B1041" s="1" t="s">
        <v>3213</v>
      </c>
      <c r="C1041" s="1" t="s">
        <v>3214</v>
      </c>
      <c r="D1041" s="1" t="s">
        <v>84</v>
      </c>
      <c r="E1041" s="1" t="s">
        <v>85</v>
      </c>
      <c r="F1041" s="1" t="s">
        <v>47</v>
      </c>
      <c r="G1041" s="1">
        <f t="shared" si="80"/>
        <v>1</v>
      </c>
      <c r="H1041" s="1" t="s">
        <v>86</v>
      </c>
      <c r="I1041" s="1" t="s">
        <v>49</v>
      </c>
      <c r="J1041" s="23" t="s">
        <v>50</v>
      </c>
      <c r="K1041" s="2" t="s">
        <v>51</v>
      </c>
      <c r="L1041" s="1">
        <v>416</v>
      </c>
      <c r="M1041" s="1">
        <v>12</v>
      </c>
      <c r="N1041" s="1" t="str">
        <f t="shared" si="83"/>
        <v>Published</v>
      </c>
      <c r="O1041" s="1">
        <f t="shared" si="81"/>
        <v>49.92</v>
      </c>
      <c r="P1041" s="1">
        <v>9</v>
      </c>
      <c r="Q1041" s="1">
        <v>959</v>
      </c>
      <c r="R1041" s="1" t="str">
        <f t="shared" si="84"/>
        <v>2</v>
      </c>
      <c r="S1041" s="1">
        <v>113</v>
      </c>
      <c r="T1041" s="1" t="str">
        <f t="shared" si="82"/>
        <v>3</v>
      </c>
      <c r="U1041" s="1">
        <v>-34.562570000000001</v>
      </c>
      <c r="V1041" s="3">
        <v>150.81754599999999</v>
      </c>
    </row>
    <row r="1042" spans="1:22" x14ac:dyDescent="0.35">
      <c r="A1042" s="22" t="s">
        <v>3215</v>
      </c>
      <c r="B1042" s="1" t="s">
        <v>3216</v>
      </c>
      <c r="C1042" s="1" t="s">
        <v>3217</v>
      </c>
      <c r="D1042" s="1" t="s">
        <v>1155</v>
      </c>
      <c r="E1042" s="1" t="s">
        <v>306</v>
      </c>
      <c r="F1042" s="1" t="s">
        <v>47</v>
      </c>
      <c r="G1042" s="1">
        <f t="shared" si="80"/>
        <v>1</v>
      </c>
      <c r="H1042" s="1" t="s">
        <v>148</v>
      </c>
      <c r="I1042" s="1" t="s">
        <v>49</v>
      </c>
      <c r="J1042" s="23" t="s">
        <v>50</v>
      </c>
      <c r="K1042" s="2" t="s">
        <v>51</v>
      </c>
      <c r="L1042" s="1">
        <v>790</v>
      </c>
      <c r="M1042" s="1"/>
      <c r="N1042" s="1" t="str">
        <f t="shared" si="83"/>
        <v>Suppressed</v>
      </c>
      <c r="O1042" s="1" t="str">
        <f t="shared" si="81"/>
        <v/>
      </c>
      <c r="P1042" s="1">
        <v>86</v>
      </c>
      <c r="Q1042" s="1">
        <v>1127</v>
      </c>
      <c r="R1042" s="1" t="str">
        <f t="shared" si="84"/>
        <v>4</v>
      </c>
      <c r="S1042" s="1">
        <v>19</v>
      </c>
      <c r="T1042" s="1" t="str">
        <f t="shared" si="82"/>
        <v>4</v>
      </c>
      <c r="U1042" s="1">
        <v>-33.7943</v>
      </c>
      <c r="V1042" s="3">
        <v>151.09657100000001</v>
      </c>
    </row>
    <row r="1043" spans="1:22" x14ac:dyDescent="0.35">
      <c r="A1043" s="22" t="s">
        <v>3218</v>
      </c>
      <c r="B1043" s="1" t="s">
        <v>3219</v>
      </c>
      <c r="C1043" s="1" t="s">
        <v>3220</v>
      </c>
      <c r="D1043" s="1" t="s">
        <v>1155</v>
      </c>
      <c r="E1043" s="1" t="s">
        <v>306</v>
      </c>
      <c r="F1043" s="1" t="s">
        <v>47</v>
      </c>
      <c r="G1043" s="1">
        <f t="shared" si="80"/>
        <v>1</v>
      </c>
      <c r="H1043" s="1" t="s">
        <v>148</v>
      </c>
      <c r="I1043" s="1" t="s">
        <v>49</v>
      </c>
      <c r="J1043" s="23" t="s">
        <v>50</v>
      </c>
      <c r="K1043" s="2" t="s">
        <v>51</v>
      </c>
      <c r="L1043" s="1">
        <v>642</v>
      </c>
      <c r="M1043" s="1"/>
      <c r="N1043" s="1" t="str">
        <f t="shared" si="83"/>
        <v>Suppressed</v>
      </c>
      <c r="O1043" s="1" t="str">
        <f t="shared" si="81"/>
        <v/>
      </c>
      <c r="P1043" s="1">
        <v>89</v>
      </c>
      <c r="Q1043" s="1">
        <v>1095</v>
      </c>
      <c r="R1043" s="1" t="str">
        <f t="shared" si="84"/>
        <v>3</v>
      </c>
      <c r="S1043" s="1">
        <v>21</v>
      </c>
      <c r="T1043" s="1" t="str">
        <f t="shared" si="82"/>
        <v>4</v>
      </c>
      <c r="U1043" s="1">
        <v>-33.812899999999999</v>
      </c>
      <c r="V1043" s="3">
        <v>151.09209999999999</v>
      </c>
    </row>
    <row r="1044" spans="1:22" x14ac:dyDescent="0.35">
      <c r="A1044" s="22" t="s">
        <v>3221</v>
      </c>
      <c r="B1044" s="1" t="s">
        <v>3222</v>
      </c>
      <c r="C1044" s="1" t="s">
        <v>627</v>
      </c>
      <c r="D1044" s="1" t="s">
        <v>627</v>
      </c>
      <c r="E1044" s="1" t="s">
        <v>91</v>
      </c>
      <c r="F1044" s="1" t="s">
        <v>57</v>
      </c>
      <c r="G1044" s="1">
        <f t="shared" si="80"/>
        <v>2</v>
      </c>
      <c r="H1044" s="1" t="s">
        <v>92</v>
      </c>
      <c r="I1044" s="1" t="s">
        <v>132</v>
      </c>
      <c r="J1044" s="23" t="s">
        <v>50</v>
      </c>
      <c r="K1044" s="2" t="s">
        <v>51</v>
      </c>
      <c r="L1044" s="1">
        <v>264</v>
      </c>
      <c r="M1044" s="1">
        <v>31</v>
      </c>
      <c r="N1044" s="1" t="str">
        <f t="shared" si="83"/>
        <v>Published</v>
      </c>
      <c r="O1044" s="1">
        <f t="shared" si="81"/>
        <v>81.84</v>
      </c>
      <c r="P1044" s="1">
        <v>8</v>
      </c>
      <c r="Q1044" s="1">
        <v>901</v>
      </c>
      <c r="R1044" s="1" t="str">
        <f t="shared" si="84"/>
        <v>2</v>
      </c>
      <c r="S1044" s="1">
        <v>129</v>
      </c>
      <c r="T1044" s="1" t="str">
        <f t="shared" si="82"/>
        <v>2</v>
      </c>
      <c r="U1044" s="1">
        <v>-30.641511000000001</v>
      </c>
      <c r="V1044" s="3">
        <v>151.494437</v>
      </c>
    </row>
    <row r="1045" spans="1:22" x14ac:dyDescent="0.35">
      <c r="A1045" s="22" t="s">
        <v>3223</v>
      </c>
      <c r="B1045" s="1" t="s">
        <v>3224</v>
      </c>
      <c r="C1045" s="1" t="s">
        <v>1199</v>
      </c>
      <c r="D1045" s="1" t="s">
        <v>176</v>
      </c>
      <c r="E1045" s="1" t="s">
        <v>85</v>
      </c>
      <c r="F1045" s="1" t="s">
        <v>47</v>
      </c>
      <c r="G1045" s="1">
        <f t="shared" si="80"/>
        <v>1</v>
      </c>
      <c r="H1045" s="1" t="s">
        <v>86</v>
      </c>
      <c r="I1045" s="1" t="s">
        <v>49</v>
      </c>
      <c r="J1045" s="23" t="s">
        <v>50</v>
      </c>
      <c r="K1045" s="2" t="s">
        <v>51</v>
      </c>
      <c r="L1045" s="1">
        <v>134</v>
      </c>
      <c r="M1045" s="1">
        <v>7</v>
      </c>
      <c r="N1045" s="1" t="str">
        <f t="shared" si="83"/>
        <v>Published</v>
      </c>
      <c r="O1045" s="1">
        <f t="shared" si="81"/>
        <v>9.3800000000000008</v>
      </c>
      <c r="P1045" s="1">
        <v>34</v>
      </c>
      <c r="Q1045" s="1">
        <v>1031</v>
      </c>
      <c r="R1045" s="1" t="str">
        <f t="shared" si="84"/>
        <v>3</v>
      </c>
      <c r="S1045" s="1">
        <v>92</v>
      </c>
      <c r="T1045" s="1" t="str">
        <f t="shared" si="82"/>
        <v>2</v>
      </c>
      <c r="U1045" s="1">
        <v>-34.388936999999999</v>
      </c>
      <c r="V1045" s="3">
        <v>150.89996600000001</v>
      </c>
    </row>
    <row r="1046" spans="1:22" x14ac:dyDescent="0.35">
      <c r="A1046" s="22" t="s">
        <v>3225</v>
      </c>
      <c r="B1046" s="1" t="s">
        <v>3226</v>
      </c>
      <c r="C1046" s="1" t="s">
        <v>3227</v>
      </c>
      <c r="D1046" s="1" t="s">
        <v>84</v>
      </c>
      <c r="E1046" s="1" t="s">
        <v>85</v>
      </c>
      <c r="F1046" s="1" t="s">
        <v>47</v>
      </c>
      <c r="G1046" s="1">
        <f t="shared" si="80"/>
        <v>1</v>
      </c>
      <c r="H1046" s="1" t="s">
        <v>86</v>
      </c>
      <c r="I1046" s="1" t="s">
        <v>49</v>
      </c>
      <c r="J1046" s="23" t="s">
        <v>50</v>
      </c>
      <c r="K1046" s="2" t="s">
        <v>51</v>
      </c>
      <c r="L1046" s="1">
        <v>177</v>
      </c>
      <c r="M1046" s="1">
        <v>14</v>
      </c>
      <c r="N1046" s="1" t="str">
        <f t="shared" si="83"/>
        <v>Published</v>
      </c>
      <c r="O1046" s="1">
        <f t="shared" si="81"/>
        <v>24.78</v>
      </c>
      <c r="P1046" s="1">
        <v>18</v>
      </c>
      <c r="Q1046" s="1">
        <v>954</v>
      </c>
      <c r="R1046" s="1" t="str">
        <f t="shared" si="84"/>
        <v>2</v>
      </c>
      <c r="S1046" s="1">
        <v>116</v>
      </c>
      <c r="T1046" s="1" t="str">
        <f t="shared" si="82"/>
        <v>2</v>
      </c>
      <c r="U1046" s="1">
        <v>-34.539523000000003</v>
      </c>
      <c r="V1046" s="3">
        <v>150.85930200000001</v>
      </c>
    </row>
    <row r="1047" spans="1:22" x14ac:dyDescent="0.35">
      <c r="A1047" s="22" t="s">
        <v>3228</v>
      </c>
      <c r="B1047" s="1" t="s">
        <v>3229</v>
      </c>
      <c r="C1047" s="1" t="s">
        <v>3230</v>
      </c>
      <c r="D1047" s="1" t="s">
        <v>152</v>
      </c>
      <c r="E1047" s="1" t="s">
        <v>229</v>
      </c>
      <c r="F1047" s="1" t="s">
        <v>47</v>
      </c>
      <c r="G1047" s="1">
        <f t="shared" si="80"/>
        <v>1</v>
      </c>
      <c r="H1047" s="1" t="s">
        <v>48</v>
      </c>
      <c r="I1047" s="1" t="s">
        <v>49</v>
      </c>
      <c r="J1047" s="23" t="s">
        <v>50</v>
      </c>
      <c r="K1047" s="2" t="s">
        <v>51</v>
      </c>
      <c r="L1047" s="1">
        <v>556</v>
      </c>
      <c r="M1047" s="1">
        <v>2</v>
      </c>
      <c r="N1047" s="1" t="str">
        <f t="shared" si="83"/>
        <v>Published</v>
      </c>
      <c r="O1047" s="1">
        <f t="shared" si="81"/>
        <v>11.120000000000001</v>
      </c>
      <c r="P1047" s="1">
        <v>94</v>
      </c>
      <c r="Q1047" s="1">
        <v>986</v>
      </c>
      <c r="R1047" s="1" t="str">
        <f t="shared" si="84"/>
        <v>2</v>
      </c>
      <c r="S1047" s="1">
        <v>117</v>
      </c>
      <c r="T1047" s="1" t="str">
        <f t="shared" si="82"/>
        <v>3</v>
      </c>
      <c r="U1047" s="1">
        <v>-33.909174</v>
      </c>
      <c r="V1047" s="3">
        <v>151.02671599999999</v>
      </c>
    </row>
    <row r="1048" spans="1:22" x14ac:dyDescent="0.35">
      <c r="A1048" s="22" t="s">
        <v>3231</v>
      </c>
      <c r="B1048" s="1" t="s">
        <v>3232</v>
      </c>
      <c r="C1048" s="1" t="s">
        <v>3233</v>
      </c>
      <c r="D1048" s="1" t="s">
        <v>180</v>
      </c>
      <c r="E1048" s="1" t="s">
        <v>181</v>
      </c>
      <c r="F1048" s="1" t="s">
        <v>47</v>
      </c>
      <c r="G1048" s="1">
        <f t="shared" si="80"/>
        <v>1</v>
      </c>
      <c r="H1048" s="1" t="s">
        <v>182</v>
      </c>
      <c r="I1048" s="1" t="s">
        <v>49</v>
      </c>
      <c r="J1048" s="23" t="s">
        <v>50</v>
      </c>
      <c r="K1048" s="2" t="s">
        <v>51</v>
      </c>
      <c r="L1048" s="1">
        <v>427</v>
      </c>
      <c r="M1048" s="1">
        <v>6</v>
      </c>
      <c r="N1048" s="1" t="str">
        <f t="shared" si="83"/>
        <v>Published</v>
      </c>
      <c r="O1048" s="1">
        <f t="shared" si="81"/>
        <v>25.619999999999997</v>
      </c>
      <c r="P1048" s="1">
        <v>31</v>
      </c>
      <c r="Q1048" s="1">
        <v>1035</v>
      </c>
      <c r="R1048" s="1" t="str">
        <f t="shared" si="84"/>
        <v>3</v>
      </c>
      <c r="S1048" s="1">
        <v>78</v>
      </c>
      <c r="T1048" s="1" t="str">
        <f t="shared" si="82"/>
        <v>3</v>
      </c>
      <c r="U1048" s="1">
        <v>-33.958654000000003</v>
      </c>
      <c r="V1048" s="3">
        <v>150.93748199999999</v>
      </c>
    </row>
    <row r="1049" spans="1:22" x14ac:dyDescent="0.35">
      <c r="A1049" s="22" t="s">
        <v>3234</v>
      </c>
      <c r="B1049" s="1" t="s">
        <v>3235</v>
      </c>
      <c r="C1049" s="1" t="s">
        <v>3236</v>
      </c>
      <c r="D1049" s="1" t="s">
        <v>382</v>
      </c>
      <c r="E1049" s="1" t="s">
        <v>196</v>
      </c>
      <c r="F1049" s="1" t="s">
        <v>57</v>
      </c>
      <c r="G1049" s="1">
        <f t="shared" si="80"/>
        <v>2</v>
      </c>
      <c r="H1049" s="1" t="s">
        <v>86</v>
      </c>
      <c r="I1049" s="1" t="s">
        <v>49</v>
      </c>
      <c r="J1049" s="23" t="s">
        <v>50</v>
      </c>
      <c r="K1049" s="2" t="s">
        <v>51</v>
      </c>
      <c r="L1049" s="1">
        <v>106</v>
      </c>
      <c r="M1049" s="1">
        <v>23</v>
      </c>
      <c r="N1049" s="1" t="str">
        <f t="shared" si="83"/>
        <v>Published</v>
      </c>
      <c r="O1049" s="1">
        <f t="shared" si="81"/>
        <v>24.380000000000003</v>
      </c>
      <c r="P1049" s="1">
        <v>9</v>
      </c>
      <c r="Q1049" s="1">
        <v>943</v>
      </c>
      <c r="R1049" s="1" t="str">
        <f t="shared" si="84"/>
        <v>2</v>
      </c>
      <c r="S1049" s="1">
        <v>119</v>
      </c>
      <c r="T1049" s="1" t="str">
        <f t="shared" si="82"/>
        <v>2</v>
      </c>
      <c r="U1049" s="1">
        <v>-34.907445000000003</v>
      </c>
      <c r="V1049" s="3">
        <v>150.73039600000001</v>
      </c>
    </row>
    <row r="1050" spans="1:22" x14ac:dyDescent="0.35">
      <c r="A1050" s="22" t="s">
        <v>3237</v>
      </c>
      <c r="B1050" s="1" t="s">
        <v>3238</v>
      </c>
      <c r="C1050" s="1" t="s">
        <v>1430</v>
      </c>
      <c r="D1050" s="1" t="s">
        <v>115</v>
      </c>
      <c r="E1050" s="1" t="s">
        <v>46</v>
      </c>
      <c r="F1050" s="1" t="s">
        <v>47</v>
      </c>
      <c r="G1050" s="1">
        <f t="shared" si="80"/>
        <v>1</v>
      </c>
      <c r="H1050" s="1" t="s">
        <v>48</v>
      </c>
      <c r="I1050" s="1" t="s">
        <v>49</v>
      </c>
      <c r="J1050" s="23" t="s">
        <v>50</v>
      </c>
      <c r="K1050" s="2" t="s">
        <v>51</v>
      </c>
      <c r="L1050" s="1">
        <v>116</v>
      </c>
      <c r="M1050" s="1"/>
      <c r="N1050" s="1" t="str">
        <f t="shared" si="83"/>
        <v>Suppressed</v>
      </c>
      <c r="O1050" s="1" t="str">
        <f t="shared" si="81"/>
        <v/>
      </c>
      <c r="P1050" s="1">
        <v>28</v>
      </c>
      <c r="Q1050" s="1">
        <v>1149</v>
      </c>
      <c r="R1050" s="1" t="str">
        <f t="shared" si="84"/>
        <v>4</v>
      </c>
      <c r="S1050" s="1">
        <v>13</v>
      </c>
      <c r="T1050" s="1" t="str">
        <f t="shared" si="82"/>
        <v>2</v>
      </c>
      <c r="U1050" s="1">
        <v>-33.874415999999997</v>
      </c>
      <c r="V1050" s="3">
        <v>151.140692</v>
      </c>
    </row>
    <row r="1051" spans="1:22" x14ac:dyDescent="0.35">
      <c r="A1051" s="22" t="s">
        <v>3239</v>
      </c>
      <c r="B1051" s="1" t="s">
        <v>3240</v>
      </c>
      <c r="C1051" s="1" t="s">
        <v>3241</v>
      </c>
      <c r="D1051" s="1" t="s">
        <v>191</v>
      </c>
      <c r="E1051" s="1" t="s">
        <v>75</v>
      </c>
      <c r="F1051" s="1" t="s">
        <v>47</v>
      </c>
      <c r="G1051" s="1">
        <f t="shared" si="80"/>
        <v>1</v>
      </c>
      <c r="H1051" s="1" t="s">
        <v>63</v>
      </c>
      <c r="I1051" s="1" t="s">
        <v>49</v>
      </c>
      <c r="J1051" s="23" t="s">
        <v>50</v>
      </c>
      <c r="K1051" s="2" t="s">
        <v>51</v>
      </c>
      <c r="L1051" s="1">
        <v>291</v>
      </c>
      <c r="M1051" s="1">
        <v>5</v>
      </c>
      <c r="N1051" s="1" t="str">
        <f t="shared" si="83"/>
        <v>Published</v>
      </c>
      <c r="O1051" s="1">
        <f t="shared" si="81"/>
        <v>14.55</v>
      </c>
      <c r="P1051" s="1">
        <v>9</v>
      </c>
      <c r="Q1051" s="1">
        <v>1076</v>
      </c>
      <c r="R1051" s="1" t="str">
        <f t="shared" si="84"/>
        <v>3</v>
      </c>
      <c r="S1051" s="1">
        <v>43</v>
      </c>
      <c r="T1051" s="1" t="str">
        <f t="shared" si="82"/>
        <v>2</v>
      </c>
      <c r="U1051" s="1">
        <v>-32.964902000000002</v>
      </c>
      <c r="V1051" s="3">
        <v>151.71360799999999</v>
      </c>
    </row>
    <row r="1052" spans="1:22" x14ac:dyDescent="0.35">
      <c r="A1052" s="22" t="s">
        <v>3242</v>
      </c>
      <c r="B1052" s="1" t="s">
        <v>3243</v>
      </c>
      <c r="C1052" s="1" t="s">
        <v>3244</v>
      </c>
      <c r="D1052" s="1" t="s">
        <v>152</v>
      </c>
      <c r="E1052" s="1" t="s">
        <v>229</v>
      </c>
      <c r="F1052" s="1" t="s">
        <v>47</v>
      </c>
      <c r="G1052" s="1">
        <f t="shared" si="80"/>
        <v>1</v>
      </c>
      <c r="H1052" s="1" t="s">
        <v>48</v>
      </c>
      <c r="I1052" s="1" t="s">
        <v>49</v>
      </c>
      <c r="J1052" s="23" t="s">
        <v>50</v>
      </c>
      <c r="K1052" s="2" t="s">
        <v>51</v>
      </c>
      <c r="L1052" s="1">
        <v>246</v>
      </c>
      <c r="M1052" s="1">
        <v>7</v>
      </c>
      <c r="N1052" s="1" t="str">
        <f t="shared" si="83"/>
        <v>Published</v>
      </c>
      <c r="O1052" s="1">
        <f t="shared" si="81"/>
        <v>17.220000000000002</v>
      </c>
      <c r="P1052" s="1">
        <v>67</v>
      </c>
      <c r="Q1052" s="1">
        <v>1001</v>
      </c>
      <c r="R1052" s="1" t="str">
        <f t="shared" si="84"/>
        <v>3</v>
      </c>
      <c r="S1052" s="1">
        <v>102</v>
      </c>
      <c r="T1052" s="1" t="str">
        <f t="shared" si="82"/>
        <v>2</v>
      </c>
      <c r="U1052" s="1">
        <v>-33.948186</v>
      </c>
      <c r="V1052" s="3">
        <v>151.06864999999999</v>
      </c>
    </row>
    <row r="1053" spans="1:22" x14ac:dyDescent="0.35">
      <c r="A1053" s="22" t="s">
        <v>3245</v>
      </c>
      <c r="B1053" s="1" t="s">
        <v>3246</v>
      </c>
      <c r="C1053" s="1" t="s">
        <v>1027</v>
      </c>
      <c r="D1053" s="1" t="s">
        <v>1027</v>
      </c>
      <c r="E1053" s="1" t="s">
        <v>56</v>
      </c>
      <c r="F1053" s="1" t="s">
        <v>57</v>
      </c>
      <c r="G1053" s="1">
        <f t="shared" si="80"/>
        <v>2</v>
      </c>
      <c r="H1053" s="1" t="s">
        <v>58</v>
      </c>
      <c r="I1053" s="1" t="s">
        <v>49</v>
      </c>
      <c r="J1053" s="23" t="s">
        <v>50</v>
      </c>
      <c r="K1053" s="2" t="s">
        <v>51</v>
      </c>
      <c r="L1053" s="1">
        <v>439</v>
      </c>
      <c r="M1053" s="1">
        <v>46</v>
      </c>
      <c r="N1053" s="1" t="str">
        <f t="shared" si="83"/>
        <v>Published</v>
      </c>
      <c r="O1053" s="1">
        <f t="shared" si="81"/>
        <v>201.94</v>
      </c>
      <c r="P1053" s="1">
        <v>6</v>
      </c>
      <c r="Q1053" s="1">
        <v>819</v>
      </c>
      <c r="R1053" s="1" t="str">
        <f t="shared" si="84"/>
        <v>1</v>
      </c>
      <c r="S1053" s="1">
        <v>168</v>
      </c>
      <c r="T1053" s="1" t="str">
        <f t="shared" si="82"/>
        <v>3</v>
      </c>
      <c r="U1053" s="1">
        <v>-32.274182000000003</v>
      </c>
      <c r="V1053" s="3">
        <v>150.891943</v>
      </c>
    </row>
    <row r="1054" spans="1:22" x14ac:dyDescent="0.35">
      <c r="A1054" s="22" t="s">
        <v>3247</v>
      </c>
      <c r="B1054" s="1" t="s">
        <v>3248</v>
      </c>
      <c r="C1054" s="1" t="s">
        <v>3249</v>
      </c>
      <c r="D1054" s="1" t="s">
        <v>176</v>
      </c>
      <c r="E1054" s="1" t="s">
        <v>85</v>
      </c>
      <c r="F1054" s="1" t="s">
        <v>47</v>
      </c>
      <c r="G1054" s="1">
        <f t="shared" si="80"/>
        <v>1</v>
      </c>
      <c r="H1054" s="1" t="s">
        <v>86</v>
      </c>
      <c r="I1054" s="1" t="s">
        <v>49</v>
      </c>
      <c r="J1054" s="23" t="s">
        <v>50</v>
      </c>
      <c r="K1054" s="2" t="s">
        <v>51</v>
      </c>
      <c r="L1054" s="1">
        <v>297</v>
      </c>
      <c r="M1054" s="1">
        <v>6</v>
      </c>
      <c r="N1054" s="1" t="str">
        <f t="shared" si="83"/>
        <v>Published</v>
      </c>
      <c r="O1054" s="1">
        <f t="shared" si="81"/>
        <v>17.82</v>
      </c>
      <c r="P1054" s="1">
        <v>14</v>
      </c>
      <c r="Q1054" s="1">
        <v>1046</v>
      </c>
      <c r="R1054" s="1" t="str">
        <f t="shared" si="84"/>
        <v>3</v>
      </c>
      <c r="S1054" s="1">
        <v>70</v>
      </c>
      <c r="T1054" s="1" t="str">
        <f t="shared" si="82"/>
        <v>2</v>
      </c>
      <c r="U1054" s="1">
        <v>-34.377988000000002</v>
      </c>
      <c r="V1054" s="3">
        <v>150.906532</v>
      </c>
    </row>
    <row r="1055" spans="1:22" x14ac:dyDescent="0.35">
      <c r="A1055" s="22" t="s">
        <v>3250</v>
      </c>
      <c r="B1055" s="1" t="s">
        <v>3251</v>
      </c>
      <c r="C1055" s="1" t="s">
        <v>176</v>
      </c>
      <c r="D1055" s="1" t="s">
        <v>176</v>
      </c>
      <c r="E1055" s="1" t="s">
        <v>85</v>
      </c>
      <c r="F1055" s="1" t="s">
        <v>47</v>
      </c>
      <c r="G1055" s="1">
        <f t="shared" si="80"/>
        <v>1</v>
      </c>
      <c r="H1055" s="1" t="s">
        <v>86</v>
      </c>
      <c r="I1055" s="1" t="s">
        <v>49</v>
      </c>
      <c r="J1055" s="23" t="s">
        <v>50</v>
      </c>
      <c r="K1055" s="2" t="s">
        <v>51</v>
      </c>
      <c r="L1055" s="1">
        <v>354</v>
      </c>
      <c r="M1055" s="1">
        <v>5</v>
      </c>
      <c r="N1055" s="1" t="str">
        <f t="shared" si="83"/>
        <v>Published</v>
      </c>
      <c r="O1055" s="1">
        <f t="shared" si="81"/>
        <v>17.7</v>
      </c>
      <c r="P1055" s="1">
        <v>18</v>
      </c>
      <c r="Q1055" s="1">
        <v>1070</v>
      </c>
      <c r="R1055" s="1" t="str">
        <f t="shared" si="84"/>
        <v>3</v>
      </c>
      <c r="S1055" s="1">
        <v>57</v>
      </c>
      <c r="T1055" s="1" t="str">
        <f t="shared" si="82"/>
        <v>3</v>
      </c>
      <c r="U1055" s="1">
        <v>-34.436911000000002</v>
      </c>
      <c r="V1055" s="3">
        <v>150.870048</v>
      </c>
    </row>
    <row r="1056" spans="1:22" x14ac:dyDescent="0.35">
      <c r="A1056" s="22" t="s">
        <v>3252</v>
      </c>
      <c r="B1056" s="1" t="s">
        <v>3253</v>
      </c>
      <c r="C1056" s="1" t="s">
        <v>90</v>
      </c>
      <c r="D1056" s="1" t="s">
        <v>90</v>
      </c>
      <c r="E1056" s="1" t="s">
        <v>91</v>
      </c>
      <c r="F1056" s="1" t="s">
        <v>57</v>
      </c>
      <c r="G1056" s="1">
        <f t="shared" si="80"/>
        <v>2</v>
      </c>
      <c r="H1056" s="1" t="s">
        <v>92</v>
      </c>
      <c r="I1056" s="1" t="s">
        <v>49</v>
      </c>
      <c r="J1056" s="23" t="s">
        <v>50</v>
      </c>
      <c r="K1056" s="2" t="s">
        <v>51</v>
      </c>
      <c r="L1056" s="1">
        <v>477</v>
      </c>
      <c r="M1056" s="1">
        <v>46</v>
      </c>
      <c r="N1056" s="1" t="str">
        <f t="shared" si="83"/>
        <v>Published</v>
      </c>
      <c r="O1056" s="1">
        <f t="shared" si="81"/>
        <v>219.42000000000002</v>
      </c>
      <c r="P1056" s="1">
        <v>9</v>
      </c>
      <c r="Q1056" s="1">
        <v>828</v>
      </c>
      <c r="R1056" s="1" t="str">
        <f t="shared" si="84"/>
        <v>1</v>
      </c>
      <c r="S1056" s="1">
        <v>169</v>
      </c>
      <c r="T1056" s="1" t="str">
        <f t="shared" si="82"/>
        <v>3</v>
      </c>
      <c r="U1056" s="1">
        <v>-31.105062</v>
      </c>
      <c r="V1056" s="3">
        <v>150.91170099999999</v>
      </c>
    </row>
    <row r="1057" spans="1:22" x14ac:dyDescent="0.35">
      <c r="A1057" s="22" t="s">
        <v>3254</v>
      </c>
      <c r="B1057" s="1" t="s">
        <v>3255</v>
      </c>
      <c r="C1057" s="1" t="s">
        <v>3256</v>
      </c>
      <c r="D1057" s="1" t="s">
        <v>169</v>
      </c>
      <c r="E1057" s="1" t="s">
        <v>170</v>
      </c>
      <c r="F1057" s="1" t="s">
        <v>47</v>
      </c>
      <c r="G1057" s="1">
        <f t="shared" si="80"/>
        <v>1</v>
      </c>
      <c r="H1057" s="1" t="s">
        <v>48</v>
      </c>
      <c r="I1057" s="1" t="s">
        <v>49</v>
      </c>
      <c r="J1057" s="23" t="s">
        <v>50</v>
      </c>
      <c r="K1057" s="2" t="s">
        <v>51</v>
      </c>
      <c r="L1057" s="1">
        <v>717</v>
      </c>
      <c r="M1057" s="1">
        <v>1</v>
      </c>
      <c r="N1057" s="1" t="str">
        <f t="shared" si="83"/>
        <v>Published</v>
      </c>
      <c r="O1057" s="1">
        <f t="shared" si="81"/>
        <v>7.17</v>
      </c>
      <c r="P1057" s="1">
        <v>96</v>
      </c>
      <c r="Q1057" s="1">
        <v>1117</v>
      </c>
      <c r="R1057" s="1" t="str">
        <f t="shared" si="84"/>
        <v>4</v>
      </c>
      <c r="S1057" s="1">
        <v>16</v>
      </c>
      <c r="T1057" s="1" t="str">
        <f t="shared" si="82"/>
        <v>4</v>
      </c>
      <c r="U1057" s="1">
        <v>-33.810170999999997</v>
      </c>
      <c r="V1057" s="3">
        <v>150.98529099999999</v>
      </c>
    </row>
    <row r="1058" spans="1:22" x14ac:dyDescent="0.35">
      <c r="A1058" s="22" t="s">
        <v>3257</v>
      </c>
      <c r="B1058" s="1" t="s">
        <v>3258</v>
      </c>
      <c r="C1058" s="1" t="s">
        <v>3259</v>
      </c>
      <c r="D1058" s="1" t="s">
        <v>126</v>
      </c>
      <c r="E1058" s="1" t="s">
        <v>147</v>
      </c>
      <c r="F1058" s="1" t="s">
        <v>47</v>
      </c>
      <c r="G1058" s="1">
        <f t="shared" si="80"/>
        <v>1</v>
      </c>
      <c r="H1058" s="1" t="s">
        <v>63</v>
      </c>
      <c r="I1058" s="1" t="s">
        <v>49</v>
      </c>
      <c r="J1058" s="23" t="s">
        <v>50</v>
      </c>
      <c r="K1058" s="2" t="s">
        <v>51</v>
      </c>
      <c r="L1058" s="1">
        <v>442</v>
      </c>
      <c r="M1058" s="1">
        <v>2</v>
      </c>
      <c r="N1058" s="1" t="str">
        <f t="shared" si="83"/>
        <v>Published</v>
      </c>
      <c r="O1058" s="1">
        <f t="shared" si="81"/>
        <v>8.84</v>
      </c>
      <c r="P1058" s="1">
        <v>32</v>
      </c>
      <c r="Q1058" s="1">
        <v>1098</v>
      </c>
      <c r="R1058" s="1" t="str">
        <f t="shared" si="84"/>
        <v>3</v>
      </c>
      <c r="S1058" s="1">
        <v>39</v>
      </c>
      <c r="T1058" s="1" t="str">
        <f t="shared" si="82"/>
        <v>3</v>
      </c>
      <c r="U1058" s="1">
        <v>-33.672947000000001</v>
      </c>
      <c r="V1058" s="3">
        <v>151.11569499999999</v>
      </c>
    </row>
    <row r="1059" spans="1:22" x14ac:dyDescent="0.35">
      <c r="A1059" s="22" t="s">
        <v>3260</v>
      </c>
      <c r="B1059" s="1" t="s">
        <v>3261</v>
      </c>
      <c r="C1059" s="1" t="s">
        <v>3262</v>
      </c>
      <c r="D1059" s="1" t="s">
        <v>152</v>
      </c>
      <c r="E1059" s="1" t="s">
        <v>229</v>
      </c>
      <c r="F1059" s="1" t="s">
        <v>47</v>
      </c>
      <c r="G1059" s="1">
        <f t="shared" si="80"/>
        <v>1</v>
      </c>
      <c r="H1059" s="1" t="s">
        <v>48</v>
      </c>
      <c r="I1059" s="1" t="s">
        <v>49</v>
      </c>
      <c r="J1059" s="23" t="s">
        <v>50</v>
      </c>
      <c r="K1059" s="2" t="s">
        <v>51</v>
      </c>
      <c r="L1059" s="1">
        <v>330</v>
      </c>
      <c r="M1059" s="1">
        <v>4</v>
      </c>
      <c r="N1059" s="1" t="str">
        <f t="shared" si="83"/>
        <v>Published</v>
      </c>
      <c r="O1059" s="1">
        <f t="shared" si="81"/>
        <v>13.200000000000001</v>
      </c>
      <c r="P1059" s="1">
        <v>85</v>
      </c>
      <c r="Q1059" s="1">
        <v>1001</v>
      </c>
      <c r="R1059" s="1" t="str">
        <f t="shared" si="84"/>
        <v>3</v>
      </c>
      <c r="S1059" s="1">
        <v>97</v>
      </c>
      <c r="T1059" s="1" t="str">
        <f t="shared" si="82"/>
        <v>3</v>
      </c>
      <c r="U1059" s="1">
        <v>-33.934891</v>
      </c>
      <c r="V1059" s="3">
        <v>151.08475799999999</v>
      </c>
    </row>
    <row r="1060" spans="1:22" x14ac:dyDescent="0.35">
      <c r="A1060" s="22" t="s">
        <v>3263</v>
      </c>
      <c r="B1060" s="1" t="s">
        <v>3264</v>
      </c>
      <c r="C1060" s="1" t="s">
        <v>3265</v>
      </c>
      <c r="D1060" s="1" t="s">
        <v>67</v>
      </c>
      <c r="E1060" s="1" t="s">
        <v>68</v>
      </c>
      <c r="F1060" s="1" t="s">
        <v>57</v>
      </c>
      <c r="G1060" s="1">
        <f t="shared" si="80"/>
        <v>2</v>
      </c>
      <c r="H1060" s="1" t="s">
        <v>70</v>
      </c>
      <c r="I1060" s="1" t="s">
        <v>49</v>
      </c>
      <c r="J1060" s="23" t="s">
        <v>50</v>
      </c>
      <c r="K1060" s="2" t="s">
        <v>51</v>
      </c>
      <c r="L1060" s="1">
        <v>227</v>
      </c>
      <c r="M1060" s="1">
        <v>14</v>
      </c>
      <c r="N1060" s="1" t="str">
        <f t="shared" si="83"/>
        <v>Published</v>
      </c>
      <c r="O1060" s="1">
        <f t="shared" si="81"/>
        <v>31.780000000000005</v>
      </c>
      <c r="P1060" s="1">
        <v>7</v>
      </c>
      <c r="Q1060" s="1">
        <v>955</v>
      </c>
      <c r="R1060" s="1" t="str">
        <f t="shared" si="84"/>
        <v>2</v>
      </c>
      <c r="S1060" s="1">
        <v>111</v>
      </c>
      <c r="T1060" s="1" t="str">
        <f t="shared" si="82"/>
        <v>2</v>
      </c>
      <c r="U1060" s="1">
        <v>-36.217908000000001</v>
      </c>
      <c r="V1060" s="3">
        <v>149.13057599999999</v>
      </c>
    </row>
    <row r="1061" spans="1:22" x14ac:dyDescent="0.35">
      <c r="A1061" s="22" t="s">
        <v>3266</v>
      </c>
      <c r="B1061" s="1" t="s">
        <v>3267</v>
      </c>
      <c r="C1061" s="1" t="s">
        <v>3268</v>
      </c>
      <c r="D1061" s="1" t="s">
        <v>191</v>
      </c>
      <c r="E1061" s="1" t="s">
        <v>75</v>
      </c>
      <c r="F1061" s="1" t="s">
        <v>47</v>
      </c>
      <c r="G1061" s="1">
        <f t="shared" si="80"/>
        <v>1</v>
      </c>
      <c r="H1061" s="1" t="s">
        <v>63</v>
      </c>
      <c r="I1061" s="1" t="s">
        <v>49</v>
      </c>
      <c r="J1061" s="23" t="s">
        <v>50</v>
      </c>
      <c r="K1061" s="2" t="s">
        <v>51</v>
      </c>
      <c r="L1061" s="1">
        <v>252</v>
      </c>
      <c r="M1061" s="1">
        <v>46</v>
      </c>
      <c r="N1061" s="1" t="str">
        <f t="shared" si="83"/>
        <v>Published</v>
      </c>
      <c r="O1061" s="1">
        <f t="shared" si="81"/>
        <v>115.92</v>
      </c>
      <c r="P1061" s="1">
        <v>9</v>
      </c>
      <c r="Q1061" s="1">
        <v>793</v>
      </c>
      <c r="R1061" s="1" t="str">
        <f t="shared" si="84"/>
        <v>1</v>
      </c>
      <c r="S1061" s="1">
        <v>203</v>
      </c>
      <c r="T1061" s="1" t="str">
        <f t="shared" si="82"/>
        <v>2</v>
      </c>
      <c r="U1061" s="1">
        <v>-32.992372000000003</v>
      </c>
      <c r="V1061" s="3">
        <v>151.678338</v>
      </c>
    </row>
    <row r="1062" spans="1:22" x14ac:dyDescent="0.35">
      <c r="A1062" s="22" t="s">
        <v>3269</v>
      </c>
      <c r="B1062" s="1" t="s">
        <v>3270</v>
      </c>
      <c r="C1062" s="1" t="s">
        <v>3271</v>
      </c>
      <c r="D1062" s="1" t="s">
        <v>191</v>
      </c>
      <c r="E1062" s="1" t="s">
        <v>75</v>
      </c>
      <c r="F1062" s="1" t="s">
        <v>47</v>
      </c>
      <c r="G1062" s="1">
        <f t="shared" si="80"/>
        <v>1</v>
      </c>
      <c r="H1062" s="1" t="s">
        <v>63</v>
      </c>
      <c r="I1062" s="1" t="s">
        <v>49</v>
      </c>
      <c r="J1062" s="23" t="s">
        <v>50</v>
      </c>
      <c r="K1062" s="2" t="s">
        <v>51</v>
      </c>
      <c r="L1062" s="1">
        <v>298</v>
      </c>
      <c r="M1062" s="1">
        <v>13</v>
      </c>
      <c r="N1062" s="1" t="str">
        <f t="shared" si="83"/>
        <v>Published</v>
      </c>
      <c r="O1062" s="1">
        <f t="shared" si="81"/>
        <v>38.74</v>
      </c>
      <c r="P1062" s="1">
        <v>14</v>
      </c>
      <c r="Q1062" s="1">
        <v>1017</v>
      </c>
      <c r="R1062" s="1" t="str">
        <f t="shared" si="84"/>
        <v>3</v>
      </c>
      <c r="S1062" s="1">
        <v>82</v>
      </c>
      <c r="T1062" s="1" t="str">
        <f t="shared" si="82"/>
        <v>2</v>
      </c>
      <c r="U1062" s="1">
        <v>-32.953105999999998</v>
      </c>
      <c r="V1062" s="3">
        <v>151.66521</v>
      </c>
    </row>
    <row r="1063" spans="1:22" x14ac:dyDescent="0.35">
      <c r="A1063" s="22" t="s">
        <v>3272</v>
      </c>
      <c r="B1063" s="1" t="s">
        <v>3273</v>
      </c>
      <c r="C1063" s="1" t="s">
        <v>847</v>
      </c>
      <c r="D1063" s="1" t="s">
        <v>737</v>
      </c>
      <c r="E1063" s="1" t="s">
        <v>738</v>
      </c>
      <c r="F1063" s="1" t="s">
        <v>47</v>
      </c>
      <c r="G1063" s="1">
        <f t="shared" si="80"/>
        <v>1</v>
      </c>
      <c r="H1063" s="1" t="s">
        <v>182</v>
      </c>
      <c r="I1063" s="1" t="s">
        <v>49</v>
      </c>
      <c r="J1063" s="23" t="s">
        <v>50</v>
      </c>
      <c r="K1063" s="2" t="s">
        <v>51</v>
      </c>
      <c r="L1063" s="1">
        <v>275</v>
      </c>
      <c r="M1063" s="1"/>
      <c r="N1063" s="1" t="str">
        <f t="shared" si="83"/>
        <v>Suppressed</v>
      </c>
      <c r="O1063" s="1" t="str">
        <f t="shared" si="81"/>
        <v/>
      </c>
      <c r="P1063" s="1">
        <v>18</v>
      </c>
      <c r="Q1063" s="1">
        <v>1109</v>
      </c>
      <c r="R1063" s="1" t="str">
        <f t="shared" si="84"/>
        <v>4</v>
      </c>
      <c r="S1063" s="1">
        <v>31</v>
      </c>
      <c r="T1063" s="1" t="str">
        <f t="shared" si="82"/>
        <v>2</v>
      </c>
      <c r="U1063" s="1">
        <v>-34.004744000000002</v>
      </c>
      <c r="V1063" s="3">
        <v>151.06050500000001</v>
      </c>
    </row>
    <row r="1064" spans="1:22" x14ac:dyDescent="0.35">
      <c r="A1064" s="22" t="s">
        <v>3274</v>
      </c>
      <c r="B1064" s="1" t="s">
        <v>3275</v>
      </c>
      <c r="C1064" s="1" t="s">
        <v>3276</v>
      </c>
      <c r="D1064" s="1" t="s">
        <v>74</v>
      </c>
      <c r="E1064" s="1" t="s">
        <v>75</v>
      </c>
      <c r="F1064" s="1" t="s">
        <v>47</v>
      </c>
      <c r="G1064" s="1">
        <f t="shared" si="80"/>
        <v>1</v>
      </c>
      <c r="H1064" s="1" t="s">
        <v>63</v>
      </c>
      <c r="I1064" s="1" t="s">
        <v>49</v>
      </c>
      <c r="J1064" s="23" t="s">
        <v>50</v>
      </c>
      <c r="K1064" s="2" t="s">
        <v>51</v>
      </c>
      <c r="L1064" s="1">
        <v>123</v>
      </c>
      <c r="M1064" s="1">
        <v>12</v>
      </c>
      <c r="N1064" s="1" t="str">
        <f t="shared" si="83"/>
        <v>Published</v>
      </c>
      <c r="O1064" s="1">
        <f t="shared" si="81"/>
        <v>14.76</v>
      </c>
      <c r="P1064" s="1">
        <v>7</v>
      </c>
      <c r="Q1064" s="1">
        <v>1030</v>
      </c>
      <c r="R1064" s="1" t="str">
        <f t="shared" si="84"/>
        <v>3</v>
      </c>
      <c r="S1064" s="1">
        <v>73</v>
      </c>
      <c r="T1064" s="1" t="str">
        <f t="shared" si="82"/>
        <v>2</v>
      </c>
      <c r="U1064" s="1">
        <v>-32.917442000000001</v>
      </c>
      <c r="V1064" s="3">
        <v>151.734207</v>
      </c>
    </row>
    <row r="1065" spans="1:22" x14ac:dyDescent="0.35">
      <c r="A1065" s="22" t="s">
        <v>3277</v>
      </c>
      <c r="B1065" s="1" t="s">
        <v>3278</v>
      </c>
      <c r="C1065" s="1" t="s">
        <v>3279</v>
      </c>
      <c r="D1065" s="1" t="s">
        <v>191</v>
      </c>
      <c r="E1065" s="1" t="s">
        <v>75</v>
      </c>
      <c r="F1065" s="1" t="s">
        <v>47</v>
      </c>
      <c r="G1065" s="1">
        <f t="shared" si="80"/>
        <v>1</v>
      </c>
      <c r="H1065" s="1" t="s">
        <v>63</v>
      </c>
      <c r="I1065" s="1" t="s">
        <v>49</v>
      </c>
      <c r="J1065" s="23" t="s">
        <v>50</v>
      </c>
      <c r="K1065" s="2" t="s">
        <v>51</v>
      </c>
      <c r="L1065" s="1">
        <v>141</v>
      </c>
      <c r="M1065" s="1">
        <v>25</v>
      </c>
      <c r="N1065" s="1" t="str">
        <f t="shared" si="83"/>
        <v>Published</v>
      </c>
      <c r="O1065" s="1">
        <f t="shared" si="81"/>
        <v>35.25</v>
      </c>
      <c r="P1065" s="1">
        <v>8</v>
      </c>
      <c r="Q1065" s="1">
        <v>935</v>
      </c>
      <c r="R1065" s="1" t="str">
        <f t="shared" si="84"/>
        <v>2</v>
      </c>
      <c r="S1065" s="1">
        <v>121</v>
      </c>
      <c r="T1065" s="1" t="str">
        <f t="shared" si="82"/>
        <v>2</v>
      </c>
      <c r="U1065" s="1">
        <v>-33.057485999999997</v>
      </c>
      <c r="V1065" s="3">
        <v>151.65013099999999</v>
      </c>
    </row>
    <row r="1066" spans="1:22" x14ac:dyDescent="0.35">
      <c r="A1066" s="22" t="s">
        <v>3280</v>
      </c>
      <c r="B1066" s="1" t="s">
        <v>3281</v>
      </c>
      <c r="C1066" s="1" t="s">
        <v>3282</v>
      </c>
      <c r="D1066" s="1" t="s">
        <v>872</v>
      </c>
      <c r="E1066" s="1" t="s">
        <v>261</v>
      </c>
      <c r="F1066" s="1" t="s">
        <v>69</v>
      </c>
      <c r="G1066" s="1">
        <f t="shared" si="80"/>
        <v>3</v>
      </c>
      <c r="H1066" s="1" t="s">
        <v>58</v>
      </c>
      <c r="I1066" s="1" t="s">
        <v>49</v>
      </c>
      <c r="J1066" s="23" t="s">
        <v>50</v>
      </c>
      <c r="K1066" s="2" t="s">
        <v>51</v>
      </c>
      <c r="L1066" s="1">
        <v>6</v>
      </c>
      <c r="M1066" s="1"/>
      <c r="N1066" s="1" t="str">
        <f t="shared" si="83"/>
        <v>Suppressed</v>
      </c>
      <c r="O1066" s="1" t="str">
        <f t="shared" si="81"/>
        <v/>
      </c>
      <c r="P1066" s="1">
        <v>0</v>
      </c>
      <c r="Q1066" s="1">
        <v>908</v>
      </c>
      <c r="R1066" s="1" t="str">
        <f t="shared" si="84"/>
        <v>2</v>
      </c>
      <c r="S1066" s="1">
        <v>151</v>
      </c>
      <c r="T1066" s="1" t="str">
        <f t="shared" si="82"/>
        <v>1</v>
      </c>
      <c r="U1066" s="1">
        <v>-33.040622999999997</v>
      </c>
      <c r="V1066" s="3">
        <v>150.21472700000001</v>
      </c>
    </row>
    <row r="1067" spans="1:22" x14ac:dyDescent="0.35">
      <c r="A1067" s="22" t="s">
        <v>3283</v>
      </c>
      <c r="B1067" s="1" t="s">
        <v>3284</v>
      </c>
      <c r="C1067" s="1" t="s">
        <v>3285</v>
      </c>
      <c r="D1067" s="1" t="s">
        <v>191</v>
      </c>
      <c r="E1067" s="1" t="s">
        <v>75</v>
      </c>
      <c r="F1067" s="1" t="s">
        <v>47</v>
      </c>
      <c r="G1067" s="1">
        <f t="shared" si="80"/>
        <v>1</v>
      </c>
      <c r="H1067" s="1" t="s">
        <v>63</v>
      </c>
      <c r="I1067" s="1" t="s">
        <v>49</v>
      </c>
      <c r="J1067" s="23" t="s">
        <v>50</v>
      </c>
      <c r="K1067" s="2" t="s">
        <v>51</v>
      </c>
      <c r="L1067" s="1">
        <v>46</v>
      </c>
      <c r="M1067" s="1">
        <v>22</v>
      </c>
      <c r="N1067" s="1" t="str">
        <f t="shared" si="83"/>
        <v>Published</v>
      </c>
      <c r="O1067" s="1">
        <f t="shared" si="81"/>
        <v>10.119999999999999</v>
      </c>
      <c r="P1067" s="1"/>
      <c r="Q1067" s="1">
        <v>934</v>
      </c>
      <c r="R1067" s="1" t="str">
        <f t="shared" si="84"/>
        <v>2</v>
      </c>
      <c r="S1067" s="1">
        <v>130</v>
      </c>
      <c r="T1067" s="1" t="str">
        <f t="shared" si="82"/>
        <v>1</v>
      </c>
      <c r="U1067" s="1">
        <v>-32.938493000000001</v>
      </c>
      <c r="V1067" s="3">
        <v>151.62953300000001</v>
      </c>
    </row>
    <row r="1068" spans="1:22" x14ac:dyDescent="0.35">
      <c r="A1068" s="22" t="s">
        <v>3286</v>
      </c>
      <c r="B1068" s="1" t="s">
        <v>3287</v>
      </c>
      <c r="C1068" s="1" t="s">
        <v>223</v>
      </c>
      <c r="D1068" s="1" t="s">
        <v>224</v>
      </c>
      <c r="E1068" s="1" t="s">
        <v>225</v>
      </c>
      <c r="F1068" s="1" t="s">
        <v>47</v>
      </c>
      <c r="G1068" s="1">
        <f t="shared" si="80"/>
        <v>1</v>
      </c>
      <c r="H1068" s="1" t="s">
        <v>48</v>
      </c>
      <c r="I1068" s="1" t="s">
        <v>49</v>
      </c>
      <c r="J1068" s="23" t="s">
        <v>50</v>
      </c>
      <c r="K1068" s="2" t="s">
        <v>51</v>
      </c>
      <c r="L1068" s="1">
        <v>207</v>
      </c>
      <c r="M1068" s="1">
        <v>3</v>
      </c>
      <c r="N1068" s="1" t="str">
        <f t="shared" si="83"/>
        <v>Published</v>
      </c>
      <c r="O1068" s="1">
        <f t="shared" si="81"/>
        <v>6.21</v>
      </c>
      <c r="P1068" s="1">
        <v>47</v>
      </c>
      <c r="Q1068" s="1">
        <v>1085</v>
      </c>
      <c r="R1068" s="1" t="str">
        <f t="shared" si="84"/>
        <v>3</v>
      </c>
      <c r="S1068" s="1">
        <v>34</v>
      </c>
      <c r="T1068" s="1" t="str">
        <f t="shared" si="82"/>
        <v>2</v>
      </c>
      <c r="U1068" s="1">
        <v>-33.942104</v>
      </c>
      <c r="V1068" s="3">
        <v>151.21417199999999</v>
      </c>
    </row>
    <row r="1069" spans="1:22" x14ac:dyDescent="0.35">
      <c r="A1069" s="22" t="s">
        <v>3288</v>
      </c>
      <c r="B1069" s="1" t="s">
        <v>3289</v>
      </c>
      <c r="C1069" s="1" t="s">
        <v>3290</v>
      </c>
      <c r="D1069" s="1" t="s">
        <v>203</v>
      </c>
      <c r="E1069" s="1" t="s">
        <v>204</v>
      </c>
      <c r="F1069" s="1" t="s">
        <v>47</v>
      </c>
      <c r="G1069" s="1">
        <f t="shared" si="80"/>
        <v>1</v>
      </c>
      <c r="H1069" s="1" t="s">
        <v>148</v>
      </c>
      <c r="I1069" s="1" t="s">
        <v>49</v>
      </c>
      <c r="J1069" s="23" t="s">
        <v>50</v>
      </c>
      <c r="K1069" s="2" t="s">
        <v>51</v>
      </c>
      <c r="L1069" s="1">
        <v>580</v>
      </c>
      <c r="M1069" s="1">
        <v>2</v>
      </c>
      <c r="N1069" s="1" t="str">
        <f t="shared" si="83"/>
        <v>Published</v>
      </c>
      <c r="O1069" s="1">
        <f t="shared" si="81"/>
        <v>11.6</v>
      </c>
      <c r="P1069" s="1">
        <v>17</v>
      </c>
      <c r="Q1069" s="1">
        <v>1076</v>
      </c>
      <c r="R1069" s="1" t="str">
        <f t="shared" si="84"/>
        <v>3</v>
      </c>
      <c r="S1069" s="1">
        <v>49</v>
      </c>
      <c r="T1069" s="1" t="str">
        <f t="shared" si="82"/>
        <v>3</v>
      </c>
      <c r="U1069" s="1">
        <v>-33.699095</v>
      </c>
      <c r="V1069" s="3">
        <v>151.298134</v>
      </c>
    </row>
    <row r="1070" spans="1:22" x14ac:dyDescent="0.35">
      <c r="A1070" s="22" t="s">
        <v>3291</v>
      </c>
      <c r="B1070" s="1" t="s">
        <v>3292</v>
      </c>
      <c r="C1070" s="1" t="s">
        <v>1376</v>
      </c>
      <c r="D1070" s="1" t="s">
        <v>1376</v>
      </c>
      <c r="E1070" s="1" t="s">
        <v>147</v>
      </c>
      <c r="F1070" s="1" t="s">
        <v>47</v>
      </c>
      <c r="G1070" s="1">
        <f t="shared" si="80"/>
        <v>1</v>
      </c>
      <c r="H1070" s="1" t="s">
        <v>148</v>
      </c>
      <c r="I1070" s="1" t="s">
        <v>49</v>
      </c>
      <c r="J1070" s="23" t="s">
        <v>50</v>
      </c>
      <c r="K1070" s="2" t="s">
        <v>51</v>
      </c>
      <c r="L1070" s="1">
        <v>474</v>
      </c>
      <c r="M1070" s="1"/>
      <c r="N1070" s="1" t="str">
        <f t="shared" si="83"/>
        <v>Suppressed</v>
      </c>
      <c r="O1070" s="1" t="str">
        <f t="shared" si="81"/>
        <v/>
      </c>
      <c r="P1070" s="1">
        <v>41</v>
      </c>
      <c r="Q1070" s="1">
        <v>1163</v>
      </c>
      <c r="R1070" s="1" t="str">
        <f t="shared" si="84"/>
        <v>4</v>
      </c>
      <c r="S1070" s="1">
        <v>2</v>
      </c>
      <c r="T1070" s="1" t="str">
        <f t="shared" si="82"/>
        <v>3</v>
      </c>
      <c r="U1070" s="1">
        <v>-33.809885999999999</v>
      </c>
      <c r="V1070" s="3">
        <v>151.15200300000001</v>
      </c>
    </row>
    <row r="1071" spans="1:22" x14ac:dyDescent="0.35">
      <c r="A1071" s="22" t="s">
        <v>3293</v>
      </c>
      <c r="B1071" s="1" t="s">
        <v>3294</v>
      </c>
      <c r="C1071" s="1" t="s">
        <v>2628</v>
      </c>
      <c r="D1071" s="1" t="s">
        <v>275</v>
      </c>
      <c r="E1071" s="1" t="s">
        <v>276</v>
      </c>
      <c r="F1071" s="1" t="s">
        <v>57</v>
      </c>
      <c r="G1071" s="1">
        <f t="shared" si="80"/>
        <v>2</v>
      </c>
      <c r="H1071" s="1" t="s">
        <v>58</v>
      </c>
      <c r="I1071" s="1" t="s">
        <v>49</v>
      </c>
      <c r="J1071" s="23" t="s">
        <v>50</v>
      </c>
      <c r="K1071" s="2" t="s">
        <v>51</v>
      </c>
      <c r="L1071" s="1">
        <v>409</v>
      </c>
      <c r="M1071" s="1">
        <v>32</v>
      </c>
      <c r="N1071" s="1" t="str">
        <f t="shared" si="83"/>
        <v>Published</v>
      </c>
      <c r="O1071" s="1">
        <f t="shared" si="81"/>
        <v>130.88</v>
      </c>
      <c r="P1071" s="1">
        <v>13</v>
      </c>
      <c r="Q1071" s="1">
        <v>910</v>
      </c>
      <c r="R1071" s="1" t="str">
        <f t="shared" si="84"/>
        <v>2</v>
      </c>
      <c r="S1071" s="1">
        <v>124</v>
      </c>
      <c r="T1071" s="1" t="str">
        <f t="shared" si="82"/>
        <v>3</v>
      </c>
      <c r="U1071" s="1">
        <v>-31.907599000000001</v>
      </c>
      <c r="V1071" s="3">
        <v>152.444547</v>
      </c>
    </row>
    <row r="1072" spans="1:22" x14ac:dyDescent="0.35">
      <c r="A1072" s="22" t="s">
        <v>3295</v>
      </c>
      <c r="B1072" s="1" t="s">
        <v>3296</v>
      </c>
      <c r="C1072" s="1" t="s">
        <v>3297</v>
      </c>
      <c r="D1072" s="1" t="s">
        <v>963</v>
      </c>
      <c r="E1072" s="1" t="s">
        <v>96</v>
      </c>
      <c r="F1072" s="1" t="s">
        <v>241</v>
      </c>
      <c r="G1072" s="1">
        <f t="shared" si="80"/>
        <v>4</v>
      </c>
      <c r="H1072" s="1" t="s">
        <v>70</v>
      </c>
      <c r="I1072" s="1" t="s">
        <v>49</v>
      </c>
      <c r="J1072" s="23" t="s">
        <v>50</v>
      </c>
      <c r="K1072" s="2" t="s">
        <v>51</v>
      </c>
      <c r="L1072" s="1">
        <v>20</v>
      </c>
      <c r="M1072" s="1">
        <v>0</v>
      </c>
      <c r="N1072" s="1" t="str">
        <f t="shared" si="83"/>
        <v>Published</v>
      </c>
      <c r="O1072" s="1">
        <f t="shared" si="81"/>
        <v>0</v>
      </c>
      <c r="P1072" s="1">
        <v>0</v>
      </c>
      <c r="Q1072" s="1">
        <v>967</v>
      </c>
      <c r="R1072" s="1" t="str">
        <f t="shared" si="84"/>
        <v>2</v>
      </c>
      <c r="S1072" s="1">
        <v>132</v>
      </c>
      <c r="T1072" s="1" t="str">
        <f t="shared" si="82"/>
        <v>1</v>
      </c>
      <c r="U1072" s="1">
        <v>-33.845011</v>
      </c>
      <c r="V1072" s="3">
        <v>142.01274100000001</v>
      </c>
    </row>
    <row r="1073" spans="1:22" x14ac:dyDescent="0.35">
      <c r="A1073" s="22" t="s">
        <v>3298</v>
      </c>
      <c r="B1073" s="1" t="s">
        <v>3299</v>
      </c>
      <c r="C1073" s="1" t="s">
        <v>3300</v>
      </c>
      <c r="D1073" s="1" t="s">
        <v>737</v>
      </c>
      <c r="E1073" s="1" t="s">
        <v>738</v>
      </c>
      <c r="F1073" s="1" t="s">
        <v>47</v>
      </c>
      <c r="G1073" s="1">
        <f t="shared" si="80"/>
        <v>1</v>
      </c>
      <c r="H1073" s="1" t="s">
        <v>182</v>
      </c>
      <c r="I1073" s="1" t="s">
        <v>49</v>
      </c>
      <c r="J1073" s="23" t="s">
        <v>50</v>
      </c>
      <c r="K1073" s="2" t="s">
        <v>51</v>
      </c>
      <c r="L1073" s="1">
        <v>353</v>
      </c>
      <c r="M1073" s="1">
        <v>2</v>
      </c>
      <c r="N1073" s="1" t="str">
        <f t="shared" si="83"/>
        <v>Published</v>
      </c>
      <c r="O1073" s="1">
        <f t="shared" si="81"/>
        <v>7.0600000000000005</v>
      </c>
      <c r="P1073" s="1">
        <v>16</v>
      </c>
      <c r="Q1073" s="1">
        <v>1113</v>
      </c>
      <c r="R1073" s="1" t="str">
        <f t="shared" si="84"/>
        <v>4</v>
      </c>
      <c r="S1073" s="1">
        <v>31</v>
      </c>
      <c r="T1073" s="1" t="str">
        <f t="shared" si="82"/>
        <v>3</v>
      </c>
      <c r="U1073" s="1">
        <v>-34.058655999999999</v>
      </c>
      <c r="V1073" s="3">
        <v>151.07230000000001</v>
      </c>
    </row>
    <row r="1074" spans="1:22" x14ac:dyDescent="0.35">
      <c r="A1074" s="22" t="s">
        <v>3301</v>
      </c>
      <c r="B1074" s="1" t="s">
        <v>3302</v>
      </c>
      <c r="C1074" s="1" t="s">
        <v>3303</v>
      </c>
      <c r="D1074" s="1" t="s">
        <v>1776</v>
      </c>
      <c r="E1074" s="1" t="s">
        <v>147</v>
      </c>
      <c r="F1074" s="1" t="s">
        <v>47</v>
      </c>
      <c r="G1074" s="1">
        <f t="shared" si="80"/>
        <v>1</v>
      </c>
      <c r="H1074" s="1" t="s">
        <v>148</v>
      </c>
      <c r="I1074" s="1" t="s">
        <v>49</v>
      </c>
      <c r="J1074" s="23" t="s">
        <v>50</v>
      </c>
      <c r="K1074" s="2" t="s">
        <v>51</v>
      </c>
      <c r="L1074" s="1">
        <v>273</v>
      </c>
      <c r="M1074" s="1">
        <v>0</v>
      </c>
      <c r="N1074" s="1" t="str">
        <f t="shared" si="83"/>
        <v>Published</v>
      </c>
      <c r="O1074" s="1">
        <f t="shared" si="81"/>
        <v>0</v>
      </c>
      <c r="P1074" s="1">
        <v>73</v>
      </c>
      <c r="Q1074" s="1">
        <v>1148</v>
      </c>
      <c r="R1074" s="1" t="str">
        <f t="shared" si="84"/>
        <v>4</v>
      </c>
      <c r="S1074" s="1">
        <v>0</v>
      </c>
      <c r="T1074" s="1" t="str">
        <f t="shared" si="82"/>
        <v>2</v>
      </c>
      <c r="U1074" s="1">
        <v>-33.765473</v>
      </c>
      <c r="V1074" s="3">
        <v>151.148436</v>
      </c>
    </row>
    <row r="1075" spans="1:22" x14ac:dyDescent="0.35">
      <c r="A1075" s="22" t="s">
        <v>3304</v>
      </c>
      <c r="B1075" s="1" t="s">
        <v>3305</v>
      </c>
      <c r="C1075" s="1" t="s">
        <v>3306</v>
      </c>
      <c r="D1075" s="1" t="s">
        <v>146</v>
      </c>
      <c r="E1075" s="1" t="s">
        <v>147</v>
      </c>
      <c r="F1075" s="1" t="s">
        <v>47</v>
      </c>
      <c r="G1075" s="1">
        <f t="shared" si="80"/>
        <v>1</v>
      </c>
      <c r="H1075" s="1" t="s">
        <v>148</v>
      </c>
      <c r="I1075" s="1" t="s">
        <v>49</v>
      </c>
      <c r="J1075" s="23" t="s">
        <v>50</v>
      </c>
      <c r="K1075" s="2" t="s">
        <v>51</v>
      </c>
      <c r="L1075" s="1">
        <v>273</v>
      </c>
      <c r="M1075" s="1"/>
      <c r="N1075" s="1" t="str">
        <f t="shared" si="83"/>
        <v>Suppressed</v>
      </c>
      <c r="O1075" s="1" t="str">
        <f t="shared" si="81"/>
        <v/>
      </c>
      <c r="P1075" s="1">
        <v>37</v>
      </c>
      <c r="Q1075" s="1">
        <v>1167</v>
      </c>
      <c r="R1075" s="1" t="str">
        <f t="shared" si="84"/>
        <v>4</v>
      </c>
      <c r="S1075" s="1">
        <v>0</v>
      </c>
      <c r="T1075" s="1" t="str">
        <f t="shared" si="82"/>
        <v>2</v>
      </c>
      <c r="U1075" s="1">
        <v>-33.783374999999999</v>
      </c>
      <c r="V1075" s="3">
        <v>151.20197300000001</v>
      </c>
    </row>
    <row r="1076" spans="1:22" x14ac:dyDescent="0.35">
      <c r="A1076" s="22" t="s">
        <v>3307</v>
      </c>
      <c r="B1076" s="1" t="s">
        <v>3308</v>
      </c>
      <c r="C1076" s="1" t="s">
        <v>95</v>
      </c>
      <c r="D1076" s="1" t="s">
        <v>95</v>
      </c>
      <c r="E1076" s="1" t="s">
        <v>96</v>
      </c>
      <c r="F1076" s="1" t="s">
        <v>57</v>
      </c>
      <c r="G1076" s="1">
        <f t="shared" si="80"/>
        <v>2</v>
      </c>
      <c r="H1076" s="1" t="s">
        <v>70</v>
      </c>
      <c r="I1076" s="1" t="s">
        <v>49</v>
      </c>
      <c r="J1076" s="23" t="s">
        <v>50</v>
      </c>
      <c r="K1076" s="2" t="s">
        <v>51</v>
      </c>
      <c r="L1076" s="1">
        <v>285</v>
      </c>
      <c r="M1076" s="1">
        <v>25</v>
      </c>
      <c r="N1076" s="1" t="str">
        <f t="shared" si="83"/>
        <v>Published</v>
      </c>
      <c r="O1076" s="1">
        <f t="shared" si="81"/>
        <v>71.25</v>
      </c>
      <c r="P1076" s="1">
        <v>19</v>
      </c>
      <c r="Q1076" s="1">
        <v>893</v>
      </c>
      <c r="R1076" s="1" t="str">
        <f t="shared" si="84"/>
        <v>1</v>
      </c>
      <c r="S1076" s="1">
        <v>156</v>
      </c>
      <c r="T1076" s="1" t="str">
        <f t="shared" si="82"/>
        <v>2</v>
      </c>
      <c r="U1076" s="1">
        <v>-36.064177000000001</v>
      </c>
      <c r="V1076" s="3">
        <v>146.932402</v>
      </c>
    </row>
    <row r="1077" spans="1:22" x14ac:dyDescent="0.35">
      <c r="A1077" s="22" t="s">
        <v>3309</v>
      </c>
      <c r="B1077" s="1" t="s">
        <v>3310</v>
      </c>
      <c r="C1077" s="1" t="s">
        <v>3311</v>
      </c>
      <c r="D1077" s="1" t="s">
        <v>713</v>
      </c>
      <c r="E1077" s="1" t="s">
        <v>80</v>
      </c>
      <c r="F1077" s="1" t="s">
        <v>57</v>
      </c>
      <c r="G1077" s="1">
        <f t="shared" si="80"/>
        <v>2</v>
      </c>
      <c r="H1077" s="1" t="s">
        <v>70</v>
      </c>
      <c r="I1077" s="1" t="s">
        <v>49</v>
      </c>
      <c r="J1077" s="23" t="s">
        <v>50</v>
      </c>
      <c r="K1077" s="2" t="s">
        <v>51</v>
      </c>
      <c r="L1077" s="1">
        <v>52</v>
      </c>
      <c r="M1077" s="1"/>
      <c r="N1077" s="1" t="str">
        <f t="shared" si="83"/>
        <v>Suppressed</v>
      </c>
      <c r="O1077" s="1" t="str">
        <f t="shared" si="81"/>
        <v/>
      </c>
      <c r="P1077" s="1">
        <v>0</v>
      </c>
      <c r="Q1077" s="1">
        <v>1002</v>
      </c>
      <c r="R1077" s="1" t="str">
        <f t="shared" si="84"/>
        <v>3</v>
      </c>
      <c r="S1077" s="1">
        <v>111</v>
      </c>
      <c r="T1077" s="1" t="str">
        <f t="shared" si="82"/>
        <v>1</v>
      </c>
      <c r="U1077" s="1">
        <v>-35.150702150000001</v>
      </c>
      <c r="V1077" s="3">
        <v>147.30330559999999</v>
      </c>
    </row>
    <row r="1078" spans="1:22" x14ac:dyDescent="0.35">
      <c r="A1078" s="22" t="s">
        <v>3312</v>
      </c>
      <c r="B1078" s="1" t="s">
        <v>3313</v>
      </c>
      <c r="C1078" s="1" t="s">
        <v>3314</v>
      </c>
      <c r="D1078" s="1" t="s">
        <v>152</v>
      </c>
      <c r="E1078" s="1" t="s">
        <v>229</v>
      </c>
      <c r="F1078" s="1" t="s">
        <v>47</v>
      </c>
      <c r="G1078" s="1">
        <f t="shared" si="80"/>
        <v>1</v>
      </c>
      <c r="H1078" s="1" t="s">
        <v>182</v>
      </c>
      <c r="I1078" s="1" t="s">
        <v>49</v>
      </c>
      <c r="J1078" s="23" t="s">
        <v>50</v>
      </c>
      <c r="K1078" s="2" t="s">
        <v>51</v>
      </c>
      <c r="L1078" s="1">
        <v>130</v>
      </c>
      <c r="M1078" s="1">
        <v>5</v>
      </c>
      <c r="N1078" s="1" t="str">
        <f t="shared" si="83"/>
        <v>Published</v>
      </c>
      <c r="O1078" s="1">
        <f t="shared" si="81"/>
        <v>6.5</v>
      </c>
      <c r="P1078" s="1">
        <v>68</v>
      </c>
      <c r="Q1078" s="1">
        <v>986</v>
      </c>
      <c r="R1078" s="1" t="str">
        <f t="shared" si="84"/>
        <v>2</v>
      </c>
      <c r="S1078" s="1">
        <v>115</v>
      </c>
      <c r="T1078" s="1" t="str">
        <f t="shared" si="82"/>
        <v>2</v>
      </c>
      <c r="U1078" s="1">
        <v>-33.957953000000003</v>
      </c>
      <c r="V1078" s="3">
        <v>150.991975</v>
      </c>
    </row>
    <row r="1079" spans="1:22" x14ac:dyDescent="0.35">
      <c r="A1079" s="22" t="s">
        <v>3315</v>
      </c>
      <c r="B1079" s="1" t="s">
        <v>3316</v>
      </c>
      <c r="C1079" s="1" t="s">
        <v>3317</v>
      </c>
      <c r="D1079" s="1" t="s">
        <v>203</v>
      </c>
      <c r="E1079" s="1" t="s">
        <v>204</v>
      </c>
      <c r="F1079" s="1" t="s">
        <v>47</v>
      </c>
      <c r="G1079" s="1">
        <f t="shared" si="80"/>
        <v>1</v>
      </c>
      <c r="H1079" s="1" t="s">
        <v>148</v>
      </c>
      <c r="I1079" s="1" t="s">
        <v>49</v>
      </c>
      <c r="J1079" s="23" t="s">
        <v>50</v>
      </c>
      <c r="K1079" s="2" t="s">
        <v>51</v>
      </c>
      <c r="L1079" s="1">
        <v>699</v>
      </c>
      <c r="M1079" s="1">
        <v>1</v>
      </c>
      <c r="N1079" s="1" t="str">
        <f t="shared" si="83"/>
        <v>Published</v>
      </c>
      <c r="O1079" s="1">
        <f t="shared" si="81"/>
        <v>6.99</v>
      </c>
      <c r="P1079" s="1">
        <v>24</v>
      </c>
      <c r="Q1079" s="1">
        <v>1116</v>
      </c>
      <c r="R1079" s="1" t="str">
        <f t="shared" si="84"/>
        <v>4</v>
      </c>
      <c r="S1079" s="1">
        <v>24</v>
      </c>
      <c r="T1079" s="1" t="str">
        <f t="shared" si="82"/>
        <v>4</v>
      </c>
      <c r="U1079" s="1">
        <v>-33.764639000000003</v>
      </c>
      <c r="V1079" s="3">
        <v>151.28931399999999</v>
      </c>
    </row>
    <row r="1080" spans="1:22" x14ac:dyDescent="0.35">
      <c r="A1080" s="22" t="s">
        <v>3318</v>
      </c>
      <c r="B1080" s="1" t="s">
        <v>3319</v>
      </c>
      <c r="C1080" s="1" t="s">
        <v>3320</v>
      </c>
      <c r="D1080" s="1" t="s">
        <v>191</v>
      </c>
      <c r="E1080" s="1" t="s">
        <v>75</v>
      </c>
      <c r="F1080" s="1" t="s">
        <v>47</v>
      </c>
      <c r="G1080" s="1">
        <f t="shared" si="80"/>
        <v>1</v>
      </c>
      <c r="H1080" s="1" t="s">
        <v>63</v>
      </c>
      <c r="I1080" s="1" t="s">
        <v>49</v>
      </c>
      <c r="J1080" s="23" t="s">
        <v>50</v>
      </c>
      <c r="K1080" s="2" t="s">
        <v>51</v>
      </c>
      <c r="L1080" s="1">
        <v>160</v>
      </c>
      <c r="M1080" s="1">
        <v>17</v>
      </c>
      <c r="N1080" s="1" t="str">
        <f t="shared" si="83"/>
        <v>Published</v>
      </c>
      <c r="O1080" s="1">
        <f t="shared" si="81"/>
        <v>27.200000000000003</v>
      </c>
      <c r="P1080" s="1">
        <v>7</v>
      </c>
      <c r="Q1080" s="1">
        <v>946</v>
      </c>
      <c r="R1080" s="1" t="str">
        <f t="shared" si="84"/>
        <v>2</v>
      </c>
      <c r="S1080" s="1">
        <v>127</v>
      </c>
      <c r="T1080" s="1" t="str">
        <f t="shared" si="82"/>
        <v>2</v>
      </c>
      <c r="U1080" s="1">
        <v>-33.019973999999998</v>
      </c>
      <c r="V1080" s="3">
        <v>151.671344</v>
      </c>
    </row>
    <row r="1081" spans="1:22" x14ac:dyDescent="0.35">
      <c r="A1081" s="22" t="s">
        <v>3321</v>
      </c>
      <c r="B1081" s="1" t="s">
        <v>3322</v>
      </c>
      <c r="C1081" s="1" t="s">
        <v>3323</v>
      </c>
      <c r="D1081" s="1" t="s">
        <v>837</v>
      </c>
      <c r="E1081" s="1" t="s">
        <v>838</v>
      </c>
      <c r="F1081" s="1" t="s">
        <v>47</v>
      </c>
      <c r="G1081" s="1">
        <f t="shared" si="80"/>
        <v>1</v>
      </c>
      <c r="H1081" s="1" t="s">
        <v>182</v>
      </c>
      <c r="I1081" s="1" t="s">
        <v>49</v>
      </c>
      <c r="J1081" s="23" t="s">
        <v>50</v>
      </c>
      <c r="K1081" s="2" t="s">
        <v>51</v>
      </c>
      <c r="L1081" s="1">
        <v>131</v>
      </c>
      <c r="M1081" s="1"/>
      <c r="N1081" s="1" t="str">
        <f t="shared" si="83"/>
        <v>Suppressed</v>
      </c>
      <c r="O1081" s="1" t="str">
        <f t="shared" si="81"/>
        <v/>
      </c>
      <c r="P1081" s="1">
        <v>65</v>
      </c>
      <c r="Q1081" s="1">
        <v>1033</v>
      </c>
      <c r="R1081" s="1" t="str">
        <f t="shared" si="84"/>
        <v>3</v>
      </c>
      <c r="S1081" s="1">
        <v>86</v>
      </c>
      <c r="T1081" s="1" t="str">
        <f t="shared" si="82"/>
        <v>2</v>
      </c>
      <c r="U1081" s="1">
        <v>-33.770031000000003</v>
      </c>
      <c r="V1081" s="3">
        <v>150.937488</v>
      </c>
    </row>
    <row r="1082" spans="1:22" x14ac:dyDescent="0.35">
      <c r="A1082" s="22" t="s">
        <v>3324</v>
      </c>
      <c r="B1082" s="1" t="s">
        <v>3325</v>
      </c>
      <c r="C1082" s="1" t="s">
        <v>3326</v>
      </c>
      <c r="D1082" s="1" t="s">
        <v>74</v>
      </c>
      <c r="E1082" s="1" t="s">
        <v>75</v>
      </c>
      <c r="F1082" s="1" t="s">
        <v>47</v>
      </c>
      <c r="G1082" s="1">
        <f t="shared" si="80"/>
        <v>1</v>
      </c>
      <c r="H1082" s="1" t="s">
        <v>63</v>
      </c>
      <c r="I1082" s="1" t="s">
        <v>49</v>
      </c>
      <c r="J1082" s="23" t="s">
        <v>50</v>
      </c>
      <c r="K1082" s="2" t="s">
        <v>51</v>
      </c>
      <c r="L1082" s="1">
        <v>113</v>
      </c>
      <c r="M1082" s="1">
        <v>21</v>
      </c>
      <c r="N1082" s="1" t="str">
        <f t="shared" si="83"/>
        <v>Published</v>
      </c>
      <c r="O1082" s="1">
        <f t="shared" si="81"/>
        <v>23.73</v>
      </c>
      <c r="P1082" s="1">
        <v>31</v>
      </c>
      <c r="Q1082" s="1">
        <v>963</v>
      </c>
      <c r="R1082" s="1" t="str">
        <f t="shared" si="84"/>
        <v>2</v>
      </c>
      <c r="S1082" s="1">
        <v>101</v>
      </c>
      <c r="T1082" s="1" t="str">
        <f t="shared" si="82"/>
        <v>2</v>
      </c>
      <c r="U1082" s="1">
        <v>-32.897978999999999</v>
      </c>
      <c r="V1082" s="3">
        <v>151.71625800000001</v>
      </c>
    </row>
    <row r="1083" spans="1:22" x14ac:dyDescent="0.35">
      <c r="A1083" s="22" t="s">
        <v>3327</v>
      </c>
      <c r="B1083" s="1" t="s">
        <v>3328</v>
      </c>
      <c r="C1083" s="1" t="s">
        <v>3329</v>
      </c>
      <c r="D1083" s="1" t="s">
        <v>1003</v>
      </c>
      <c r="E1083" s="1" t="s">
        <v>225</v>
      </c>
      <c r="F1083" s="1" t="s">
        <v>47</v>
      </c>
      <c r="G1083" s="1">
        <f t="shared" si="80"/>
        <v>1</v>
      </c>
      <c r="H1083" s="1" t="s">
        <v>48</v>
      </c>
      <c r="I1083" s="1" t="s">
        <v>49</v>
      </c>
      <c r="J1083" s="23" t="s">
        <v>50</v>
      </c>
      <c r="K1083" s="2" t="s">
        <v>51</v>
      </c>
      <c r="L1083" s="1">
        <v>288</v>
      </c>
      <c r="M1083" s="1"/>
      <c r="N1083" s="1" t="str">
        <f t="shared" si="83"/>
        <v>Suppressed</v>
      </c>
      <c r="O1083" s="1" t="str">
        <f t="shared" si="81"/>
        <v/>
      </c>
      <c r="P1083" s="1">
        <v>49</v>
      </c>
      <c r="Q1083" s="1">
        <v>1114</v>
      </c>
      <c r="R1083" s="1" t="str">
        <f t="shared" si="84"/>
        <v>4</v>
      </c>
      <c r="S1083" s="1">
        <v>24</v>
      </c>
      <c r="T1083" s="1" t="str">
        <f t="shared" si="82"/>
        <v>2</v>
      </c>
      <c r="U1083" s="1">
        <v>-33.882252999999999</v>
      </c>
      <c r="V1083" s="3">
        <v>151.21521999999999</v>
      </c>
    </row>
    <row r="1084" spans="1:22" x14ac:dyDescent="0.35">
      <c r="A1084" s="22" t="s">
        <v>3330</v>
      </c>
      <c r="B1084" s="1" t="s">
        <v>3331</v>
      </c>
      <c r="C1084" s="1" t="s">
        <v>3332</v>
      </c>
      <c r="D1084" s="1" t="s">
        <v>191</v>
      </c>
      <c r="E1084" s="1" t="s">
        <v>75</v>
      </c>
      <c r="F1084" s="1" t="s">
        <v>47</v>
      </c>
      <c r="G1084" s="1">
        <f t="shared" si="80"/>
        <v>1</v>
      </c>
      <c r="H1084" s="1" t="s">
        <v>63</v>
      </c>
      <c r="I1084" s="1" t="s">
        <v>49</v>
      </c>
      <c r="J1084" s="23" t="s">
        <v>50</v>
      </c>
      <c r="K1084" s="2" t="s">
        <v>51</v>
      </c>
      <c r="L1084" s="1">
        <v>166</v>
      </c>
      <c r="M1084" s="1">
        <v>23</v>
      </c>
      <c r="N1084" s="1" t="str">
        <f t="shared" si="83"/>
        <v>Published</v>
      </c>
      <c r="O1084" s="1">
        <f t="shared" si="81"/>
        <v>38.18</v>
      </c>
      <c r="P1084" s="1">
        <v>15</v>
      </c>
      <c r="Q1084" s="1">
        <v>940</v>
      </c>
      <c r="R1084" s="1" t="str">
        <f t="shared" si="84"/>
        <v>2</v>
      </c>
      <c r="S1084" s="1">
        <v>124</v>
      </c>
      <c r="T1084" s="1" t="str">
        <f t="shared" si="82"/>
        <v>2</v>
      </c>
      <c r="U1084" s="1">
        <v>-32.977049000000001</v>
      </c>
      <c r="V1084" s="3">
        <v>151.66862</v>
      </c>
    </row>
    <row r="1085" spans="1:22" x14ac:dyDescent="0.35">
      <c r="A1085" s="22" t="s">
        <v>3333</v>
      </c>
      <c r="B1085" s="1" t="s">
        <v>3334</v>
      </c>
      <c r="C1085" s="1" t="s">
        <v>3150</v>
      </c>
      <c r="D1085" s="1" t="s">
        <v>1776</v>
      </c>
      <c r="E1085" s="1" t="s">
        <v>147</v>
      </c>
      <c r="F1085" s="1" t="s">
        <v>47</v>
      </c>
      <c r="G1085" s="1">
        <f t="shared" si="80"/>
        <v>1</v>
      </c>
      <c r="H1085" s="1" t="s">
        <v>148</v>
      </c>
      <c r="I1085" s="1" t="s">
        <v>49</v>
      </c>
      <c r="J1085" s="23" t="s">
        <v>50</v>
      </c>
      <c r="K1085" s="2" t="s">
        <v>51</v>
      </c>
      <c r="L1085" s="1">
        <v>424</v>
      </c>
      <c r="M1085" s="1"/>
      <c r="N1085" s="1" t="str">
        <f t="shared" si="83"/>
        <v>Suppressed</v>
      </c>
      <c r="O1085" s="1" t="str">
        <f t="shared" si="81"/>
        <v/>
      </c>
      <c r="P1085" s="1">
        <v>75</v>
      </c>
      <c r="Q1085" s="1">
        <v>1150</v>
      </c>
      <c r="R1085" s="1" t="str">
        <f t="shared" si="84"/>
        <v>4</v>
      </c>
      <c r="S1085" s="1">
        <v>1</v>
      </c>
      <c r="T1085" s="1" t="str">
        <f t="shared" si="82"/>
        <v>3</v>
      </c>
      <c r="U1085" s="1">
        <v>-33.760317999999998</v>
      </c>
      <c r="V1085" s="3">
        <v>151.13922299999999</v>
      </c>
    </row>
    <row r="1086" spans="1:22" x14ac:dyDescent="0.35">
      <c r="A1086" s="22" t="s">
        <v>3335</v>
      </c>
      <c r="B1086" s="1" t="s">
        <v>3336</v>
      </c>
      <c r="C1086" s="1" t="s">
        <v>385</v>
      </c>
      <c r="D1086" s="1" t="s">
        <v>152</v>
      </c>
      <c r="E1086" s="1" t="s">
        <v>229</v>
      </c>
      <c r="F1086" s="1" t="s">
        <v>47</v>
      </c>
      <c r="G1086" s="1">
        <f t="shared" si="80"/>
        <v>1</v>
      </c>
      <c r="H1086" s="1" t="s">
        <v>48</v>
      </c>
      <c r="I1086" s="1" t="s">
        <v>49</v>
      </c>
      <c r="J1086" s="23" t="s">
        <v>50</v>
      </c>
      <c r="K1086" s="2" t="s">
        <v>51</v>
      </c>
      <c r="L1086" s="1">
        <v>352</v>
      </c>
      <c r="M1086" s="1">
        <v>2</v>
      </c>
      <c r="N1086" s="1" t="str">
        <f t="shared" si="83"/>
        <v>Published</v>
      </c>
      <c r="O1086" s="1">
        <f t="shared" si="81"/>
        <v>7.04</v>
      </c>
      <c r="P1086" s="1">
        <v>79</v>
      </c>
      <c r="Q1086" s="1">
        <v>1030</v>
      </c>
      <c r="R1086" s="1" t="str">
        <f t="shared" si="84"/>
        <v>3</v>
      </c>
      <c r="S1086" s="1">
        <v>87</v>
      </c>
      <c r="T1086" s="1" t="str">
        <f t="shared" si="82"/>
        <v>3</v>
      </c>
      <c r="U1086" s="1">
        <v>-33.940606000000002</v>
      </c>
      <c r="V1086" s="3">
        <v>151.074837</v>
      </c>
    </row>
    <row r="1087" spans="1:22" x14ac:dyDescent="0.35">
      <c r="A1087" s="22" t="s">
        <v>3337</v>
      </c>
      <c r="B1087" s="1" t="s">
        <v>3338</v>
      </c>
      <c r="C1087" s="1" t="s">
        <v>3339</v>
      </c>
      <c r="D1087" s="1" t="s">
        <v>268</v>
      </c>
      <c r="E1087" s="1" t="s">
        <v>96</v>
      </c>
      <c r="F1087" s="1" t="s">
        <v>57</v>
      </c>
      <c r="G1087" s="1">
        <f t="shared" si="80"/>
        <v>2</v>
      </c>
      <c r="H1087" s="1" t="s">
        <v>70</v>
      </c>
      <c r="I1087" s="1" t="s">
        <v>49</v>
      </c>
      <c r="J1087" s="23" t="s">
        <v>50</v>
      </c>
      <c r="K1087" s="2" t="s">
        <v>51</v>
      </c>
      <c r="L1087" s="1">
        <v>139</v>
      </c>
      <c r="M1087" s="1">
        <v>11</v>
      </c>
      <c r="N1087" s="1" t="str">
        <f t="shared" si="83"/>
        <v>Published</v>
      </c>
      <c r="O1087" s="1">
        <f t="shared" si="81"/>
        <v>15.290000000000001</v>
      </c>
      <c r="P1087" s="1">
        <v>5</v>
      </c>
      <c r="Q1087" s="1">
        <v>959</v>
      </c>
      <c r="R1087" s="1" t="str">
        <f t="shared" si="84"/>
        <v>2</v>
      </c>
      <c r="S1087" s="1">
        <v>108</v>
      </c>
      <c r="T1087" s="1" t="str">
        <f t="shared" si="82"/>
        <v>2</v>
      </c>
      <c r="U1087" s="1">
        <v>-35.639398999999997</v>
      </c>
      <c r="V1087" s="3">
        <v>145.57495900000001</v>
      </c>
    </row>
    <row r="1088" spans="1:22" x14ac:dyDescent="0.35">
      <c r="A1088" s="22" t="s">
        <v>3340</v>
      </c>
      <c r="B1088" s="1" t="s">
        <v>3341</v>
      </c>
      <c r="C1088" s="1" t="s">
        <v>3342</v>
      </c>
      <c r="D1088" s="1" t="s">
        <v>280</v>
      </c>
      <c r="E1088" s="1" t="s">
        <v>281</v>
      </c>
      <c r="F1088" s="1" t="s">
        <v>57</v>
      </c>
      <c r="G1088" s="1">
        <f t="shared" si="80"/>
        <v>2</v>
      </c>
      <c r="H1088" s="1" t="s">
        <v>92</v>
      </c>
      <c r="I1088" s="1" t="s">
        <v>49</v>
      </c>
      <c r="J1088" s="23" t="s">
        <v>50</v>
      </c>
      <c r="K1088" s="2" t="s">
        <v>51</v>
      </c>
      <c r="L1088" s="1">
        <v>198</v>
      </c>
      <c r="M1088" s="1">
        <v>30</v>
      </c>
      <c r="N1088" s="1" t="str">
        <f t="shared" si="83"/>
        <v>Published</v>
      </c>
      <c r="O1088" s="1">
        <f t="shared" si="81"/>
        <v>59.4</v>
      </c>
      <c r="P1088" s="1">
        <v>11</v>
      </c>
      <c r="Q1088" s="1">
        <v>908</v>
      </c>
      <c r="R1088" s="1" t="str">
        <f t="shared" si="84"/>
        <v>2</v>
      </c>
      <c r="S1088" s="1">
        <v>119</v>
      </c>
      <c r="T1088" s="1" t="str">
        <f t="shared" si="82"/>
        <v>2</v>
      </c>
      <c r="U1088" s="1">
        <v>-29.457217</v>
      </c>
      <c r="V1088" s="3">
        <v>153.20130900000001</v>
      </c>
    </row>
    <row r="1089" spans="1:22" x14ac:dyDescent="0.35">
      <c r="A1089" s="22" t="s">
        <v>3343</v>
      </c>
      <c r="B1089" s="1" t="s">
        <v>3344</v>
      </c>
      <c r="C1089" s="1" t="s">
        <v>3345</v>
      </c>
      <c r="D1089" s="1" t="s">
        <v>439</v>
      </c>
      <c r="E1089" s="1" t="s">
        <v>91</v>
      </c>
      <c r="F1089" s="1" t="s">
        <v>69</v>
      </c>
      <c r="G1089" s="1">
        <f t="shared" si="80"/>
        <v>3</v>
      </c>
      <c r="H1089" s="1" t="s">
        <v>92</v>
      </c>
      <c r="I1089" s="1" t="s">
        <v>49</v>
      </c>
      <c r="J1089" s="23" t="s">
        <v>50</v>
      </c>
      <c r="K1089" s="2" t="s">
        <v>51</v>
      </c>
      <c r="L1089" s="1">
        <v>277</v>
      </c>
      <c r="M1089" s="1">
        <v>37</v>
      </c>
      <c r="N1089" s="1" t="str">
        <f t="shared" si="83"/>
        <v>Published</v>
      </c>
      <c r="O1089" s="1">
        <f t="shared" si="81"/>
        <v>102.49</v>
      </c>
      <c r="P1089" s="1">
        <v>3</v>
      </c>
      <c r="Q1089" s="1">
        <v>904</v>
      </c>
      <c r="R1089" s="1" t="str">
        <f t="shared" si="84"/>
        <v>2</v>
      </c>
      <c r="S1089" s="1">
        <v>129</v>
      </c>
      <c r="T1089" s="1" t="str">
        <f t="shared" si="82"/>
        <v>2</v>
      </c>
      <c r="U1089" s="1">
        <v>-31.497558000000001</v>
      </c>
      <c r="V1089" s="3">
        <v>150.67803499999999</v>
      </c>
    </row>
    <row r="1090" spans="1:22" x14ac:dyDescent="0.35">
      <c r="A1090" s="22" t="s">
        <v>3346</v>
      </c>
      <c r="B1090" s="1" t="s">
        <v>3347</v>
      </c>
      <c r="C1090" s="1" t="s">
        <v>3348</v>
      </c>
      <c r="D1090" s="1" t="s">
        <v>115</v>
      </c>
      <c r="E1090" s="1" t="s">
        <v>225</v>
      </c>
      <c r="F1090" s="1" t="s">
        <v>47</v>
      </c>
      <c r="G1090" s="1">
        <f t="shared" ref="G1090:G1153" si="85">IF(F1090="Major Cities of Australia",1,IF(F1090="Inner Regional Australia",2,IF(F1090="Outer Regional Australia",3,IF(F1090="Remote Australia",4,IF(F1090="Very Remote Australia",5,6)))))</f>
        <v>1</v>
      </c>
      <c r="H1090" s="1" t="s">
        <v>48</v>
      </c>
      <c r="I1090" s="1" t="s">
        <v>49</v>
      </c>
      <c r="J1090" s="23" t="s">
        <v>50</v>
      </c>
      <c r="K1090" s="2" t="s">
        <v>51</v>
      </c>
      <c r="L1090" s="1">
        <v>346</v>
      </c>
      <c r="M1090" s="1">
        <v>4</v>
      </c>
      <c r="N1090" s="1" t="str">
        <f t="shared" si="83"/>
        <v>Published</v>
      </c>
      <c r="O1090" s="1">
        <f t="shared" ref="O1090:O1153" si="86">IF(OR(M1090="",L1090=""),"",M1090/100*L1090)</f>
        <v>13.84</v>
      </c>
      <c r="P1090" s="1">
        <v>42</v>
      </c>
      <c r="Q1090" s="1">
        <v>1096</v>
      </c>
      <c r="R1090" s="1" t="str">
        <f t="shared" si="84"/>
        <v>3</v>
      </c>
      <c r="S1090" s="1">
        <v>34</v>
      </c>
      <c r="T1090" s="1" t="str">
        <f t="shared" ref="T1090:T1153" si="87">IF(L1090="","No enrolment",IF(L1090&lt;100,"1",IF(L1090&lt;300,"2",IF(L1090&lt;600,"3",IF(L1090&lt;1000,"4","5")))))</f>
        <v>3</v>
      </c>
      <c r="U1090" s="1">
        <v>-33.920935</v>
      </c>
      <c r="V1090" s="3">
        <v>151.16099399999999</v>
      </c>
    </row>
    <row r="1091" spans="1:22" x14ac:dyDescent="0.35">
      <c r="A1091" s="22" t="s">
        <v>3349</v>
      </c>
      <c r="B1091" s="1" t="s">
        <v>3350</v>
      </c>
      <c r="C1091" s="1" t="s">
        <v>3351</v>
      </c>
      <c r="D1091" s="1" t="s">
        <v>489</v>
      </c>
      <c r="E1091" s="1" t="s">
        <v>56</v>
      </c>
      <c r="F1091" s="1" t="s">
        <v>47</v>
      </c>
      <c r="G1091" s="1">
        <f t="shared" si="85"/>
        <v>1</v>
      </c>
      <c r="H1091" s="1" t="s">
        <v>58</v>
      </c>
      <c r="I1091" s="1" t="s">
        <v>49</v>
      </c>
      <c r="J1091" s="23" t="s">
        <v>50</v>
      </c>
      <c r="K1091" s="2" t="s">
        <v>51</v>
      </c>
      <c r="L1091" s="1">
        <v>405</v>
      </c>
      <c r="M1091" s="1">
        <v>19</v>
      </c>
      <c r="N1091" s="1" t="str">
        <f t="shared" ref="N1091:N1154" si="88">IF(M1091="","Suppressed","Published")</f>
        <v>Published</v>
      </c>
      <c r="O1091" s="1">
        <f t="shared" si="86"/>
        <v>76.95</v>
      </c>
      <c r="P1091" s="1">
        <v>6</v>
      </c>
      <c r="Q1091" s="1">
        <v>936</v>
      </c>
      <c r="R1091" s="1" t="str">
        <f t="shared" ref="R1091:R1154" si="89">IF(Q1091="","No ICSEA",IF(Q1091&lt;900,"1",IF(Q1091&lt;1000,"2",IF(Q1091&lt;1100,"3","4"))))</f>
        <v>2</v>
      </c>
      <c r="S1091" s="1">
        <v>123</v>
      </c>
      <c r="T1091" s="1" t="str">
        <f t="shared" si="87"/>
        <v>3</v>
      </c>
      <c r="U1091" s="1">
        <v>-32.735460000000003</v>
      </c>
      <c r="V1091" s="3">
        <v>151.55330599999999</v>
      </c>
    </row>
    <row r="1092" spans="1:22" x14ac:dyDescent="0.35">
      <c r="A1092" s="22" t="s">
        <v>3352</v>
      </c>
      <c r="B1092" s="1" t="s">
        <v>3353</v>
      </c>
      <c r="C1092" s="1" t="s">
        <v>3354</v>
      </c>
      <c r="D1092" s="1" t="s">
        <v>203</v>
      </c>
      <c r="E1092" s="1" t="s">
        <v>204</v>
      </c>
      <c r="F1092" s="1" t="s">
        <v>47</v>
      </c>
      <c r="G1092" s="1">
        <f t="shared" si="85"/>
        <v>1</v>
      </c>
      <c r="H1092" s="1" t="s">
        <v>148</v>
      </c>
      <c r="I1092" s="1" t="s">
        <v>49</v>
      </c>
      <c r="J1092" s="23" t="s">
        <v>50</v>
      </c>
      <c r="K1092" s="2" t="s">
        <v>51</v>
      </c>
      <c r="L1092" s="1">
        <v>532</v>
      </c>
      <c r="M1092" s="1"/>
      <c r="N1092" s="1" t="str">
        <f t="shared" si="88"/>
        <v>Suppressed</v>
      </c>
      <c r="O1092" s="1" t="str">
        <f t="shared" si="86"/>
        <v/>
      </c>
      <c r="P1092" s="1">
        <v>39</v>
      </c>
      <c r="Q1092" s="1">
        <v>1151</v>
      </c>
      <c r="R1092" s="1" t="str">
        <f t="shared" si="89"/>
        <v>4</v>
      </c>
      <c r="S1092" s="1">
        <v>9</v>
      </c>
      <c r="T1092" s="1" t="str">
        <f t="shared" si="87"/>
        <v>3</v>
      </c>
      <c r="U1092" s="1">
        <v>-33.799399999999999</v>
      </c>
      <c r="V1092" s="3">
        <v>151.28762699999999</v>
      </c>
    </row>
    <row r="1093" spans="1:22" x14ac:dyDescent="0.35">
      <c r="A1093" s="22" t="s">
        <v>3355</v>
      </c>
      <c r="B1093" s="1" t="s">
        <v>3356</v>
      </c>
      <c r="C1093" s="1" t="s">
        <v>3357</v>
      </c>
      <c r="D1093" s="1" t="s">
        <v>115</v>
      </c>
      <c r="E1093" s="1" t="s">
        <v>225</v>
      </c>
      <c r="F1093" s="1" t="s">
        <v>47</v>
      </c>
      <c r="G1093" s="1">
        <f t="shared" si="85"/>
        <v>1</v>
      </c>
      <c r="H1093" s="1" t="s">
        <v>48</v>
      </c>
      <c r="I1093" s="1" t="s">
        <v>49</v>
      </c>
      <c r="J1093" s="23" t="s">
        <v>50</v>
      </c>
      <c r="K1093" s="2" t="s">
        <v>51</v>
      </c>
      <c r="L1093" s="1">
        <v>411</v>
      </c>
      <c r="M1093" s="1">
        <v>9</v>
      </c>
      <c r="N1093" s="1" t="str">
        <f t="shared" si="88"/>
        <v>Published</v>
      </c>
      <c r="O1093" s="1">
        <f t="shared" si="86"/>
        <v>36.99</v>
      </c>
      <c r="P1093" s="1">
        <v>46</v>
      </c>
      <c r="Q1093" s="1">
        <v>1070</v>
      </c>
      <c r="R1093" s="1" t="str">
        <f t="shared" si="89"/>
        <v>3</v>
      </c>
      <c r="S1093" s="1">
        <v>46</v>
      </c>
      <c r="T1093" s="1" t="str">
        <f t="shared" si="87"/>
        <v>3</v>
      </c>
      <c r="U1093" s="1">
        <v>-33.914467999999999</v>
      </c>
      <c r="V1093" s="3">
        <v>151.145073</v>
      </c>
    </row>
    <row r="1094" spans="1:22" x14ac:dyDescent="0.35">
      <c r="A1094" s="22" t="s">
        <v>3358</v>
      </c>
      <c r="B1094" s="1" t="s">
        <v>3359</v>
      </c>
      <c r="C1094" s="1" t="s">
        <v>3357</v>
      </c>
      <c r="D1094" s="1" t="s">
        <v>115</v>
      </c>
      <c r="E1094" s="1" t="s">
        <v>225</v>
      </c>
      <c r="F1094" s="1" t="s">
        <v>47</v>
      </c>
      <c r="G1094" s="1">
        <f t="shared" si="85"/>
        <v>1</v>
      </c>
      <c r="H1094" s="1" t="s">
        <v>48</v>
      </c>
      <c r="I1094" s="1" t="s">
        <v>49</v>
      </c>
      <c r="J1094" s="23" t="s">
        <v>50</v>
      </c>
      <c r="K1094" s="2" t="s">
        <v>51</v>
      </c>
      <c r="L1094" s="1">
        <v>213</v>
      </c>
      <c r="M1094" s="1">
        <v>6</v>
      </c>
      <c r="N1094" s="1" t="str">
        <f t="shared" si="88"/>
        <v>Published</v>
      </c>
      <c r="O1094" s="1">
        <f t="shared" si="86"/>
        <v>12.78</v>
      </c>
      <c r="P1094" s="1">
        <v>34</v>
      </c>
      <c r="Q1094" s="1">
        <v>1090</v>
      </c>
      <c r="R1094" s="1" t="str">
        <f t="shared" si="89"/>
        <v>3</v>
      </c>
      <c r="S1094" s="1">
        <v>42</v>
      </c>
      <c r="T1094" s="1" t="str">
        <f t="shared" si="87"/>
        <v>2</v>
      </c>
      <c r="U1094" s="1">
        <v>-33.906705000000002</v>
      </c>
      <c r="V1094" s="3">
        <v>151.16265799999999</v>
      </c>
    </row>
    <row r="1095" spans="1:22" x14ac:dyDescent="0.35">
      <c r="A1095" s="22" t="s">
        <v>3360</v>
      </c>
      <c r="B1095" s="1" t="s">
        <v>3361</v>
      </c>
      <c r="C1095" s="1" t="s">
        <v>502</v>
      </c>
      <c r="D1095" s="1" t="s">
        <v>502</v>
      </c>
      <c r="E1095" s="1" t="s">
        <v>330</v>
      </c>
      <c r="F1095" s="1" t="s">
        <v>47</v>
      </c>
      <c r="G1095" s="1">
        <f t="shared" si="85"/>
        <v>1</v>
      </c>
      <c r="H1095" s="1" t="s">
        <v>48</v>
      </c>
      <c r="I1095" s="1" t="s">
        <v>49</v>
      </c>
      <c r="J1095" s="23" t="s">
        <v>50</v>
      </c>
      <c r="K1095" s="2" t="s">
        <v>51</v>
      </c>
      <c r="L1095" s="1">
        <v>263</v>
      </c>
      <c r="M1095" s="1"/>
      <c r="N1095" s="1" t="str">
        <f t="shared" si="88"/>
        <v>Suppressed</v>
      </c>
      <c r="O1095" s="1" t="str">
        <f t="shared" si="86"/>
        <v/>
      </c>
      <c r="P1095" s="1">
        <v>37</v>
      </c>
      <c r="Q1095" s="1">
        <v>1150</v>
      </c>
      <c r="R1095" s="1" t="str">
        <f t="shared" si="89"/>
        <v>4</v>
      </c>
      <c r="S1095" s="1">
        <v>10</v>
      </c>
      <c r="T1095" s="1" t="str">
        <f t="shared" si="87"/>
        <v>2</v>
      </c>
      <c r="U1095" s="1">
        <v>-33.898173999999997</v>
      </c>
      <c r="V1095" s="3">
        <v>151.25153900000001</v>
      </c>
    </row>
    <row r="1096" spans="1:22" x14ac:dyDescent="0.35">
      <c r="A1096" s="22" t="s">
        <v>3362</v>
      </c>
      <c r="B1096" s="1" t="s">
        <v>3363</v>
      </c>
      <c r="C1096" s="1" t="s">
        <v>3364</v>
      </c>
      <c r="D1096" s="1" t="s">
        <v>176</v>
      </c>
      <c r="E1096" s="1" t="s">
        <v>85</v>
      </c>
      <c r="F1096" s="1" t="s">
        <v>47</v>
      </c>
      <c r="G1096" s="1">
        <f t="shared" si="85"/>
        <v>1</v>
      </c>
      <c r="H1096" s="1" t="s">
        <v>86</v>
      </c>
      <c r="I1096" s="1" t="s">
        <v>49</v>
      </c>
      <c r="J1096" s="23" t="s">
        <v>50</v>
      </c>
      <c r="K1096" s="2" t="s">
        <v>51</v>
      </c>
      <c r="L1096" s="1">
        <v>579</v>
      </c>
      <c r="M1096" s="1">
        <v>4</v>
      </c>
      <c r="N1096" s="1" t="str">
        <f t="shared" si="88"/>
        <v>Published</v>
      </c>
      <c r="O1096" s="1">
        <f t="shared" si="86"/>
        <v>23.16</v>
      </c>
      <c r="P1096" s="1">
        <v>70</v>
      </c>
      <c r="Q1096" s="1">
        <v>1084</v>
      </c>
      <c r="R1096" s="1" t="str">
        <f t="shared" si="89"/>
        <v>3</v>
      </c>
      <c r="S1096" s="1">
        <v>38</v>
      </c>
      <c r="T1096" s="1" t="str">
        <f t="shared" si="87"/>
        <v>3</v>
      </c>
      <c r="U1096" s="1">
        <v>-34.422860999999997</v>
      </c>
      <c r="V1096" s="3">
        <v>150.896726</v>
      </c>
    </row>
    <row r="1097" spans="1:22" x14ac:dyDescent="0.35">
      <c r="A1097" s="22" t="s">
        <v>3365</v>
      </c>
      <c r="B1097" s="1" t="s">
        <v>3366</v>
      </c>
      <c r="C1097" s="1" t="s">
        <v>3303</v>
      </c>
      <c r="D1097" s="1" t="s">
        <v>1776</v>
      </c>
      <c r="E1097" s="1" t="s">
        <v>147</v>
      </c>
      <c r="F1097" s="1" t="s">
        <v>47</v>
      </c>
      <c r="G1097" s="1">
        <f t="shared" si="85"/>
        <v>1</v>
      </c>
      <c r="H1097" s="1" t="s">
        <v>148</v>
      </c>
      <c r="I1097" s="1" t="s">
        <v>49</v>
      </c>
      <c r="J1097" s="23" t="s">
        <v>50</v>
      </c>
      <c r="K1097" s="2" t="s">
        <v>51</v>
      </c>
      <c r="L1097" s="1">
        <v>310</v>
      </c>
      <c r="M1097" s="1"/>
      <c r="N1097" s="1" t="str">
        <f t="shared" si="88"/>
        <v>Suppressed</v>
      </c>
      <c r="O1097" s="1" t="str">
        <f t="shared" si="86"/>
        <v/>
      </c>
      <c r="P1097" s="1">
        <v>62</v>
      </c>
      <c r="Q1097" s="1">
        <v>1164</v>
      </c>
      <c r="R1097" s="1" t="str">
        <f t="shared" si="89"/>
        <v>4</v>
      </c>
      <c r="S1097" s="1">
        <v>1</v>
      </c>
      <c r="T1097" s="1" t="str">
        <f t="shared" si="87"/>
        <v>3</v>
      </c>
      <c r="U1097" s="1">
        <v>-33.774289000000003</v>
      </c>
      <c r="V1097" s="3">
        <v>151.14627100000001</v>
      </c>
    </row>
    <row r="1098" spans="1:22" x14ac:dyDescent="0.35">
      <c r="A1098" s="22" t="s">
        <v>3367</v>
      </c>
      <c r="B1098" s="1" t="s">
        <v>3368</v>
      </c>
      <c r="C1098" s="1" t="s">
        <v>953</v>
      </c>
      <c r="D1098" s="1" t="s">
        <v>737</v>
      </c>
      <c r="E1098" s="1" t="s">
        <v>738</v>
      </c>
      <c r="F1098" s="1" t="s">
        <v>47</v>
      </c>
      <c r="G1098" s="1">
        <f t="shared" si="85"/>
        <v>1</v>
      </c>
      <c r="H1098" s="1" t="s">
        <v>182</v>
      </c>
      <c r="I1098" s="1" t="s">
        <v>49</v>
      </c>
      <c r="J1098" s="23" t="s">
        <v>50</v>
      </c>
      <c r="K1098" s="2" t="s">
        <v>51</v>
      </c>
      <c r="L1098" s="1">
        <v>462</v>
      </c>
      <c r="M1098" s="1">
        <v>3</v>
      </c>
      <c r="N1098" s="1" t="str">
        <f t="shared" si="88"/>
        <v>Published</v>
      </c>
      <c r="O1098" s="1">
        <f t="shared" si="86"/>
        <v>13.86</v>
      </c>
      <c r="P1098" s="1">
        <v>14</v>
      </c>
      <c r="Q1098" s="1">
        <v>1086</v>
      </c>
      <c r="R1098" s="1" t="str">
        <f t="shared" si="89"/>
        <v>3</v>
      </c>
      <c r="S1098" s="1">
        <v>45</v>
      </c>
      <c r="T1098" s="1" t="str">
        <f t="shared" si="87"/>
        <v>3</v>
      </c>
      <c r="U1098" s="1">
        <v>-34.045453999999999</v>
      </c>
      <c r="V1098" s="3">
        <v>151.146233</v>
      </c>
    </row>
    <row r="1099" spans="1:22" x14ac:dyDescent="0.35">
      <c r="A1099" s="22" t="s">
        <v>3369</v>
      </c>
      <c r="B1099" s="1" t="s">
        <v>3370</v>
      </c>
      <c r="C1099" s="1" t="s">
        <v>2249</v>
      </c>
      <c r="D1099" s="1" t="s">
        <v>152</v>
      </c>
      <c r="E1099" s="1" t="s">
        <v>229</v>
      </c>
      <c r="F1099" s="1" t="s">
        <v>47</v>
      </c>
      <c r="G1099" s="1">
        <f t="shared" si="85"/>
        <v>1</v>
      </c>
      <c r="H1099" s="1" t="s">
        <v>182</v>
      </c>
      <c r="I1099" s="1" t="s">
        <v>49</v>
      </c>
      <c r="J1099" s="23" t="s">
        <v>50</v>
      </c>
      <c r="K1099" s="2" t="s">
        <v>51</v>
      </c>
      <c r="L1099" s="1">
        <v>297</v>
      </c>
      <c r="M1099" s="1">
        <v>2</v>
      </c>
      <c r="N1099" s="1" t="str">
        <f t="shared" si="88"/>
        <v>Published</v>
      </c>
      <c r="O1099" s="1">
        <f t="shared" si="86"/>
        <v>5.94</v>
      </c>
      <c r="P1099" s="1">
        <v>53</v>
      </c>
      <c r="Q1099" s="1">
        <v>1053</v>
      </c>
      <c r="R1099" s="1" t="str">
        <f t="shared" si="89"/>
        <v>3</v>
      </c>
      <c r="S1099" s="1">
        <v>68</v>
      </c>
      <c r="T1099" s="1" t="str">
        <f t="shared" si="87"/>
        <v>2</v>
      </c>
      <c r="U1099" s="1">
        <v>-33.966518999999998</v>
      </c>
      <c r="V1099" s="3">
        <v>151.030001</v>
      </c>
    </row>
    <row r="1100" spans="1:22" x14ac:dyDescent="0.35">
      <c r="A1100" s="22" t="s">
        <v>3371</v>
      </c>
      <c r="B1100" s="1" t="s">
        <v>3372</v>
      </c>
      <c r="C1100" s="1" t="s">
        <v>620</v>
      </c>
      <c r="D1100" s="1" t="s">
        <v>176</v>
      </c>
      <c r="E1100" s="1" t="s">
        <v>85</v>
      </c>
      <c r="F1100" s="1" t="s">
        <v>47</v>
      </c>
      <c r="G1100" s="1">
        <f t="shared" si="85"/>
        <v>1</v>
      </c>
      <c r="H1100" s="1" t="s">
        <v>86</v>
      </c>
      <c r="I1100" s="1" t="s">
        <v>49</v>
      </c>
      <c r="J1100" s="23" t="s">
        <v>50</v>
      </c>
      <c r="K1100" s="2" t="s">
        <v>51</v>
      </c>
      <c r="L1100" s="1">
        <v>264</v>
      </c>
      <c r="M1100" s="1">
        <v>5</v>
      </c>
      <c r="N1100" s="1" t="str">
        <f t="shared" si="88"/>
        <v>Published</v>
      </c>
      <c r="O1100" s="1">
        <f t="shared" si="86"/>
        <v>13.200000000000001</v>
      </c>
      <c r="P1100" s="1">
        <v>12</v>
      </c>
      <c r="Q1100" s="1">
        <v>1077</v>
      </c>
      <c r="R1100" s="1" t="str">
        <f t="shared" si="89"/>
        <v>3</v>
      </c>
      <c r="S1100" s="1">
        <v>51</v>
      </c>
      <c r="T1100" s="1" t="str">
        <f t="shared" si="87"/>
        <v>2</v>
      </c>
      <c r="U1100" s="1">
        <v>-34.336784000000002</v>
      </c>
      <c r="V1100" s="3">
        <v>150.91914600000001</v>
      </c>
    </row>
    <row r="1101" spans="1:22" x14ac:dyDescent="0.35">
      <c r="A1101" s="22" t="s">
        <v>3373</v>
      </c>
      <c r="B1101" s="1" t="s">
        <v>3374</v>
      </c>
      <c r="C1101" s="1" t="s">
        <v>3375</v>
      </c>
      <c r="D1101" s="1" t="s">
        <v>176</v>
      </c>
      <c r="E1101" s="1" t="s">
        <v>85</v>
      </c>
      <c r="F1101" s="1" t="s">
        <v>47</v>
      </c>
      <c r="G1101" s="1">
        <f t="shared" si="85"/>
        <v>1</v>
      </c>
      <c r="H1101" s="1" t="s">
        <v>86</v>
      </c>
      <c r="I1101" s="1" t="s">
        <v>49</v>
      </c>
      <c r="J1101" s="23" t="s">
        <v>50</v>
      </c>
      <c r="K1101" s="2" t="s">
        <v>51</v>
      </c>
      <c r="L1101" s="1">
        <v>264</v>
      </c>
      <c r="M1101" s="1">
        <v>6</v>
      </c>
      <c r="N1101" s="1" t="str">
        <f t="shared" si="88"/>
        <v>Published</v>
      </c>
      <c r="O1101" s="1">
        <f t="shared" si="86"/>
        <v>15.84</v>
      </c>
      <c r="P1101" s="1">
        <v>26</v>
      </c>
      <c r="Q1101" s="1">
        <v>1028</v>
      </c>
      <c r="R1101" s="1" t="str">
        <f t="shared" si="89"/>
        <v>3</v>
      </c>
      <c r="S1101" s="1">
        <v>81</v>
      </c>
      <c r="T1101" s="1" t="str">
        <f t="shared" si="87"/>
        <v>2</v>
      </c>
      <c r="U1101" s="1">
        <v>-34.440840999999999</v>
      </c>
      <c r="V1101" s="3">
        <v>150.854443</v>
      </c>
    </row>
    <row r="1102" spans="1:22" x14ac:dyDescent="0.35">
      <c r="A1102" s="22" t="s">
        <v>3376</v>
      </c>
      <c r="B1102" s="1" t="s">
        <v>3377</v>
      </c>
      <c r="C1102" s="1" t="s">
        <v>3378</v>
      </c>
      <c r="D1102" s="1" t="s">
        <v>191</v>
      </c>
      <c r="E1102" s="1" t="s">
        <v>75</v>
      </c>
      <c r="F1102" s="1" t="s">
        <v>47</v>
      </c>
      <c r="G1102" s="1">
        <f t="shared" si="85"/>
        <v>1</v>
      </c>
      <c r="H1102" s="1" t="s">
        <v>63</v>
      </c>
      <c r="I1102" s="1" t="s">
        <v>49</v>
      </c>
      <c r="J1102" s="23" t="s">
        <v>50</v>
      </c>
      <c r="K1102" s="2" t="s">
        <v>51</v>
      </c>
      <c r="L1102" s="1">
        <v>217</v>
      </c>
      <c r="M1102" s="1">
        <v>17</v>
      </c>
      <c r="N1102" s="1" t="str">
        <f t="shared" si="88"/>
        <v>Published</v>
      </c>
      <c r="O1102" s="1">
        <f t="shared" si="86"/>
        <v>36.89</v>
      </c>
      <c r="P1102" s="1">
        <v>9</v>
      </c>
      <c r="Q1102" s="1">
        <v>966</v>
      </c>
      <c r="R1102" s="1" t="str">
        <f t="shared" si="89"/>
        <v>2</v>
      </c>
      <c r="S1102" s="1">
        <v>105</v>
      </c>
      <c r="T1102" s="1" t="str">
        <f t="shared" si="87"/>
        <v>2</v>
      </c>
      <c r="U1102" s="1">
        <v>-32.998435000000001</v>
      </c>
      <c r="V1102" s="3">
        <v>151.577743</v>
      </c>
    </row>
    <row r="1103" spans="1:22" x14ac:dyDescent="0.35">
      <c r="A1103" s="22" t="s">
        <v>3379</v>
      </c>
      <c r="B1103" s="1" t="s">
        <v>3380</v>
      </c>
      <c r="C1103" s="1" t="s">
        <v>3381</v>
      </c>
      <c r="D1103" s="1" t="s">
        <v>191</v>
      </c>
      <c r="E1103" s="1" t="s">
        <v>75</v>
      </c>
      <c r="F1103" s="1" t="s">
        <v>47</v>
      </c>
      <c r="G1103" s="1">
        <f t="shared" si="85"/>
        <v>1</v>
      </c>
      <c r="H1103" s="1" t="s">
        <v>63</v>
      </c>
      <c r="I1103" s="1" t="s">
        <v>49</v>
      </c>
      <c r="J1103" s="23" t="s">
        <v>50</v>
      </c>
      <c r="K1103" s="2" t="s">
        <v>51</v>
      </c>
      <c r="L1103" s="1">
        <v>256</v>
      </c>
      <c r="M1103" s="1">
        <v>11</v>
      </c>
      <c r="N1103" s="1" t="str">
        <f t="shared" si="88"/>
        <v>Published</v>
      </c>
      <c r="O1103" s="1">
        <f t="shared" si="86"/>
        <v>28.16</v>
      </c>
      <c r="P1103" s="1">
        <v>12</v>
      </c>
      <c r="Q1103" s="1">
        <v>1000</v>
      </c>
      <c r="R1103" s="1" t="str">
        <f t="shared" si="89"/>
        <v>3</v>
      </c>
      <c r="S1103" s="1">
        <v>100</v>
      </c>
      <c r="T1103" s="1" t="str">
        <f t="shared" si="87"/>
        <v>2</v>
      </c>
      <c r="U1103" s="1">
        <v>-32.958942999999998</v>
      </c>
      <c r="V1103" s="3">
        <v>151.62164100000001</v>
      </c>
    </row>
    <row r="1104" spans="1:22" x14ac:dyDescent="0.35">
      <c r="A1104" s="22" t="s">
        <v>3382</v>
      </c>
      <c r="B1104" s="1" t="s">
        <v>3383</v>
      </c>
      <c r="C1104" s="1" t="s">
        <v>3384</v>
      </c>
      <c r="D1104" s="1" t="s">
        <v>203</v>
      </c>
      <c r="E1104" s="1" t="s">
        <v>204</v>
      </c>
      <c r="F1104" s="1" t="s">
        <v>47</v>
      </c>
      <c r="G1104" s="1">
        <f t="shared" si="85"/>
        <v>1</v>
      </c>
      <c r="H1104" s="1" t="s">
        <v>148</v>
      </c>
      <c r="I1104" s="1" t="s">
        <v>49</v>
      </c>
      <c r="J1104" s="23" t="s">
        <v>50</v>
      </c>
      <c r="K1104" s="2" t="s">
        <v>51</v>
      </c>
      <c r="L1104" s="1">
        <v>452</v>
      </c>
      <c r="M1104" s="1"/>
      <c r="N1104" s="1" t="str">
        <f t="shared" si="88"/>
        <v>Suppressed</v>
      </c>
      <c r="O1104" s="1" t="str">
        <f t="shared" si="86"/>
        <v/>
      </c>
      <c r="P1104" s="1">
        <v>19</v>
      </c>
      <c r="Q1104" s="1">
        <v>1109</v>
      </c>
      <c r="R1104" s="1" t="str">
        <f t="shared" si="89"/>
        <v>4</v>
      </c>
      <c r="S1104" s="1">
        <v>31</v>
      </c>
      <c r="T1104" s="1" t="str">
        <f t="shared" si="87"/>
        <v>3</v>
      </c>
      <c r="U1104" s="1">
        <v>-33.732970000000002</v>
      </c>
      <c r="V1104" s="3">
        <v>151.29344</v>
      </c>
    </row>
    <row r="1105" spans="1:22" x14ac:dyDescent="0.35">
      <c r="A1105" s="22" t="s">
        <v>3385</v>
      </c>
      <c r="B1105" s="1" t="s">
        <v>3386</v>
      </c>
      <c r="C1105" s="1" t="s">
        <v>3387</v>
      </c>
      <c r="D1105" s="1" t="s">
        <v>203</v>
      </c>
      <c r="E1105" s="1" t="s">
        <v>204</v>
      </c>
      <c r="F1105" s="1" t="s">
        <v>47</v>
      </c>
      <c r="G1105" s="1">
        <f t="shared" si="85"/>
        <v>1</v>
      </c>
      <c r="H1105" s="1" t="s">
        <v>148</v>
      </c>
      <c r="I1105" s="1" t="s">
        <v>49</v>
      </c>
      <c r="J1105" s="23" t="s">
        <v>50</v>
      </c>
      <c r="K1105" s="2" t="s">
        <v>51</v>
      </c>
      <c r="L1105" s="1">
        <v>459</v>
      </c>
      <c r="M1105" s="1">
        <v>2</v>
      </c>
      <c r="N1105" s="1" t="str">
        <f t="shared" si="88"/>
        <v>Published</v>
      </c>
      <c r="O1105" s="1">
        <f t="shared" si="86"/>
        <v>9.18</v>
      </c>
      <c r="P1105" s="1">
        <v>23</v>
      </c>
      <c r="Q1105" s="1">
        <v>1099</v>
      </c>
      <c r="R1105" s="1" t="str">
        <f t="shared" si="89"/>
        <v>3</v>
      </c>
      <c r="S1105" s="1">
        <v>32</v>
      </c>
      <c r="T1105" s="1" t="str">
        <f t="shared" si="87"/>
        <v>3</v>
      </c>
      <c r="U1105" s="1">
        <v>-33.751629999999999</v>
      </c>
      <c r="V1105" s="3">
        <v>151.26058399999999</v>
      </c>
    </row>
    <row r="1106" spans="1:22" x14ac:dyDescent="0.35">
      <c r="A1106" s="22" t="s">
        <v>3388</v>
      </c>
      <c r="B1106" s="1" t="s">
        <v>3389</v>
      </c>
      <c r="C1106" s="1" t="s">
        <v>736</v>
      </c>
      <c r="D1106" s="1" t="s">
        <v>737</v>
      </c>
      <c r="E1106" s="1" t="s">
        <v>738</v>
      </c>
      <c r="F1106" s="1" t="s">
        <v>47</v>
      </c>
      <c r="G1106" s="1">
        <f t="shared" si="85"/>
        <v>1</v>
      </c>
      <c r="H1106" s="1" t="s">
        <v>182</v>
      </c>
      <c r="I1106" s="1" t="s">
        <v>49</v>
      </c>
      <c r="J1106" s="23" t="s">
        <v>50</v>
      </c>
      <c r="K1106" s="2" t="s">
        <v>51</v>
      </c>
      <c r="L1106" s="1">
        <v>538</v>
      </c>
      <c r="M1106" s="1">
        <v>2</v>
      </c>
      <c r="N1106" s="1" t="str">
        <f t="shared" si="88"/>
        <v>Published</v>
      </c>
      <c r="O1106" s="1">
        <f t="shared" si="86"/>
        <v>10.76</v>
      </c>
      <c r="P1106" s="1">
        <v>30</v>
      </c>
      <c r="Q1106" s="1">
        <v>1086</v>
      </c>
      <c r="R1106" s="1" t="str">
        <f t="shared" si="89"/>
        <v>3</v>
      </c>
      <c r="S1106" s="1">
        <v>45</v>
      </c>
      <c r="T1106" s="1" t="str">
        <f t="shared" si="87"/>
        <v>3</v>
      </c>
      <c r="U1106" s="1">
        <v>-34.036574000000002</v>
      </c>
      <c r="V1106" s="3">
        <v>151.12307899999999</v>
      </c>
    </row>
    <row r="1107" spans="1:22" x14ac:dyDescent="0.35">
      <c r="A1107" s="22" t="s">
        <v>3390</v>
      </c>
      <c r="B1107" s="1" t="s">
        <v>3391</v>
      </c>
      <c r="C1107" s="1" t="s">
        <v>3392</v>
      </c>
      <c r="D1107" s="1" t="s">
        <v>176</v>
      </c>
      <c r="E1107" s="1" t="s">
        <v>85</v>
      </c>
      <c r="F1107" s="1" t="s">
        <v>47</v>
      </c>
      <c r="G1107" s="1">
        <f t="shared" si="85"/>
        <v>1</v>
      </c>
      <c r="H1107" s="1" t="s">
        <v>86</v>
      </c>
      <c r="I1107" s="1" t="s">
        <v>49</v>
      </c>
      <c r="J1107" s="23" t="s">
        <v>50</v>
      </c>
      <c r="K1107" s="2" t="s">
        <v>51</v>
      </c>
      <c r="L1107" s="1">
        <v>262</v>
      </c>
      <c r="M1107" s="1">
        <v>3</v>
      </c>
      <c r="N1107" s="1" t="str">
        <f t="shared" si="88"/>
        <v>Published</v>
      </c>
      <c r="O1107" s="1">
        <f t="shared" si="86"/>
        <v>7.8599999999999994</v>
      </c>
      <c r="P1107" s="1">
        <v>5</v>
      </c>
      <c r="Q1107" s="1">
        <v>1040</v>
      </c>
      <c r="R1107" s="1" t="str">
        <f t="shared" si="89"/>
        <v>3</v>
      </c>
      <c r="S1107" s="1">
        <v>74</v>
      </c>
      <c r="T1107" s="1" t="str">
        <f t="shared" si="87"/>
        <v>2</v>
      </c>
      <c r="U1107" s="1">
        <v>-34.359482999999997</v>
      </c>
      <c r="V1107" s="3">
        <v>150.90682799999999</v>
      </c>
    </row>
    <row r="1108" spans="1:22" x14ac:dyDescent="0.35">
      <c r="A1108" s="22" t="s">
        <v>3393</v>
      </c>
      <c r="B1108" s="1" t="s">
        <v>3394</v>
      </c>
      <c r="C1108" s="1" t="s">
        <v>3395</v>
      </c>
      <c r="D1108" s="1" t="s">
        <v>176</v>
      </c>
      <c r="E1108" s="1" t="s">
        <v>85</v>
      </c>
      <c r="F1108" s="1" t="s">
        <v>47</v>
      </c>
      <c r="G1108" s="1">
        <f t="shared" si="85"/>
        <v>1</v>
      </c>
      <c r="H1108" s="1" t="s">
        <v>86</v>
      </c>
      <c r="I1108" s="1" t="s">
        <v>49</v>
      </c>
      <c r="J1108" s="23" t="s">
        <v>50</v>
      </c>
      <c r="K1108" s="2" t="s">
        <v>51</v>
      </c>
      <c r="L1108" s="1">
        <v>226</v>
      </c>
      <c r="M1108" s="1">
        <v>16</v>
      </c>
      <c r="N1108" s="1" t="str">
        <f t="shared" si="88"/>
        <v>Published</v>
      </c>
      <c r="O1108" s="1">
        <f t="shared" si="86"/>
        <v>36.160000000000004</v>
      </c>
      <c r="P1108" s="1">
        <v>13</v>
      </c>
      <c r="Q1108" s="1">
        <v>961</v>
      </c>
      <c r="R1108" s="1" t="str">
        <f t="shared" si="89"/>
        <v>2</v>
      </c>
      <c r="S1108" s="1">
        <v>118</v>
      </c>
      <c r="T1108" s="1" t="str">
        <f t="shared" si="87"/>
        <v>2</v>
      </c>
      <c r="U1108" s="1">
        <v>-34.460321999999998</v>
      </c>
      <c r="V1108" s="3">
        <v>150.83481800000001</v>
      </c>
    </row>
    <row r="1109" spans="1:22" x14ac:dyDescent="0.35">
      <c r="A1109" s="22" t="s">
        <v>3396</v>
      </c>
      <c r="B1109" s="1" t="s">
        <v>3397</v>
      </c>
      <c r="C1109" s="1" t="s">
        <v>3398</v>
      </c>
      <c r="D1109" s="1" t="s">
        <v>152</v>
      </c>
      <c r="E1109" s="1" t="s">
        <v>229</v>
      </c>
      <c r="F1109" s="1" t="s">
        <v>47</v>
      </c>
      <c r="G1109" s="1">
        <f t="shared" si="85"/>
        <v>1</v>
      </c>
      <c r="H1109" s="1" t="s">
        <v>182</v>
      </c>
      <c r="I1109" s="1" t="s">
        <v>49</v>
      </c>
      <c r="J1109" s="23" t="s">
        <v>50</v>
      </c>
      <c r="K1109" s="2" t="s">
        <v>51</v>
      </c>
      <c r="L1109" s="1">
        <v>301</v>
      </c>
      <c r="M1109" s="1">
        <v>9</v>
      </c>
      <c r="N1109" s="1" t="str">
        <f t="shared" si="88"/>
        <v>Published</v>
      </c>
      <c r="O1109" s="1">
        <f t="shared" si="86"/>
        <v>27.09</v>
      </c>
      <c r="P1109" s="1">
        <v>83</v>
      </c>
      <c r="Q1109" s="1">
        <v>898</v>
      </c>
      <c r="R1109" s="1" t="str">
        <f t="shared" si="89"/>
        <v>1</v>
      </c>
      <c r="S1109" s="1">
        <v>175</v>
      </c>
      <c r="T1109" s="1" t="str">
        <f t="shared" si="87"/>
        <v>3</v>
      </c>
      <c r="U1109" s="1">
        <v>-33.890154000000003</v>
      </c>
      <c r="V1109" s="3">
        <v>150.98601300000001</v>
      </c>
    </row>
    <row r="1110" spans="1:22" x14ac:dyDescent="0.35">
      <c r="A1110" s="22" t="s">
        <v>3399</v>
      </c>
      <c r="B1110" s="1" t="s">
        <v>3400</v>
      </c>
      <c r="C1110" s="1" t="s">
        <v>3401</v>
      </c>
      <c r="D1110" s="1" t="s">
        <v>176</v>
      </c>
      <c r="E1110" s="1" t="s">
        <v>85</v>
      </c>
      <c r="F1110" s="1" t="s">
        <v>47</v>
      </c>
      <c r="G1110" s="1">
        <f t="shared" si="85"/>
        <v>1</v>
      </c>
      <c r="H1110" s="1" t="s">
        <v>86</v>
      </c>
      <c r="I1110" s="1" t="s">
        <v>49</v>
      </c>
      <c r="J1110" s="23" t="s">
        <v>50</v>
      </c>
      <c r="K1110" s="2" t="s">
        <v>51</v>
      </c>
      <c r="L1110" s="1">
        <v>182</v>
      </c>
      <c r="M1110" s="1">
        <v>46</v>
      </c>
      <c r="N1110" s="1" t="str">
        <f t="shared" si="88"/>
        <v>Published</v>
      </c>
      <c r="O1110" s="1">
        <f t="shared" si="86"/>
        <v>83.72</v>
      </c>
      <c r="P1110" s="1">
        <v>22</v>
      </c>
      <c r="Q1110" s="1">
        <v>807</v>
      </c>
      <c r="R1110" s="1" t="str">
        <f t="shared" si="89"/>
        <v>1</v>
      </c>
      <c r="S1110" s="1">
        <v>185</v>
      </c>
      <c r="T1110" s="1" t="str">
        <f t="shared" si="87"/>
        <v>2</v>
      </c>
      <c r="U1110" s="1">
        <v>-34.371200999999999</v>
      </c>
      <c r="V1110" s="3">
        <v>150.91440399999999</v>
      </c>
    </row>
    <row r="1111" spans="1:22" x14ac:dyDescent="0.35">
      <c r="A1111" s="22" t="s">
        <v>3402</v>
      </c>
      <c r="B1111" s="1" t="s">
        <v>3403</v>
      </c>
      <c r="C1111" s="1" t="s">
        <v>671</v>
      </c>
      <c r="D1111" s="1" t="s">
        <v>537</v>
      </c>
      <c r="E1111" s="1" t="s">
        <v>181</v>
      </c>
      <c r="F1111" s="1" t="s">
        <v>47</v>
      </c>
      <c r="G1111" s="1">
        <f t="shared" si="85"/>
        <v>1</v>
      </c>
      <c r="H1111" s="1" t="s">
        <v>182</v>
      </c>
      <c r="I1111" s="1" t="s">
        <v>49</v>
      </c>
      <c r="J1111" s="23" t="s">
        <v>50</v>
      </c>
      <c r="K1111" s="2" t="s">
        <v>51</v>
      </c>
      <c r="L1111" s="1">
        <v>477</v>
      </c>
      <c r="M1111" s="1">
        <v>2</v>
      </c>
      <c r="N1111" s="1" t="str">
        <f t="shared" si="88"/>
        <v>Published</v>
      </c>
      <c r="O1111" s="1">
        <f t="shared" si="86"/>
        <v>9.5400000000000009</v>
      </c>
      <c r="P1111" s="1">
        <v>93</v>
      </c>
      <c r="Q1111" s="1">
        <v>950</v>
      </c>
      <c r="R1111" s="1" t="str">
        <f t="shared" si="89"/>
        <v>2</v>
      </c>
      <c r="S1111" s="1">
        <v>146</v>
      </c>
      <c r="T1111" s="1" t="str">
        <f t="shared" si="87"/>
        <v>3</v>
      </c>
      <c r="U1111" s="1">
        <v>-33.897514999999999</v>
      </c>
      <c r="V1111" s="3">
        <v>150.92298500000001</v>
      </c>
    </row>
    <row r="1112" spans="1:22" x14ac:dyDescent="0.35">
      <c r="A1112" s="22" t="s">
        <v>3404</v>
      </c>
      <c r="B1112" s="1" t="s">
        <v>3405</v>
      </c>
      <c r="C1112" s="1" t="s">
        <v>3406</v>
      </c>
      <c r="D1112" s="1" t="s">
        <v>152</v>
      </c>
      <c r="E1112" s="1" t="s">
        <v>170</v>
      </c>
      <c r="F1112" s="1" t="s">
        <v>47</v>
      </c>
      <c r="G1112" s="1">
        <f t="shared" si="85"/>
        <v>1</v>
      </c>
      <c r="H1112" s="1" t="s">
        <v>48</v>
      </c>
      <c r="I1112" s="1" t="s">
        <v>49</v>
      </c>
      <c r="J1112" s="23" t="s">
        <v>50</v>
      </c>
      <c r="K1112" s="2" t="s">
        <v>51</v>
      </c>
      <c r="L1112" s="1">
        <v>400</v>
      </c>
      <c r="M1112" s="1">
        <v>3</v>
      </c>
      <c r="N1112" s="1" t="str">
        <f t="shared" si="88"/>
        <v>Published</v>
      </c>
      <c r="O1112" s="1">
        <f t="shared" si="86"/>
        <v>12</v>
      </c>
      <c r="P1112" s="1">
        <v>84</v>
      </c>
      <c r="Q1112" s="1">
        <v>950</v>
      </c>
      <c r="R1112" s="1" t="str">
        <f t="shared" si="89"/>
        <v>2</v>
      </c>
      <c r="S1112" s="1">
        <v>147</v>
      </c>
      <c r="T1112" s="1" t="str">
        <f t="shared" si="87"/>
        <v>3</v>
      </c>
      <c r="U1112" s="1">
        <v>-33.872351999999999</v>
      </c>
      <c r="V1112" s="3">
        <v>151.00103899999999</v>
      </c>
    </row>
    <row r="1113" spans="1:22" x14ac:dyDescent="0.35">
      <c r="A1113" s="22" t="s">
        <v>3407</v>
      </c>
      <c r="B1113" s="1" t="s">
        <v>3408</v>
      </c>
      <c r="C1113" s="1" t="s">
        <v>3409</v>
      </c>
      <c r="D1113" s="1" t="s">
        <v>537</v>
      </c>
      <c r="E1113" s="1" t="s">
        <v>181</v>
      </c>
      <c r="F1113" s="1" t="s">
        <v>47</v>
      </c>
      <c r="G1113" s="1">
        <f t="shared" si="85"/>
        <v>1</v>
      </c>
      <c r="H1113" s="1" t="s">
        <v>182</v>
      </c>
      <c r="I1113" s="1" t="s">
        <v>49</v>
      </c>
      <c r="J1113" s="23" t="s">
        <v>50</v>
      </c>
      <c r="K1113" s="2" t="s">
        <v>51</v>
      </c>
      <c r="L1113" s="1">
        <v>529</v>
      </c>
      <c r="M1113" s="1">
        <v>3</v>
      </c>
      <c r="N1113" s="1" t="str">
        <f t="shared" si="88"/>
        <v>Published</v>
      </c>
      <c r="O1113" s="1">
        <f t="shared" si="86"/>
        <v>15.87</v>
      </c>
      <c r="P1113" s="1">
        <v>91</v>
      </c>
      <c r="Q1113" s="1">
        <v>935</v>
      </c>
      <c r="R1113" s="1" t="str">
        <f t="shared" si="89"/>
        <v>2</v>
      </c>
      <c r="S1113" s="1">
        <v>159</v>
      </c>
      <c r="T1113" s="1" t="str">
        <f t="shared" si="87"/>
        <v>3</v>
      </c>
      <c r="U1113" s="1">
        <v>-33.884811999999997</v>
      </c>
      <c r="V1113" s="3">
        <v>150.92261099999999</v>
      </c>
    </row>
    <row r="1114" spans="1:22" x14ac:dyDescent="0.35">
      <c r="A1114" s="22" t="s">
        <v>3410</v>
      </c>
      <c r="B1114" s="1" t="s">
        <v>3411</v>
      </c>
      <c r="C1114" s="1" t="s">
        <v>3412</v>
      </c>
      <c r="D1114" s="1" t="s">
        <v>203</v>
      </c>
      <c r="E1114" s="1" t="s">
        <v>204</v>
      </c>
      <c r="F1114" s="1" t="s">
        <v>47</v>
      </c>
      <c r="G1114" s="1">
        <f t="shared" si="85"/>
        <v>1</v>
      </c>
      <c r="H1114" s="1" t="s">
        <v>148</v>
      </c>
      <c r="I1114" s="1" t="s">
        <v>49</v>
      </c>
      <c r="J1114" s="23" t="s">
        <v>50</v>
      </c>
      <c r="K1114" s="2" t="s">
        <v>51</v>
      </c>
      <c r="L1114" s="1">
        <v>381</v>
      </c>
      <c r="M1114" s="1"/>
      <c r="N1114" s="1" t="str">
        <f t="shared" si="88"/>
        <v>Suppressed</v>
      </c>
      <c r="O1114" s="1" t="str">
        <f t="shared" si="86"/>
        <v/>
      </c>
      <c r="P1114" s="1">
        <v>13</v>
      </c>
      <c r="Q1114" s="1">
        <v>1169</v>
      </c>
      <c r="R1114" s="1" t="str">
        <f t="shared" si="89"/>
        <v>4</v>
      </c>
      <c r="S1114" s="1">
        <v>5</v>
      </c>
      <c r="T1114" s="1" t="str">
        <f t="shared" si="87"/>
        <v>3</v>
      </c>
      <c r="U1114" s="1">
        <v>-33.783267000000002</v>
      </c>
      <c r="V1114" s="3">
        <v>151.24645699999999</v>
      </c>
    </row>
    <row r="1115" spans="1:22" x14ac:dyDescent="0.35">
      <c r="A1115" s="22" t="s">
        <v>3413</v>
      </c>
      <c r="B1115" s="1" t="s">
        <v>3414</v>
      </c>
      <c r="C1115" s="1" t="s">
        <v>3415</v>
      </c>
      <c r="D1115" s="1" t="s">
        <v>1776</v>
      </c>
      <c r="E1115" s="1" t="s">
        <v>147</v>
      </c>
      <c r="F1115" s="1" t="s">
        <v>47</v>
      </c>
      <c r="G1115" s="1">
        <f t="shared" si="85"/>
        <v>1</v>
      </c>
      <c r="H1115" s="1" t="s">
        <v>148</v>
      </c>
      <c r="I1115" s="1" t="s">
        <v>49</v>
      </c>
      <c r="J1115" s="23" t="s">
        <v>50</v>
      </c>
      <c r="K1115" s="2" t="s">
        <v>51</v>
      </c>
      <c r="L1115" s="1">
        <v>195</v>
      </c>
      <c r="M1115" s="1"/>
      <c r="N1115" s="1" t="str">
        <f t="shared" si="88"/>
        <v>Suppressed</v>
      </c>
      <c r="O1115" s="1" t="str">
        <f t="shared" si="86"/>
        <v/>
      </c>
      <c r="P1115" s="1">
        <v>53</v>
      </c>
      <c r="Q1115" s="1">
        <v>1163</v>
      </c>
      <c r="R1115" s="1" t="str">
        <f t="shared" si="89"/>
        <v>4</v>
      </c>
      <c r="S1115" s="1">
        <v>5</v>
      </c>
      <c r="T1115" s="1" t="str">
        <f t="shared" si="87"/>
        <v>2</v>
      </c>
      <c r="U1115" s="1">
        <v>-33.745820000000002</v>
      </c>
      <c r="V1115" s="3">
        <v>151.156203</v>
      </c>
    </row>
    <row r="1116" spans="1:22" x14ac:dyDescent="0.35">
      <c r="A1116" s="22" t="s">
        <v>3416</v>
      </c>
      <c r="B1116" s="1" t="s">
        <v>3417</v>
      </c>
      <c r="C1116" s="1" t="s">
        <v>3418</v>
      </c>
      <c r="D1116" s="1" t="s">
        <v>537</v>
      </c>
      <c r="E1116" s="1" t="s">
        <v>170</v>
      </c>
      <c r="F1116" s="1" t="s">
        <v>47</v>
      </c>
      <c r="G1116" s="1">
        <f t="shared" si="85"/>
        <v>1</v>
      </c>
      <c r="H1116" s="1" t="s">
        <v>48</v>
      </c>
      <c r="I1116" s="1" t="s">
        <v>49</v>
      </c>
      <c r="J1116" s="23" t="s">
        <v>50</v>
      </c>
      <c r="K1116" s="2" t="s">
        <v>51</v>
      </c>
      <c r="L1116" s="1">
        <v>244</v>
      </c>
      <c r="M1116" s="1"/>
      <c r="N1116" s="1" t="str">
        <f t="shared" si="88"/>
        <v>Suppressed</v>
      </c>
      <c r="O1116" s="1" t="str">
        <f t="shared" si="86"/>
        <v/>
      </c>
      <c r="P1116" s="1">
        <v>88</v>
      </c>
      <c r="Q1116" s="1">
        <v>933</v>
      </c>
      <c r="R1116" s="1" t="str">
        <f t="shared" si="89"/>
        <v>2</v>
      </c>
      <c r="S1116" s="1">
        <v>154</v>
      </c>
      <c r="T1116" s="1" t="str">
        <f t="shared" si="87"/>
        <v>2</v>
      </c>
      <c r="U1116" s="1">
        <v>-33.866826000000003</v>
      </c>
      <c r="V1116" s="3">
        <v>150.97099299999999</v>
      </c>
    </row>
    <row r="1117" spans="1:22" x14ac:dyDescent="0.35">
      <c r="A1117" s="22" t="s">
        <v>3419</v>
      </c>
      <c r="B1117" s="1" t="s">
        <v>3420</v>
      </c>
      <c r="C1117" s="1" t="s">
        <v>3421</v>
      </c>
      <c r="D1117" s="1" t="s">
        <v>428</v>
      </c>
      <c r="E1117" s="1" t="s">
        <v>429</v>
      </c>
      <c r="F1117" s="1" t="s">
        <v>47</v>
      </c>
      <c r="G1117" s="1">
        <f t="shared" si="85"/>
        <v>1</v>
      </c>
      <c r="H1117" s="1" t="s">
        <v>63</v>
      </c>
      <c r="I1117" s="1" t="s">
        <v>49</v>
      </c>
      <c r="J1117" s="23" t="s">
        <v>50</v>
      </c>
      <c r="K1117" s="2" t="s">
        <v>51</v>
      </c>
      <c r="L1117" s="1">
        <v>128</v>
      </c>
      <c r="M1117" s="1">
        <v>16</v>
      </c>
      <c r="N1117" s="1" t="str">
        <f t="shared" si="88"/>
        <v>Published</v>
      </c>
      <c r="O1117" s="1">
        <f t="shared" si="86"/>
        <v>20.48</v>
      </c>
      <c r="P1117" s="1">
        <v>11</v>
      </c>
      <c r="Q1117" s="1">
        <v>986</v>
      </c>
      <c r="R1117" s="1" t="str">
        <f t="shared" si="89"/>
        <v>2</v>
      </c>
      <c r="S1117" s="1">
        <v>99</v>
      </c>
      <c r="T1117" s="1" t="str">
        <f t="shared" si="87"/>
        <v>2</v>
      </c>
      <c r="U1117" s="1">
        <v>-33.699128000000002</v>
      </c>
      <c r="V1117" s="3">
        <v>150.315134</v>
      </c>
    </row>
    <row r="1118" spans="1:22" x14ac:dyDescent="0.35">
      <c r="A1118" s="22" t="s">
        <v>3422</v>
      </c>
      <c r="B1118" s="1" t="s">
        <v>3423</v>
      </c>
      <c r="C1118" s="1" t="s">
        <v>2720</v>
      </c>
      <c r="D1118" s="1" t="s">
        <v>191</v>
      </c>
      <c r="E1118" s="1" t="s">
        <v>75</v>
      </c>
      <c r="F1118" s="1" t="s">
        <v>47</v>
      </c>
      <c r="G1118" s="1">
        <f t="shared" si="85"/>
        <v>1</v>
      </c>
      <c r="H1118" s="1" t="s">
        <v>63</v>
      </c>
      <c r="I1118" s="1" t="s">
        <v>49</v>
      </c>
      <c r="J1118" s="23" t="s">
        <v>50</v>
      </c>
      <c r="K1118" s="2" t="s">
        <v>51</v>
      </c>
      <c r="L1118" s="1">
        <v>163</v>
      </c>
      <c r="M1118" s="1">
        <v>47</v>
      </c>
      <c r="N1118" s="1" t="str">
        <f t="shared" si="88"/>
        <v>Published</v>
      </c>
      <c r="O1118" s="1">
        <f t="shared" si="86"/>
        <v>76.61</v>
      </c>
      <c r="P1118" s="1">
        <v>11</v>
      </c>
      <c r="Q1118" s="1">
        <v>871</v>
      </c>
      <c r="R1118" s="1" t="str">
        <f t="shared" si="89"/>
        <v>1</v>
      </c>
      <c r="S1118" s="1">
        <v>151</v>
      </c>
      <c r="T1118" s="1" t="str">
        <f t="shared" si="87"/>
        <v>2</v>
      </c>
      <c r="U1118" s="1">
        <v>-33.008389000000001</v>
      </c>
      <c r="V1118" s="3">
        <v>151.57629600000001</v>
      </c>
    </row>
    <row r="1119" spans="1:22" x14ac:dyDescent="0.35">
      <c r="A1119" s="22" t="s">
        <v>3424</v>
      </c>
      <c r="B1119" s="1" t="s">
        <v>3425</v>
      </c>
      <c r="C1119" s="1" t="s">
        <v>3426</v>
      </c>
      <c r="D1119" s="1" t="s">
        <v>169</v>
      </c>
      <c r="E1119" s="1" t="s">
        <v>170</v>
      </c>
      <c r="F1119" s="1" t="s">
        <v>47</v>
      </c>
      <c r="G1119" s="1">
        <f t="shared" si="85"/>
        <v>1</v>
      </c>
      <c r="H1119" s="1" t="s">
        <v>48</v>
      </c>
      <c r="I1119" s="1" t="s">
        <v>49</v>
      </c>
      <c r="J1119" s="23" t="s">
        <v>50</v>
      </c>
      <c r="K1119" s="2" t="s">
        <v>51</v>
      </c>
      <c r="L1119" s="1">
        <v>309</v>
      </c>
      <c r="M1119" s="1"/>
      <c r="N1119" s="1" t="str">
        <f t="shared" si="88"/>
        <v>Suppressed</v>
      </c>
      <c r="O1119" s="1" t="str">
        <f t="shared" si="86"/>
        <v/>
      </c>
      <c r="P1119" s="1">
        <v>89</v>
      </c>
      <c r="Q1119" s="1">
        <v>1032</v>
      </c>
      <c r="R1119" s="1" t="str">
        <f t="shared" si="89"/>
        <v>3</v>
      </c>
      <c r="S1119" s="1">
        <v>77</v>
      </c>
      <c r="T1119" s="1" t="str">
        <f t="shared" si="87"/>
        <v>3</v>
      </c>
      <c r="U1119" s="1">
        <v>-33.810296999999998</v>
      </c>
      <c r="V1119" s="3">
        <v>150.95396400000001</v>
      </c>
    </row>
    <row r="1120" spans="1:22" x14ac:dyDescent="0.35">
      <c r="A1120" s="22" t="s">
        <v>3427</v>
      </c>
      <c r="B1120" s="1" t="s">
        <v>3428</v>
      </c>
      <c r="C1120" s="1" t="s">
        <v>3429</v>
      </c>
      <c r="D1120" s="1" t="s">
        <v>186</v>
      </c>
      <c r="E1120" s="1" t="s">
        <v>187</v>
      </c>
      <c r="F1120" s="1" t="s">
        <v>47</v>
      </c>
      <c r="G1120" s="1">
        <f t="shared" si="85"/>
        <v>1</v>
      </c>
      <c r="H1120" s="1" t="s">
        <v>63</v>
      </c>
      <c r="I1120" s="1" t="s">
        <v>49</v>
      </c>
      <c r="J1120" s="23" t="s">
        <v>50</v>
      </c>
      <c r="K1120" s="2" t="s">
        <v>51</v>
      </c>
      <c r="L1120" s="1">
        <v>606</v>
      </c>
      <c r="M1120" s="1">
        <v>13</v>
      </c>
      <c r="N1120" s="1" t="str">
        <f t="shared" si="88"/>
        <v>Published</v>
      </c>
      <c r="O1120" s="1">
        <f t="shared" si="86"/>
        <v>78.78</v>
      </c>
      <c r="P1120" s="1">
        <v>15</v>
      </c>
      <c r="Q1120" s="1">
        <v>1010</v>
      </c>
      <c r="R1120" s="1" t="str">
        <f t="shared" si="89"/>
        <v>3</v>
      </c>
      <c r="S1120" s="1">
        <v>79</v>
      </c>
      <c r="T1120" s="1" t="str">
        <f t="shared" si="87"/>
        <v>4</v>
      </c>
      <c r="U1120" s="1">
        <v>-33.525109999999998</v>
      </c>
      <c r="V1120" s="3">
        <v>151.314055</v>
      </c>
    </row>
    <row r="1121" spans="1:22" x14ac:dyDescent="0.35">
      <c r="A1121" s="22" t="s">
        <v>3430</v>
      </c>
      <c r="B1121" s="1" t="s">
        <v>3431</v>
      </c>
      <c r="C1121" s="1" t="s">
        <v>3432</v>
      </c>
      <c r="D1121" s="1" t="s">
        <v>111</v>
      </c>
      <c r="E1121" s="1" t="s">
        <v>75</v>
      </c>
      <c r="F1121" s="1" t="s">
        <v>47</v>
      </c>
      <c r="G1121" s="1">
        <f t="shared" si="85"/>
        <v>1</v>
      </c>
      <c r="H1121" s="1" t="s">
        <v>63</v>
      </c>
      <c r="I1121" s="1" t="s">
        <v>49</v>
      </c>
      <c r="J1121" s="23" t="s">
        <v>50</v>
      </c>
      <c r="K1121" s="2" t="s">
        <v>51</v>
      </c>
      <c r="L1121" s="1">
        <v>182</v>
      </c>
      <c r="M1121" s="1">
        <v>15</v>
      </c>
      <c r="N1121" s="1" t="str">
        <f t="shared" si="88"/>
        <v>Published</v>
      </c>
      <c r="O1121" s="1">
        <f t="shared" si="86"/>
        <v>27.3</v>
      </c>
      <c r="P1121" s="1">
        <v>5</v>
      </c>
      <c r="Q1121" s="1">
        <v>1002</v>
      </c>
      <c r="R1121" s="1" t="str">
        <f t="shared" si="89"/>
        <v>3</v>
      </c>
      <c r="S1121" s="1">
        <v>80</v>
      </c>
      <c r="T1121" s="1" t="str">
        <f t="shared" si="87"/>
        <v>2</v>
      </c>
      <c r="U1121" s="1">
        <v>-32.871656999999999</v>
      </c>
      <c r="V1121" s="3">
        <v>151.79473899999999</v>
      </c>
    </row>
    <row r="1122" spans="1:22" x14ac:dyDescent="0.35">
      <c r="A1122" s="22" t="s">
        <v>3433</v>
      </c>
      <c r="B1122" s="1" t="s">
        <v>3434</v>
      </c>
      <c r="C1122" s="1" t="s">
        <v>1927</v>
      </c>
      <c r="D1122" s="1" t="s">
        <v>169</v>
      </c>
      <c r="E1122" s="1" t="s">
        <v>170</v>
      </c>
      <c r="F1122" s="1" t="s">
        <v>47</v>
      </c>
      <c r="G1122" s="1">
        <f t="shared" si="85"/>
        <v>1</v>
      </c>
      <c r="H1122" s="1" t="s">
        <v>48</v>
      </c>
      <c r="I1122" s="1" t="s">
        <v>49</v>
      </c>
      <c r="J1122" s="23" t="s">
        <v>50</v>
      </c>
      <c r="K1122" s="2" t="s">
        <v>51</v>
      </c>
      <c r="L1122" s="1">
        <v>762</v>
      </c>
      <c r="M1122" s="1">
        <v>3</v>
      </c>
      <c r="N1122" s="1" t="str">
        <f t="shared" si="88"/>
        <v>Published</v>
      </c>
      <c r="O1122" s="1">
        <f t="shared" si="86"/>
        <v>22.86</v>
      </c>
      <c r="P1122" s="1">
        <v>82</v>
      </c>
      <c r="Q1122" s="1">
        <v>971</v>
      </c>
      <c r="R1122" s="1" t="str">
        <f t="shared" si="89"/>
        <v>2</v>
      </c>
      <c r="S1122" s="1">
        <v>133</v>
      </c>
      <c r="T1122" s="1" t="str">
        <f t="shared" si="87"/>
        <v>4</v>
      </c>
      <c r="U1122" s="1">
        <v>-33.826331000000003</v>
      </c>
      <c r="V1122" s="3">
        <v>150.973319</v>
      </c>
    </row>
    <row r="1123" spans="1:22" x14ac:dyDescent="0.35">
      <c r="A1123" s="22" t="s">
        <v>3435</v>
      </c>
      <c r="B1123" s="1" t="s">
        <v>3436</v>
      </c>
      <c r="C1123" s="1" t="s">
        <v>3437</v>
      </c>
      <c r="D1123" s="1" t="s">
        <v>404</v>
      </c>
      <c r="E1123" s="1" t="s">
        <v>429</v>
      </c>
      <c r="F1123" s="1" t="s">
        <v>47</v>
      </c>
      <c r="G1123" s="1">
        <f t="shared" si="85"/>
        <v>1</v>
      </c>
      <c r="H1123" s="1" t="s">
        <v>63</v>
      </c>
      <c r="I1123" s="1" t="s">
        <v>49</v>
      </c>
      <c r="J1123" s="23" t="s">
        <v>50</v>
      </c>
      <c r="K1123" s="2" t="s">
        <v>51</v>
      </c>
      <c r="L1123" s="1">
        <v>298</v>
      </c>
      <c r="M1123" s="1">
        <v>5</v>
      </c>
      <c r="N1123" s="1" t="str">
        <f t="shared" si="88"/>
        <v>Published</v>
      </c>
      <c r="O1123" s="1">
        <f t="shared" si="86"/>
        <v>14.9</v>
      </c>
      <c r="P1123" s="1">
        <v>43</v>
      </c>
      <c r="Q1123" s="1">
        <v>1047</v>
      </c>
      <c r="R1123" s="1" t="str">
        <f t="shared" si="89"/>
        <v>3</v>
      </c>
      <c r="S1123" s="1">
        <v>75</v>
      </c>
      <c r="T1123" s="1" t="str">
        <f t="shared" si="87"/>
        <v>2</v>
      </c>
      <c r="U1123" s="1">
        <v>-33.598936999999999</v>
      </c>
      <c r="V1123" s="3">
        <v>150.75751399999999</v>
      </c>
    </row>
    <row r="1124" spans="1:22" x14ac:dyDescent="0.35">
      <c r="A1124" s="22" t="s">
        <v>3438</v>
      </c>
      <c r="B1124" s="1" t="s">
        <v>3439</v>
      </c>
      <c r="C1124" s="1" t="s">
        <v>3440</v>
      </c>
      <c r="D1124" s="1" t="s">
        <v>169</v>
      </c>
      <c r="E1124" s="1" t="s">
        <v>170</v>
      </c>
      <c r="F1124" s="1" t="s">
        <v>47</v>
      </c>
      <c r="G1124" s="1">
        <f t="shared" si="85"/>
        <v>1</v>
      </c>
      <c r="H1124" s="1" t="s">
        <v>48</v>
      </c>
      <c r="I1124" s="1" t="s">
        <v>49</v>
      </c>
      <c r="J1124" s="23" t="s">
        <v>50</v>
      </c>
      <c r="K1124" s="2" t="s">
        <v>51</v>
      </c>
      <c r="L1124" s="1">
        <v>366</v>
      </c>
      <c r="M1124" s="1">
        <v>2</v>
      </c>
      <c r="N1124" s="1" t="str">
        <f t="shared" si="88"/>
        <v>Published</v>
      </c>
      <c r="O1124" s="1">
        <f t="shared" si="86"/>
        <v>7.32</v>
      </c>
      <c r="P1124" s="1">
        <v>83</v>
      </c>
      <c r="Q1124" s="1">
        <v>945</v>
      </c>
      <c r="R1124" s="1" t="str">
        <f t="shared" si="89"/>
        <v>2</v>
      </c>
      <c r="S1124" s="1">
        <v>150</v>
      </c>
      <c r="T1124" s="1" t="str">
        <f t="shared" si="87"/>
        <v>3</v>
      </c>
      <c r="U1124" s="1">
        <v>-33.847672000000003</v>
      </c>
      <c r="V1124" s="3">
        <v>150.96649600000001</v>
      </c>
    </row>
    <row r="1125" spans="1:22" x14ac:dyDescent="0.35">
      <c r="A1125" s="22" t="s">
        <v>3441</v>
      </c>
      <c r="B1125" s="1" t="s">
        <v>3442</v>
      </c>
      <c r="C1125" s="1" t="s">
        <v>3443</v>
      </c>
      <c r="D1125" s="1" t="s">
        <v>737</v>
      </c>
      <c r="E1125" s="1" t="s">
        <v>738</v>
      </c>
      <c r="F1125" s="1" t="s">
        <v>47</v>
      </c>
      <c r="G1125" s="1">
        <f t="shared" si="85"/>
        <v>1</v>
      </c>
      <c r="H1125" s="1" t="s">
        <v>182</v>
      </c>
      <c r="I1125" s="1" t="s">
        <v>49</v>
      </c>
      <c r="J1125" s="23" t="s">
        <v>50</v>
      </c>
      <c r="K1125" s="2" t="s">
        <v>51</v>
      </c>
      <c r="L1125" s="1">
        <v>313</v>
      </c>
      <c r="M1125" s="1">
        <v>3</v>
      </c>
      <c r="N1125" s="1" t="str">
        <f t="shared" si="88"/>
        <v>Published</v>
      </c>
      <c r="O1125" s="1">
        <f t="shared" si="86"/>
        <v>9.3899999999999988</v>
      </c>
      <c r="P1125" s="1">
        <v>18</v>
      </c>
      <c r="Q1125" s="1">
        <v>1081</v>
      </c>
      <c r="R1125" s="1" t="str">
        <f t="shared" si="89"/>
        <v>3</v>
      </c>
      <c r="S1125" s="1">
        <v>48</v>
      </c>
      <c r="T1125" s="1" t="str">
        <f t="shared" si="87"/>
        <v>3</v>
      </c>
      <c r="U1125" s="1">
        <v>-34.019151999999998</v>
      </c>
      <c r="V1125" s="3">
        <v>151.07231999999999</v>
      </c>
    </row>
    <row r="1126" spans="1:22" x14ac:dyDescent="0.35">
      <c r="A1126" s="22" t="s">
        <v>3444</v>
      </c>
      <c r="B1126" s="1" t="s">
        <v>3445</v>
      </c>
      <c r="C1126" s="1" t="s">
        <v>3446</v>
      </c>
      <c r="D1126" s="1" t="s">
        <v>84</v>
      </c>
      <c r="E1126" s="1" t="s">
        <v>85</v>
      </c>
      <c r="F1126" s="1" t="s">
        <v>47</v>
      </c>
      <c r="G1126" s="1">
        <f t="shared" si="85"/>
        <v>1</v>
      </c>
      <c r="H1126" s="1" t="s">
        <v>86</v>
      </c>
      <c r="I1126" s="1" t="s">
        <v>49</v>
      </c>
      <c r="J1126" s="23" t="s">
        <v>50</v>
      </c>
      <c r="K1126" s="2" t="s">
        <v>51</v>
      </c>
      <c r="L1126" s="1">
        <v>279</v>
      </c>
      <c r="M1126" s="1">
        <v>20</v>
      </c>
      <c r="N1126" s="1" t="str">
        <f t="shared" si="88"/>
        <v>Published</v>
      </c>
      <c r="O1126" s="1">
        <f t="shared" si="86"/>
        <v>55.800000000000004</v>
      </c>
      <c r="P1126" s="1">
        <v>12</v>
      </c>
      <c r="Q1126" s="1">
        <v>937</v>
      </c>
      <c r="R1126" s="1" t="str">
        <f t="shared" si="89"/>
        <v>2</v>
      </c>
      <c r="S1126" s="1">
        <v>139</v>
      </c>
      <c r="T1126" s="1" t="str">
        <f t="shared" si="87"/>
        <v>2</v>
      </c>
      <c r="U1126" s="1">
        <v>-34.557172000000001</v>
      </c>
      <c r="V1126" s="3">
        <v>150.85419400000001</v>
      </c>
    </row>
    <row r="1127" spans="1:22" x14ac:dyDescent="0.35">
      <c r="A1127" s="22" t="s">
        <v>3447</v>
      </c>
      <c r="B1127" s="1" t="s">
        <v>3448</v>
      </c>
      <c r="C1127" s="1" t="s">
        <v>537</v>
      </c>
      <c r="D1127" s="1" t="s">
        <v>537</v>
      </c>
      <c r="E1127" s="1" t="s">
        <v>181</v>
      </c>
      <c r="F1127" s="1" t="s">
        <v>47</v>
      </c>
      <c r="G1127" s="1">
        <f t="shared" si="85"/>
        <v>1</v>
      </c>
      <c r="H1127" s="1" t="s">
        <v>182</v>
      </c>
      <c r="I1127" s="1" t="s">
        <v>49</v>
      </c>
      <c r="J1127" s="23" t="s">
        <v>50</v>
      </c>
      <c r="K1127" s="2" t="s">
        <v>51</v>
      </c>
      <c r="L1127" s="1">
        <v>503</v>
      </c>
      <c r="M1127" s="1">
        <v>1</v>
      </c>
      <c r="N1127" s="1" t="str">
        <f t="shared" si="88"/>
        <v>Published</v>
      </c>
      <c r="O1127" s="1">
        <f t="shared" si="86"/>
        <v>5.03</v>
      </c>
      <c r="P1127" s="1">
        <v>92</v>
      </c>
      <c r="Q1127" s="1">
        <v>919</v>
      </c>
      <c r="R1127" s="1" t="str">
        <f t="shared" si="89"/>
        <v>2</v>
      </c>
      <c r="S1127" s="1">
        <v>172</v>
      </c>
      <c r="T1127" s="1" t="str">
        <f t="shared" si="87"/>
        <v>3</v>
      </c>
      <c r="U1127" s="1">
        <v>-33.876939</v>
      </c>
      <c r="V1127" s="3">
        <v>150.940718</v>
      </c>
    </row>
    <row r="1128" spans="1:22" x14ac:dyDescent="0.35">
      <c r="A1128" s="22" t="s">
        <v>3449</v>
      </c>
      <c r="B1128" s="1" t="s">
        <v>3450</v>
      </c>
      <c r="C1128" s="1" t="s">
        <v>3451</v>
      </c>
      <c r="D1128" s="1" t="s">
        <v>176</v>
      </c>
      <c r="E1128" s="1" t="s">
        <v>85</v>
      </c>
      <c r="F1128" s="1" t="s">
        <v>47</v>
      </c>
      <c r="G1128" s="1">
        <f t="shared" si="85"/>
        <v>1</v>
      </c>
      <c r="H1128" s="1" t="s">
        <v>86</v>
      </c>
      <c r="I1128" s="1" t="s">
        <v>49</v>
      </c>
      <c r="J1128" s="23" t="s">
        <v>50</v>
      </c>
      <c r="K1128" s="2" t="s">
        <v>51</v>
      </c>
      <c r="L1128" s="1">
        <v>147</v>
      </c>
      <c r="M1128" s="1">
        <v>18</v>
      </c>
      <c r="N1128" s="1" t="str">
        <f t="shared" si="88"/>
        <v>Published</v>
      </c>
      <c r="O1128" s="1">
        <f t="shared" si="86"/>
        <v>26.459999999999997</v>
      </c>
      <c r="P1128" s="1">
        <v>27</v>
      </c>
      <c r="Q1128" s="1">
        <v>941</v>
      </c>
      <c r="R1128" s="1" t="str">
        <f t="shared" si="89"/>
        <v>2</v>
      </c>
      <c r="S1128" s="1">
        <v>131</v>
      </c>
      <c r="T1128" s="1" t="str">
        <f t="shared" si="87"/>
        <v>2</v>
      </c>
      <c r="U1128" s="1">
        <v>-34.489668000000002</v>
      </c>
      <c r="V1128" s="3">
        <v>150.86804699999999</v>
      </c>
    </row>
    <row r="1129" spans="1:22" x14ac:dyDescent="0.35">
      <c r="A1129" s="22" t="s">
        <v>3452</v>
      </c>
      <c r="B1129" s="1" t="s">
        <v>3453</v>
      </c>
      <c r="C1129" s="1" t="s">
        <v>3314</v>
      </c>
      <c r="D1129" s="1" t="s">
        <v>152</v>
      </c>
      <c r="E1129" s="1" t="s">
        <v>229</v>
      </c>
      <c r="F1129" s="1" t="s">
        <v>47</v>
      </c>
      <c r="G1129" s="1">
        <f t="shared" si="85"/>
        <v>1</v>
      </c>
      <c r="H1129" s="1" t="s">
        <v>182</v>
      </c>
      <c r="I1129" s="1" t="s">
        <v>49</v>
      </c>
      <c r="J1129" s="23" t="s">
        <v>50</v>
      </c>
      <c r="K1129" s="2" t="s">
        <v>51</v>
      </c>
      <c r="L1129" s="1">
        <v>441</v>
      </c>
      <c r="M1129" s="1">
        <v>2</v>
      </c>
      <c r="N1129" s="1" t="str">
        <f t="shared" si="88"/>
        <v>Published</v>
      </c>
      <c r="O1129" s="1">
        <f t="shared" si="86"/>
        <v>8.82</v>
      </c>
      <c r="P1129" s="1">
        <v>69</v>
      </c>
      <c r="Q1129" s="1">
        <v>1026</v>
      </c>
      <c r="R1129" s="1" t="str">
        <f t="shared" si="89"/>
        <v>3</v>
      </c>
      <c r="S1129" s="1">
        <v>85</v>
      </c>
      <c r="T1129" s="1" t="str">
        <f t="shared" si="87"/>
        <v>3</v>
      </c>
      <c r="U1129" s="1">
        <v>-33.944499</v>
      </c>
      <c r="V1129" s="3">
        <v>150.99963099999999</v>
      </c>
    </row>
    <row r="1130" spans="1:22" x14ac:dyDescent="0.35">
      <c r="A1130" s="22" t="s">
        <v>3454</v>
      </c>
      <c r="B1130" s="1" t="s">
        <v>3455</v>
      </c>
      <c r="C1130" s="1" t="s">
        <v>3456</v>
      </c>
      <c r="D1130" s="1" t="s">
        <v>386</v>
      </c>
      <c r="E1130" s="1" t="s">
        <v>229</v>
      </c>
      <c r="F1130" s="1" t="s">
        <v>47</v>
      </c>
      <c r="G1130" s="1">
        <f t="shared" si="85"/>
        <v>1</v>
      </c>
      <c r="H1130" s="1" t="s">
        <v>48</v>
      </c>
      <c r="I1130" s="1" t="s">
        <v>49</v>
      </c>
      <c r="J1130" s="23" t="s">
        <v>50</v>
      </c>
      <c r="K1130" s="2" t="s">
        <v>51</v>
      </c>
      <c r="L1130" s="1">
        <v>291</v>
      </c>
      <c r="M1130" s="1">
        <v>5</v>
      </c>
      <c r="N1130" s="1" t="str">
        <f t="shared" si="88"/>
        <v>Published</v>
      </c>
      <c r="O1130" s="1">
        <f t="shared" si="86"/>
        <v>14.55</v>
      </c>
      <c r="P1130" s="1">
        <v>60</v>
      </c>
      <c r="Q1130" s="1">
        <v>1023</v>
      </c>
      <c r="R1130" s="1" t="str">
        <f t="shared" si="89"/>
        <v>3</v>
      </c>
      <c r="S1130" s="1">
        <v>91</v>
      </c>
      <c r="T1130" s="1" t="str">
        <f t="shared" si="87"/>
        <v>2</v>
      </c>
      <c r="U1130" s="1">
        <v>-33.962021</v>
      </c>
      <c r="V1130" s="3">
        <v>151.049429</v>
      </c>
    </row>
    <row r="1131" spans="1:22" x14ac:dyDescent="0.35">
      <c r="A1131" s="22" t="s">
        <v>3457</v>
      </c>
      <c r="B1131" s="1" t="s">
        <v>3458</v>
      </c>
      <c r="C1131" s="1" t="s">
        <v>3459</v>
      </c>
      <c r="D1131" s="1" t="s">
        <v>275</v>
      </c>
      <c r="E1131" s="1" t="s">
        <v>276</v>
      </c>
      <c r="F1131" s="1" t="s">
        <v>57</v>
      </c>
      <c r="G1131" s="1">
        <f t="shared" si="85"/>
        <v>2</v>
      </c>
      <c r="H1131" s="1" t="s">
        <v>58</v>
      </c>
      <c r="I1131" s="1" t="s">
        <v>49</v>
      </c>
      <c r="J1131" s="23" t="s">
        <v>50</v>
      </c>
      <c r="K1131" s="2" t="s">
        <v>51</v>
      </c>
      <c r="L1131" s="1">
        <v>222</v>
      </c>
      <c r="M1131" s="1">
        <v>44</v>
      </c>
      <c r="N1131" s="1" t="str">
        <f t="shared" si="88"/>
        <v>Published</v>
      </c>
      <c r="O1131" s="1">
        <f t="shared" si="86"/>
        <v>97.68</v>
      </c>
      <c r="P1131" s="1">
        <v>5</v>
      </c>
      <c r="Q1131" s="1">
        <v>837</v>
      </c>
      <c r="R1131" s="1" t="str">
        <f t="shared" si="89"/>
        <v>1</v>
      </c>
      <c r="S1131" s="1">
        <v>176</v>
      </c>
      <c r="T1131" s="1" t="str">
        <f t="shared" si="87"/>
        <v>2</v>
      </c>
      <c r="U1131" s="1">
        <v>-31.899750999999998</v>
      </c>
      <c r="V1131" s="3">
        <v>152.482235</v>
      </c>
    </row>
    <row r="1132" spans="1:22" x14ac:dyDescent="0.35">
      <c r="A1132" s="22" t="s">
        <v>3460</v>
      </c>
      <c r="B1132" s="1" t="s">
        <v>3461</v>
      </c>
      <c r="C1132" s="1" t="s">
        <v>1376</v>
      </c>
      <c r="D1132" s="1" t="s">
        <v>146</v>
      </c>
      <c r="E1132" s="1" t="s">
        <v>147</v>
      </c>
      <c r="F1132" s="1" t="s">
        <v>47</v>
      </c>
      <c r="G1132" s="1">
        <f t="shared" si="85"/>
        <v>1</v>
      </c>
      <c r="H1132" s="1" t="s">
        <v>148</v>
      </c>
      <c r="I1132" s="1" t="s">
        <v>49</v>
      </c>
      <c r="J1132" s="23" t="s">
        <v>50</v>
      </c>
      <c r="K1132" s="2" t="s">
        <v>51</v>
      </c>
      <c r="L1132" s="1">
        <v>714</v>
      </c>
      <c r="M1132" s="1"/>
      <c r="N1132" s="1" t="str">
        <f t="shared" si="88"/>
        <v>Suppressed</v>
      </c>
      <c r="O1132" s="1" t="str">
        <f t="shared" si="86"/>
        <v/>
      </c>
      <c r="P1132" s="1">
        <v>60</v>
      </c>
      <c r="Q1132" s="1">
        <v>1143</v>
      </c>
      <c r="R1132" s="1" t="str">
        <f t="shared" si="89"/>
        <v>4</v>
      </c>
      <c r="S1132" s="1">
        <v>9</v>
      </c>
      <c r="T1132" s="1" t="str">
        <f t="shared" si="87"/>
        <v>4</v>
      </c>
      <c r="U1132" s="1">
        <v>-33.803942999999997</v>
      </c>
      <c r="V1132" s="3">
        <v>151.15589499999999</v>
      </c>
    </row>
    <row r="1133" spans="1:22" x14ac:dyDescent="0.35">
      <c r="A1133" s="22" t="s">
        <v>3462</v>
      </c>
      <c r="B1133" s="1" t="s">
        <v>3463</v>
      </c>
      <c r="C1133" s="1" t="s">
        <v>2413</v>
      </c>
      <c r="D1133" s="1" t="s">
        <v>152</v>
      </c>
      <c r="E1133" s="1" t="s">
        <v>229</v>
      </c>
      <c r="F1133" s="1" t="s">
        <v>47</v>
      </c>
      <c r="G1133" s="1">
        <f t="shared" si="85"/>
        <v>1</v>
      </c>
      <c r="H1133" s="1" t="s">
        <v>182</v>
      </c>
      <c r="I1133" s="1" t="s">
        <v>49</v>
      </c>
      <c r="J1133" s="23" t="s">
        <v>50</v>
      </c>
      <c r="K1133" s="2" t="s">
        <v>51</v>
      </c>
      <c r="L1133" s="1">
        <v>312</v>
      </c>
      <c r="M1133" s="1">
        <v>4</v>
      </c>
      <c r="N1133" s="1" t="str">
        <f t="shared" si="88"/>
        <v>Published</v>
      </c>
      <c r="O1133" s="1">
        <f t="shared" si="86"/>
        <v>12.48</v>
      </c>
      <c r="P1133" s="1">
        <v>50</v>
      </c>
      <c r="Q1133" s="1">
        <v>1041</v>
      </c>
      <c r="R1133" s="1" t="str">
        <f t="shared" si="89"/>
        <v>3</v>
      </c>
      <c r="S1133" s="1">
        <v>71</v>
      </c>
      <c r="T1133" s="1" t="str">
        <f t="shared" si="87"/>
        <v>3</v>
      </c>
      <c r="U1133" s="1">
        <v>-33.960526000000002</v>
      </c>
      <c r="V1133" s="3">
        <v>151.017335</v>
      </c>
    </row>
    <row r="1134" spans="1:22" x14ac:dyDescent="0.35">
      <c r="A1134" s="22" t="s">
        <v>3464</v>
      </c>
      <c r="B1134" s="1" t="s">
        <v>3465</v>
      </c>
      <c r="C1134" s="1" t="s">
        <v>3466</v>
      </c>
      <c r="D1134" s="1" t="s">
        <v>191</v>
      </c>
      <c r="E1134" s="1" t="s">
        <v>75</v>
      </c>
      <c r="F1134" s="1" t="s">
        <v>47</v>
      </c>
      <c r="G1134" s="1">
        <f t="shared" si="85"/>
        <v>1</v>
      </c>
      <c r="H1134" s="1" t="s">
        <v>63</v>
      </c>
      <c r="I1134" s="1" t="s">
        <v>49</v>
      </c>
      <c r="J1134" s="23" t="s">
        <v>50</v>
      </c>
      <c r="K1134" s="2" t="s">
        <v>51</v>
      </c>
      <c r="L1134" s="1">
        <v>206</v>
      </c>
      <c r="M1134" s="1">
        <v>24</v>
      </c>
      <c r="N1134" s="1" t="str">
        <f t="shared" si="88"/>
        <v>Published</v>
      </c>
      <c r="O1134" s="1">
        <f t="shared" si="86"/>
        <v>49.44</v>
      </c>
      <c r="P1134" s="1">
        <v>10</v>
      </c>
      <c r="Q1134" s="1">
        <v>931</v>
      </c>
      <c r="R1134" s="1" t="str">
        <f t="shared" si="89"/>
        <v>2</v>
      </c>
      <c r="S1134" s="1">
        <v>116</v>
      </c>
      <c r="T1134" s="1" t="str">
        <f t="shared" si="87"/>
        <v>2</v>
      </c>
      <c r="U1134" s="1">
        <v>-32.973933000000002</v>
      </c>
      <c r="V1134" s="3">
        <v>151.61151000000001</v>
      </c>
    </row>
    <row r="1135" spans="1:22" x14ac:dyDescent="0.35">
      <c r="A1135" s="22" t="s">
        <v>3467</v>
      </c>
      <c r="B1135" s="1" t="s">
        <v>3468</v>
      </c>
      <c r="C1135" s="1" t="s">
        <v>751</v>
      </c>
      <c r="D1135" s="1" t="s">
        <v>751</v>
      </c>
      <c r="E1135" s="1" t="s">
        <v>91</v>
      </c>
      <c r="F1135" s="1" t="s">
        <v>69</v>
      </c>
      <c r="G1135" s="1">
        <f t="shared" si="85"/>
        <v>3</v>
      </c>
      <c r="H1135" s="1" t="s">
        <v>92</v>
      </c>
      <c r="I1135" s="1" t="s">
        <v>49</v>
      </c>
      <c r="J1135" s="23" t="s">
        <v>50</v>
      </c>
      <c r="K1135" s="2" t="s">
        <v>51</v>
      </c>
      <c r="L1135" s="1">
        <v>533</v>
      </c>
      <c r="M1135" s="1">
        <v>41</v>
      </c>
      <c r="N1135" s="1" t="str">
        <f t="shared" si="88"/>
        <v>Published</v>
      </c>
      <c r="O1135" s="1">
        <f t="shared" si="86"/>
        <v>218.53</v>
      </c>
      <c r="P1135" s="1">
        <v>6</v>
      </c>
      <c r="Q1135" s="1">
        <v>902</v>
      </c>
      <c r="R1135" s="1" t="str">
        <f t="shared" si="89"/>
        <v>2</v>
      </c>
      <c r="S1135" s="1">
        <v>114</v>
      </c>
      <c r="T1135" s="1" t="str">
        <f t="shared" si="87"/>
        <v>3</v>
      </c>
      <c r="U1135" s="1">
        <v>-30.991999</v>
      </c>
      <c r="V1135" s="3">
        <v>150.250486</v>
      </c>
    </row>
    <row r="1136" spans="1:22" x14ac:dyDescent="0.35">
      <c r="A1136" s="22" t="s">
        <v>3469</v>
      </c>
      <c r="B1136" s="1" t="s">
        <v>3470</v>
      </c>
      <c r="C1136" s="1" t="s">
        <v>3471</v>
      </c>
      <c r="D1136" s="1" t="s">
        <v>203</v>
      </c>
      <c r="E1136" s="1" t="s">
        <v>204</v>
      </c>
      <c r="F1136" s="1" t="s">
        <v>47</v>
      </c>
      <c r="G1136" s="1">
        <f t="shared" si="85"/>
        <v>1</v>
      </c>
      <c r="H1136" s="1" t="s">
        <v>148</v>
      </c>
      <c r="I1136" s="1" t="s">
        <v>49</v>
      </c>
      <c r="J1136" s="23" t="s">
        <v>50</v>
      </c>
      <c r="K1136" s="2" t="s">
        <v>51</v>
      </c>
      <c r="L1136" s="1">
        <v>462</v>
      </c>
      <c r="M1136" s="1">
        <v>2</v>
      </c>
      <c r="N1136" s="1" t="str">
        <f t="shared" si="88"/>
        <v>Published</v>
      </c>
      <c r="O1136" s="1">
        <f t="shared" si="86"/>
        <v>9.24</v>
      </c>
      <c r="P1136" s="1">
        <v>30</v>
      </c>
      <c r="Q1136" s="1">
        <v>1141</v>
      </c>
      <c r="R1136" s="1" t="str">
        <f t="shared" si="89"/>
        <v>4</v>
      </c>
      <c r="S1136" s="1">
        <v>17</v>
      </c>
      <c r="T1136" s="1" t="str">
        <f t="shared" si="87"/>
        <v>3</v>
      </c>
      <c r="U1136" s="1">
        <v>-33.761581999999997</v>
      </c>
      <c r="V1136" s="3">
        <v>151.21280300000001</v>
      </c>
    </row>
    <row r="1137" spans="1:22" x14ac:dyDescent="0.35">
      <c r="A1137" s="22" t="s">
        <v>3472</v>
      </c>
      <c r="B1137" s="1" t="s">
        <v>3473</v>
      </c>
      <c r="C1137" s="1" t="s">
        <v>703</v>
      </c>
      <c r="D1137" s="1" t="s">
        <v>703</v>
      </c>
      <c r="E1137" s="1" t="s">
        <v>261</v>
      </c>
      <c r="F1137" s="1" t="s">
        <v>57</v>
      </c>
      <c r="G1137" s="1">
        <f t="shared" si="85"/>
        <v>2</v>
      </c>
      <c r="H1137" s="1" t="s">
        <v>70</v>
      </c>
      <c r="I1137" s="1" t="s">
        <v>49</v>
      </c>
      <c r="J1137" s="23" t="s">
        <v>50</v>
      </c>
      <c r="K1137" s="2" t="s">
        <v>51</v>
      </c>
      <c r="L1137" s="1">
        <v>208</v>
      </c>
      <c r="M1137" s="1">
        <v>66</v>
      </c>
      <c r="N1137" s="1" t="str">
        <f t="shared" si="88"/>
        <v>Published</v>
      </c>
      <c r="O1137" s="1">
        <f t="shared" si="86"/>
        <v>137.28</v>
      </c>
      <c r="P1137" s="1">
        <v>3</v>
      </c>
      <c r="Q1137" s="1">
        <v>751</v>
      </c>
      <c r="R1137" s="1" t="str">
        <f t="shared" si="89"/>
        <v>1</v>
      </c>
      <c r="S1137" s="1">
        <v>199</v>
      </c>
      <c r="T1137" s="1" t="str">
        <f t="shared" si="87"/>
        <v>2</v>
      </c>
      <c r="U1137" s="1">
        <v>-33.297204999999998</v>
      </c>
      <c r="V1137" s="3">
        <v>149.11233999999999</v>
      </c>
    </row>
    <row r="1138" spans="1:22" x14ac:dyDescent="0.35">
      <c r="A1138" s="22" t="s">
        <v>3474</v>
      </c>
      <c r="B1138" s="1" t="s">
        <v>3475</v>
      </c>
      <c r="C1138" s="1" t="s">
        <v>3476</v>
      </c>
      <c r="D1138" s="1" t="s">
        <v>203</v>
      </c>
      <c r="E1138" s="1" t="s">
        <v>204</v>
      </c>
      <c r="F1138" s="1" t="s">
        <v>47</v>
      </c>
      <c r="G1138" s="1">
        <f t="shared" si="85"/>
        <v>1</v>
      </c>
      <c r="H1138" s="1" t="s">
        <v>148</v>
      </c>
      <c r="I1138" s="1" t="s">
        <v>49</v>
      </c>
      <c r="J1138" s="23" t="s">
        <v>50</v>
      </c>
      <c r="K1138" s="2" t="s">
        <v>51</v>
      </c>
      <c r="L1138" s="1">
        <v>553</v>
      </c>
      <c r="M1138" s="1"/>
      <c r="N1138" s="1" t="str">
        <f t="shared" si="88"/>
        <v>Suppressed</v>
      </c>
      <c r="O1138" s="1" t="str">
        <f t="shared" si="86"/>
        <v/>
      </c>
      <c r="P1138" s="1">
        <v>24</v>
      </c>
      <c r="Q1138" s="1">
        <v>1129</v>
      </c>
      <c r="R1138" s="1" t="str">
        <f t="shared" si="89"/>
        <v>4</v>
      </c>
      <c r="S1138" s="1">
        <v>19</v>
      </c>
      <c r="T1138" s="1" t="str">
        <f t="shared" si="87"/>
        <v>3</v>
      </c>
      <c r="U1138" s="1">
        <v>-33.783496999999997</v>
      </c>
      <c r="V1138" s="3">
        <v>151.25976</v>
      </c>
    </row>
    <row r="1139" spans="1:22" x14ac:dyDescent="0.35">
      <c r="A1139" s="22" t="s">
        <v>3477</v>
      </c>
      <c r="B1139" s="1" t="s">
        <v>3478</v>
      </c>
      <c r="C1139" s="1" t="s">
        <v>3479</v>
      </c>
      <c r="D1139" s="1" t="s">
        <v>191</v>
      </c>
      <c r="E1139" s="1" t="s">
        <v>75</v>
      </c>
      <c r="F1139" s="1" t="s">
        <v>47</v>
      </c>
      <c r="G1139" s="1">
        <f t="shared" si="85"/>
        <v>1</v>
      </c>
      <c r="H1139" s="1" t="s">
        <v>63</v>
      </c>
      <c r="I1139" s="1" t="s">
        <v>49</v>
      </c>
      <c r="J1139" s="23" t="s">
        <v>50</v>
      </c>
      <c r="K1139" s="2" t="s">
        <v>51</v>
      </c>
      <c r="L1139" s="1">
        <v>245</v>
      </c>
      <c r="M1139" s="1">
        <v>6</v>
      </c>
      <c r="N1139" s="1" t="str">
        <f t="shared" si="88"/>
        <v>Published</v>
      </c>
      <c r="O1139" s="1">
        <f t="shared" si="86"/>
        <v>14.7</v>
      </c>
      <c r="P1139" s="1">
        <v>6</v>
      </c>
      <c r="Q1139" s="1">
        <v>1065</v>
      </c>
      <c r="R1139" s="1" t="str">
        <f t="shared" si="89"/>
        <v>3</v>
      </c>
      <c r="S1139" s="1">
        <v>55</v>
      </c>
      <c r="T1139" s="1" t="str">
        <f t="shared" si="87"/>
        <v>2</v>
      </c>
      <c r="U1139" s="1">
        <v>-33.040827999999998</v>
      </c>
      <c r="V1139" s="3">
        <v>151.61079799999999</v>
      </c>
    </row>
    <row r="1140" spans="1:22" x14ac:dyDescent="0.35">
      <c r="A1140" s="22" t="s">
        <v>3480</v>
      </c>
      <c r="B1140" s="1" t="s">
        <v>3481</v>
      </c>
      <c r="C1140" s="1" t="s">
        <v>2593</v>
      </c>
      <c r="D1140" s="1" t="s">
        <v>737</v>
      </c>
      <c r="E1140" s="1" t="s">
        <v>738</v>
      </c>
      <c r="F1140" s="1" t="s">
        <v>47</v>
      </c>
      <c r="G1140" s="1">
        <f t="shared" si="85"/>
        <v>1</v>
      </c>
      <c r="H1140" s="1" t="s">
        <v>182</v>
      </c>
      <c r="I1140" s="1" t="s">
        <v>49</v>
      </c>
      <c r="J1140" s="23" t="s">
        <v>50</v>
      </c>
      <c r="K1140" s="2" t="s">
        <v>51</v>
      </c>
      <c r="L1140" s="1">
        <v>482</v>
      </c>
      <c r="M1140" s="1">
        <v>5</v>
      </c>
      <c r="N1140" s="1" t="str">
        <f t="shared" si="88"/>
        <v>Published</v>
      </c>
      <c r="O1140" s="1">
        <f t="shared" si="86"/>
        <v>24.1</v>
      </c>
      <c r="P1140" s="1">
        <v>36</v>
      </c>
      <c r="Q1140" s="1">
        <v>1056</v>
      </c>
      <c r="R1140" s="1" t="str">
        <f t="shared" si="89"/>
        <v>3</v>
      </c>
      <c r="S1140" s="1">
        <v>63</v>
      </c>
      <c r="T1140" s="1" t="str">
        <f t="shared" si="87"/>
        <v>3</v>
      </c>
      <c r="U1140" s="1">
        <v>-34.012723999999999</v>
      </c>
      <c r="V1140" s="3">
        <v>151.09734399999999</v>
      </c>
    </row>
    <row r="1141" spans="1:22" x14ac:dyDescent="0.35">
      <c r="A1141" s="22" t="s">
        <v>3482</v>
      </c>
      <c r="B1141" s="1" t="s">
        <v>3483</v>
      </c>
      <c r="C1141" s="1" t="s">
        <v>310</v>
      </c>
      <c r="D1141" s="1" t="s">
        <v>310</v>
      </c>
      <c r="E1141" s="1" t="s">
        <v>80</v>
      </c>
      <c r="F1141" s="1" t="s">
        <v>69</v>
      </c>
      <c r="G1141" s="1">
        <f t="shared" si="85"/>
        <v>3</v>
      </c>
      <c r="H1141" s="1" t="s">
        <v>70</v>
      </c>
      <c r="I1141" s="1" t="s">
        <v>49</v>
      </c>
      <c r="J1141" s="23" t="s">
        <v>50</v>
      </c>
      <c r="K1141" s="2" t="s">
        <v>51</v>
      </c>
      <c r="L1141" s="1">
        <v>418</v>
      </c>
      <c r="M1141" s="1">
        <v>19</v>
      </c>
      <c r="N1141" s="1" t="str">
        <f t="shared" si="88"/>
        <v>Published</v>
      </c>
      <c r="O1141" s="1">
        <f t="shared" si="86"/>
        <v>79.42</v>
      </c>
      <c r="P1141" s="1">
        <v>24</v>
      </c>
      <c r="Q1141" s="1">
        <v>960</v>
      </c>
      <c r="R1141" s="1" t="str">
        <f t="shared" si="89"/>
        <v>2</v>
      </c>
      <c r="S1141" s="1">
        <v>109</v>
      </c>
      <c r="T1141" s="1" t="str">
        <f t="shared" si="87"/>
        <v>3</v>
      </c>
      <c r="U1141" s="1">
        <v>-34.279921999999999</v>
      </c>
      <c r="V1141" s="3">
        <v>146.04790299999999</v>
      </c>
    </row>
    <row r="1142" spans="1:22" x14ac:dyDescent="0.35">
      <c r="A1142" s="22" t="s">
        <v>3484</v>
      </c>
      <c r="B1142" s="1" t="s">
        <v>3485</v>
      </c>
      <c r="C1142" s="1" t="s">
        <v>3486</v>
      </c>
      <c r="D1142" s="1" t="s">
        <v>642</v>
      </c>
      <c r="E1142" s="1" t="s">
        <v>170</v>
      </c>
      <c r="F1142" s="1" t="s">
        <v>47</v>
      </c>
      <c r="G1142" s="1">
        <f t="shared" si="85"/>
        <v>1</v>
      </c>
      <c r="H1142" s="1" t="s">
        <v>148</v>
      </c>
      <c r="I1142" s="1" t="s">
        <v>49</v>
      </c>
      <c r="J1142" s="23" t="s">
        <v>50</v>
      </c>
      <c r="K1142" s="2" t="s">
        <v>51</v>
      </c>
      <c r="L1142" s="1">
        <v>312</v>
      </c>
      <c r="M1142" s="1">
        <v>5</v>
      </c>
      <c r="N1142" s="1" t="str">
        <f t="shared" si="88"/>
        <v>Published</v>
      </c>
      <c r="O1142" s="1">
        <f t="shared" si="86"/>
        <v>15.600000000000001</v>
      </c>
      <c r="P1142" s="1">
        <v>66</v>
      </c>
      <c r="Q1142" s="1">
        <v>1070</v>
      </c>
      <c r="R1142" s="1" t="str">
        <f t="shared" si="89"/>
        <v>3</v>
      </c>
      <c r="S1142" s="1">
        <v>47</v>
      </c>
      <c r="T1142" s="1" t="str">
        <f t="shared" si="87"/>
        <v>3</v>
      </c>
      <c r="U1142" s="1">
        <v>-33.804423999999997</v>
      </c>
      <c r="V1142" s="3">
        <v>151.03639899999999</v>
      </c>
    </row>
    <row r="1143" spans="1:22" x14ac:dyDescent="0.35">
      <c r="A1143" s="22" t="s">
        <v>3487</v>
      </c>
      <c r="B1143" s="1" t="s">
        <v>3488</v>
      </c>
      <c r="C1143" s="1" t="s">
        <v>3489</v>
      </c>
      <c r="D1143" s="1" t="s">
        <v>191</v>
      </c>
      <c r="E1143" s="1" t="s">
        <v>75</v>
      </c>
      <c r="F1143" s="1" t="s">
        <v>47</v>
      </c>
      <c r="G1143" s="1">
        <f t="shared" si="85"/>
        <v>1</v>
      </c>
      <c r="H1143" s="1" t="s">
        <v>63</v>
      </c>
      <c r="I1143" s="1" t="s">
        <v>49</v>
      </c>
      <c r="J1143" s="23" t="s">
        <v>50</v>
      </c>
      <c r="K1143" s="2" t="s">
        <v>51</v>
      </c>
      <c r="L1143" s="1">
        <v>506</v>
      </c>
      <c r="M1143" s="1">
        <v>4</v>
      </c>
      <c r="N1143" s="1" t="str">
        <f t="shared" si="88"/>
        <v>Published</v>
      </c>
      <c r="O1143" s="1">
        <f t="shared" si="86"/>
        <v>20.240000000000002</v>
      </c>
      <c r="P1143" s="1">
        <v>12</v>
      </c>
      <c r="Q1143" s="1">
        <v>1105</v>
      </c>
      <c r="R1143" s="1" t="str">
        <f t="shared" si="89"/>
        <v>4</v>
      </c>
      <c r="S1143" s="1">
        <v>37</v>
      </c>
      <c r="T1143" s="1" t="str">
        <f t="shared" si="87"/>
        <v>3</v>
      </c>
      <c r="U1143" s="1">
        <v>-32.990501999999999</v>
      </c>
      <c r="V1143" s="3">
        <v>151.64261999999999</v>
      </c>
    </row>
    <row r="1144" spans="1:22" x14ac:dyDescent="0.35">
      <c r="A1144" s="22" t="s">
        <v>3490</v>
      </c>
      <c r="B1144" s="1" t="s">
        <v>3491</v>
      </c>
      <c r="C1144" s="1" t="s">
        <v>3492</v>
      </c>
      <c r="D1144" s="1" t="s">
        <v>176</v>
      </c>
      <c r="E1144" s="1" t="s">
        <v>85</v>
      </c>
      <c r="F1144" s="1" t="s">
        <v>47</v>
      </c>
      <c r="G1144" s="1">
        <f t="shared" si="85"/>
        <v>1</v>
      </c>
      <c r="H1144" s="1" t="s">
        <v>86</v>
      </c>
      <c r="I1144" s="1" t="s">
        <v>49</v>
      </c>
      <c r="J1144" s="23" t="s">
        <v>50</v>
      </c>
      <c r="K1144" s="2" t="s">
        <v>51</v>
      </c>
      <c r="L1144" s="1">
        <v>163</v>
      </c>
      <c r="M1144" s="1">
        <v>9</v>
      </c>
      <c r="N1144" s="1" t="str">
        <f t="shared" si="88"/>
        <v>Published</v>
      </c>
      <c r="O1144" s="1">
        <f t="shared" si="86"/>
        <v>14.67</v>
      </c>
      <c r="P1144" s="1">
        <v>79</v>
      </c>
      <c r="Q1144" s="1">
        <v>936</v>
      </c>
      <c r="R1144" s="1" t="str">
        <f t="shared" si="89"/>
        <v>2</v>
      </c>
      <c r="S1144" s="1">
        <v>148</v>
      </c>
      <c r="T1144" s="1" t="str">
        <f t="shared" si="87"/>
        <v>2</v>
      </c>
      <c r="U1144" s="1">
        <v>-34.471975</v>
      </c>
      <c r="V1144" s="3">
        <v>150.86986999999999</v>
      </c>
    </row>
    <row r="1145" spans="1:22" x14ac:dyDescent="0.35">
      <c r="A1145" s="22" t="s">
        <v>3493</v>
      </c>
      <c r="B1145" s="1" t="s">
        <v>3494</v>
      </c>
      <c r="C1145" s="1" t="s">
        <v>3495</v>
      </c>
      <c r="D1145" s="1" t="s">
        <v>642</v>
      </c>
      <c r="E1145" s="1" t="s">
        <v>306</v>
      </c>
      <c r="F1145" s="1" t="s">
        <v>47</v>
      </c>
      <c r="G1145" s="1">
        <f t="shared" si="85"/>
        <v>1</v>
      </c>
      <c r="H1145" s="1" t="s">
        <v>148</v>
      </c>
      <c r="I1145" s="1" t="s">
        <v>49</v>
      </c>
      <c r="J1145" s="23" t="s">
        <v>50</v>
      </c>
      <c r="K1145" s="2" t="s">
        <v>51</v>
      </c>
      <c r="L1145" s="1">
        <v>396</v>
      </c>
      <c r="M1145" s="1">
        <v>0</v>
      </c>
      <c r="N1145" s="1" t="str">
        <f t="shared" si="88"/>
        <v>Published</v>
      </c>
      <c r="O1145" s="1">
        <f t="shared" si="86"/>
        <v>0</v>
      </c>
      <c r="P1145" s="1">
        <v>91</v>
      </c>
      <c r="Q1145" s="1">
        <v>1152</v>
      </c>
      <c r="R1145" s="1" t="str">
        <f t="shared" si="89"/>
        <v>4</v>
      </c>
      <c r="S1145" s="1">
        <v>10</v>
      </c>
      <c r="T1145" s="1" t="str">
        <f t="shared" si="87"/>
        <v>3</v>
      </c>
      <c r="U1145" s="1">
        <v>-33.762695000000001</v>
      </c>
      <c r="V1145" s="3">
        <v>151.07408000000001</v>
      </c>
    </row>
    <row r="1146" spans="1:22" x14ac:dyDescent="0.35">
      <c r="A1146" s="22" t="s">
        <v>3496</v>
      </c>
      <c r="B1146" s="1" t="s">
        <v>3497</v>
      </c>
      <c r="C1146" s="1" t="s">
        <v>3217</v>
      </c>
      <c r="D1146" s="1" t="s">
        <v>1155</v>
      </c>
      <c r="E1146" s="1" t="s">
        <v>306</v>
      </c>
      <c r="F1146" s="1" t="s">
        <v>47</v>
      </c>
      <c r="G1146" s="1">
        <f t="shared" si="85"/>
        <v>1</v>
      </c>
      <c r="H1146" s="1" t="s">
        <v>148</v>
      </c>
      <c r="I1146" s="1" t="s">
        <v>49</v>
      </c>
      <c r="J1146" s="23" t="s">
        <v>50</v>
      </c>
      <c r="K1146" s="2" t="s">
        <v>51</v>
      </c>
      <c r="L1146" s="1">
        <v>416</v>
      </c>
      <c r="M1146" s="1"/>
      <c r="N1146" s="1" t="str">
        <f t="shared" si="88"/>
        <v>Suppressed</v>
      </c>
      <c r="O1146" s="1" t="str">
        <f t="shared" si="86"/>
        <v/>
      </c>
      <c r="P1146" s="1">
        <v>74</v>
      </c>
      <c r="Q1146" s="1">
        <v>1119</v>
      </c>
      <c r="R1146" s="1" t="str">
        <f t="shared" si="89"/>
        <v>4</v>
      </c>
      <c r="S1146" s="1">
        <v>18</v>
      </c>
      <c r="T1146" s="1" t="str">
        <f t="shared" si="87"/>
        <v>3</v>
      </c>
      <c r="U1146" s="1">
        <v>-33.781914</v>
      </c>
      <c r="V1146" s="3">
        <v>151.095463</v>
      </c>
    </row>
    <row r="1147" spans="1:22" x14ac:dyDescent="0.35">
      <c r="A1147" s="22" t="s">
        <v>3498</v>
      </c>
      <c r="B1147" s="1" t="s">
        <v>3499</v>
      </c>
      <c r="C1147" s="1" t="s">
        <v>176</v>
      </c>
      <c r="D1147" s="1" t="s">
        <v>176</v>
      </c>
      <c r="E1147" s="1" t="s">
        <v>85</v>
      </c>
      <c r="F1147" s="1" t="s">
        <v>47</v>
      </c>
      <c r="G1147" s="1">
        <f t="shared" si="85"/>
        <v>1</v>
      </c>
      <c r="H1147" s="1" t="s">
        <v>86</v>
      </c>
      <c r="I1147" s="1" t="s">
        <v>49</v>
      </c>
      <c r="J1147" s="23" t="s">
        <v>50</v>
      </c>
      <c r="K1147" s="2" t="s">
        <v>51</v>
      </c>
      <c r="L1147" s="1">
        <v>334</v>
      </c>
      <c r="M1147" s="1">
        <v>4</v>
      </c>
      <c r="N1147" s="1" t="str">
        <f t="shared" si="88"/>
        <v>Published</v>
      </c>
      <c r="O1147" s="1">
        <f t="shared" si="86"/>
        <v>13.36</v>
      </c>
      <c r="P1147" s="1">
        <v>21</v>
      </c>
      <c r="Q1147" s="1">
        <v>1068</v>
      </c>
      <c r="R1147" s="1" t="str">
        <f t="shared" si="89"/>
        <v>3</v>
      </c>
      <c r="S1147" s="1">
        <v>54</v>
      </c>
      <c r="T1147" s="1" t="str">
        <f t="shared" si="87"/>
        <v>3</v>
      </c>
      <c r="U1147" s="1">
        <v>-34.430003999999997</v>
      </c>
      <c r="V1147" s="3">
        <v>150.86094199999999</v>
      </c>
    </row>
    <row r="1148" spans="1:22" x14ac:dyDescent="0.35">
      <c r="A1148" s="22" t="s">
        <v>3500</v>
      </c>
      <c r="B1148" s="1" t="s">
        <v>3501</v>
      </c>
      <c r="C1148" s="1" t="s">
        <v>3502</v>
      </c>
      <c r="D1148" s="1" t="s">
        <v>126</v>
      </c>
      <c r="E1148" s="1" t="s">
        <v>147</v>
      </c>
      <c r="F1148" s="1" t="s">
        <v>47</v>
      </c>
      <c r="G1148" s="1">
        <f t="shared" si="85"/>
        <v>1</v>
      </c>
      <c r="H1148" s="1" t="s">
        <v>63</v>
      </c>
      <c r="I1148" s="1" t="s">
        <v>49</v>
      </c>
      <c r="J1148" s="23" t="s">
        <v>50</v>
      </c>
      <c r="K1148" s="2" t="s">
        <v>51</v>
      </c>
      <c r="L1148" s="1">
        <v>132</v>
      </c>
      <c r="M1148" s="1"/>
      <c r="N1148" s="1" t="str">
        <f t="shared" si="88"/>
        <v>Suppressed</v>
      </c>
      <c r="O1148" s="1" t="str">
        <f t="shared" si="86"/>
        <v/>
      </c>
      <c r="P1148" s="1">
        <v>22</v>
      </c>
      <c r="Q1148" s="1">
        <v>1083</v>
      </c>
      <c r="R1148" s="1" t="str">
        <f t="shared" si="89"/>
        <v>3</v>
      </c>
      <c r="S1148" s="1">
        <v>43</v>
      </c>
      <c r="T1148" s="1" t="str">
        <f t="shared" si="87"/>
        <v>2</v>
      </c>
      <c r="U1148" s="1">
        <v>-33.657474000000001</v>
      </c>
      <c r="V1148" s="3">
        <v>151.135604</v>
      </c>
    </row>
    <row r="1149" spans="1:22" x14ac:dyDescent="0.35">
      <c r="A1149" s="22" t="s">
        <v>3503</v>
      </c>
      <c r="B1149" s="1" t="s">
        <v>3504</v>
      </c>
      <c r="C1149" s="1" t="s">
        <v>3505</v>
      </c>
      <c r="D1149" s="1" t="s">
        <v>186</v>
      </c>
      <c r="E1149" s="1" t="s">
        <v>187</v>
      </c>
      <c r="F1149" s="1" t="s">
        <v>47</v>
      </c>
      <c r="G1149" s="1">
        <f t="shared" si="85"/>
        <v>1</v>
      </c>
      <c r="H1149" s="1" t="s">
        <v>63</v>
      </c>
      <c r="I1149" s="1" t="s">
        <v>49</v>
      </c>
      <c r="J1149" s="23" t="s">
        <v>50</v>
      </c>
      <c r="K1149" s="2" t="s">
        <v>51</v>
      </c>
      <c r="L1149" s="1">
        <v>479</v>
      </c>
      <c r="M1149" s="1">
        <v>5</v>
      </c>
      <c r="N1149" s="1" t="str">
        <f t="shared" si="88"/>
        <v>Published</v>
      </c>
      <c r="O1149" s="1">
        <f t="shared" si="86"/>
        <v>23.950000000000003</v>
      </c>
      <c r="P1149" s="1">
        <v>22</v>
      </c>
      <c r="Q1149" s="1">
        <v>1058</v>
      </c>
      <c r="R1149" s="1" t="str">
        <f t="shared" si="89"/>
        <v>3</v>
      </c>
      <c r="S1149" s="1">
        <v>57</v>
      </c>
      <c r="T1149" s="1" t="str">
        <f t="shared" si="87"/>
        <v>3</v>
      </c>
      <c r="U1149" s="1">
        <v>-33.443519000000002</v>
      </c>
      <c r="V1149" s="3">
        <v>151.32773399999999</v>
      </c>
    </row>
    <row r="1150" spans="1:22" x14ac:dyDescent="0.35">
      <c r="A1150" s="22" t="s">
        <v>3506</v>
      </c>
      <c r="B1150" s="1" t="s">
        <v>3507</v>
      </c>
      <c r="C1150" s="1" t="s">
        <v>2007</v>
      </c>
      <c r="D1150" s="1" t="s">
        <v>386</v>
      </c>
      <c r="E1150" s="1" t="s">
        <v>229</v>
      </c>
      <c r="F1150" s="1" t="s">
        <v>47</v>
      </c>
      <c r="G1150" s="1">
        <f t="shared" si="85"/>
        <v>1</v>
      </c>
      <c r="H1150" s="1" t="s">
        <v>48</v>
      </c>
      <c r="I1150" s="1" t="s">
        <v>49</v>
      </c>
      <c r="J1150" s="23" t="s">
        <v>50</v>
      </c>
      <c r="K1150" s="2" t="s">
        <v>51</v>
      </c>
      <c r="L1150" s="1">
        <v>220</v>
      </c>
      <c r="M1150" s="1">
        <v>3</v>
      </c>
      <c r="N1150" s="1" t="str">
        <f t="shared" si="88"/>
        <v>Published</v>
      </c>
      <c r="O1150" s="1">
        <f t="shared" si="86"/>
        <v>6.6</v>
      </c>
      <c r="P1150" s="1">
        <v>58</v>
      </c>
      <c r="Q1150" s="1">
        <v>1047</v>
      </c>
      <c r="R1150" s="1" t="str">
        <f t="shared" si="89"/>
        <v>3</v>
      </c>
      <c r="S1150" s="1">
        <v>64</v>
      </c>
      <c r="T1150" s="1" t="str">
        <f t="shared" si="87"/>
        <v>2</v>
      </c>
      <c r="U1150" s="1">
        <v>-33.962114999999997</v>
      </c>
      <c r="V1150" s="3">
        <v>151.07217600000001</v>
      </c>
    </row>
    <row r="1151" spans="1:22" x14ac:dyDescent="0.35">
      <c r="A1151" s="22" t="s">
        <v>3508</v>
      </c>
      <c r="B1151" s="1" t="s">
        <v>3509</v>
      </c>
      <c r="C1151" s="1" t="s">
        <v>3510</v>
      </c>
      <c r="D1151" s="1" t="s">
        <v>236</v>
      </c>
      <c r="E1151" s="1" t="s">
        <v>107</v>
      </c>
      <c r="F1151" s="1" t="s">
        <v>47</v>
      </c>
      <c r="G1151" s="1">
        <f t="shared" si="85"/>
        <v>1</v>
      </c>
      <c r="H1151" s="1" t="s">
        <v>92</v>
      </c>
      <c r="I1151" s="1" t="s">
        <v>49</v>
      </c>
      <c r="J1151" s="23" t="s">
        <v>50</v>
      </c>
      <c r="K1151" s="2" t="s">
        <v>51</v>
      </c>
      <c r="L1151" s="1">
        <v>455</v>
      </c>
      <c r="M1151" s="1">
        <v>10</v>
      </c>
      <c r="N1151" s="1" t="str">
        <f t="shared" si="88"/>
        <v>Published</v>
      </c>
      <c r="O1151" s="1">
        <f t="shared" si="86"/>
        <v>45.5</v>
      </c>
      <c r="P1151" s="1">
        <v>11</v>
      </c>
      <c r="Q1151" s="1">
        <v>1058</v>
      </c>
      <c r="R1151" s="1" t="str">
        <f t="shared" si="89"/>
        <v>3</v>
      </c>
      <c r="S1151" s="1">
        <v>64</v>
      </c>
      <c r="T1151" s="1" t="str">
        <f t="shared" si="87"/>
        <v>3</v>
      </c>
      <c r="U1151" s="1">
        <v>-28.259374999999999</v>
      </c>
      <c r="V1151" s="3">
        <v>153.579497</v>
      </c>
    </row>
    <row r="1152" spans="1:22" x14ac:dyDescent="0.35">
      <c r="A1152" s="22" t="s">
        <v>3511</v>
      </c>
      <c r="B1152" s="1" t="s">
        <v>3512</v>
      </c>
      <c r="C1152" s="1" t="s">
        <v>2483</v>
      </c>
      <c r="D1152" s="1" t="s">
        <v>1131</v>
      </c>
      <c r="E1152" s="1" t="s">
        <v>429</v>
      </c>
      <c r="F1152" s="1" t="s">
        <v>47</v>
      </c>
      <c r="G1152" s="1">
        <f t="shared" si="85"/>
        <v>1</v>
      </c>
      <c r="H1152" s="1" t="s">
        <v>182</v>
      </c>
      <c r="I1152" s="1" t="s">
        <v>49</v>
      </c>
      <c r="J1152" s="23" t="s">
        <v>50</v>
      </c>
      <c r="K1152" s="2" t="s">
        <v>51</v>
      </c>
      <c r="L1152" s="1">
        <v>601</v>
      </c>
      <c r="M1152" s="1">
        <v>13</v>
      </c>
      <c r="N1152" s="1" t="str">
        <f t="shared" si="88"/>
        <v>Published</v>
      </c>
      <c r="O1152" s="1">
        <f t="shared" si="86"/>
        <v>78.13000000000001</v>
      </c>
      <c r="P1152" s="1">
        <v>56</v>
      </c>
      <c r="Q1152" s="1">
        <v>953</v>
      </c>
      <c r="R1152" s="1" t="str">
        <f t="shared" si="89"/>
        <v>2</v>
      </c>
      <c r="S1152" s="1">
        <v>116</v>
      </c>
      <c r="T1152" s="1" t="str">
        <f t="shared" si="87"/>
        <v>4</v>
      </c>
      <c r="U1152" s="1">
        <v>-33.771450999999999</v>
      </c>
      <c r="V1152" s="3">
        <v>150.788894</v>
      </c>
    </row>
    <row r="1153" spans="1:22" x14ac:dyDescent="0.35">
      <c r="A1153" s="22" t="s">
        <v>3513</v>
      </c>
      <c r="B1153" s="1" t="s">
        <v>3514</v>
      </c>
      <c r="C1153" s="1" t="s">
        <v>3515</v>
      </c>
      <c r="D1153" s="1" t="s">
        <v>837</v>
      </c>
      <c r="E1153" s="1" t="s">
        <v>838</v>
      </c>
      <c r="F1153" s="1" t="s">
        <v>47</v>
      </c>
      <c r="G1153" s="1">
        <f t="shared" si="85"/>
        <v>1</v>
      </c>
      <c r="H1153" s="1" t="s">
        <v>182</v>
      </c>
      <c r="I1153" s="1" t="s">
        <v>49</v>
      </c>
      <c r="J1153" s="23" t="s">
        <v>50</v>
      </c>
      <c r="K1153" s="2" t="s">
        <v>51</v>
      </c>
      <c r="L1153" s="1">
        <v>645</v>
      </c>
      <c r="M1153" s="1">
        <v>9</v>
      </c>
      <c r="N1153" s="1" t="str">
        <f t="shared" si="88"/>
        <v>Published</v>
      </c>
      <c r="O1153" s="1">
        <f t="shared" si="86"/>
        <v>58.05</v>
      </c>
      <c r="P1153" s="1">
        <v>68</v>
      </c>
      <c r="Q1153" s="1">
        <v>990</v>
      </c>
      <c r="R1153" s="1" t="str">
        <f t="shared" si="89"/>
        <v>2</v>
      </c>
      <c r="S1153" s="1">
        <v>95</v>
      </c>
      <c r="T1153" s="1" t="str">
        <f t="shared" si="87"/>
        <v>4</v>
      </c>
      <c r="U1153" s="1">
        <v>-33.769292</v>
      </c>
      <c r="V1153" s="3">
        <v>150.84043500000001</v>
      </c>
    </row>
    <row r="1154" spans="1:22" x14ac:dyDescent="0.35">
      <c r="A1154" s="22" t="s">
        <v>3516</v>
      </c>
      <c r="B1154" s="1" t="s">
        <v>3517</v>
      </c>
      <c r="C1154" s="1" t="s">
        <v>3518</v>
      </c>
      <c r="D1154" s="1" t="s">
        <v>152</v>
      </c>
      <c r="E1154" s="1" t="s">
        <v>229</v>
      </c>
      <c r="F1154" s="1" t="s">
        <v>47</v>
      </c>
      <c r="G1154" s="1">
        <f t="shared" ref="G1154:G1217" si="90">IF(F1154="Major Cities of Australia",1,IF(F1154="Inner Regional Australia",2,IF(F1154="Outer Regional Australia",3,IF(F1154="Remote Australia",4,IF(F1154="Very Remote Australia",5,6)))))</f>
        <v>1</v>
      </c>
      <c r="H1154" s="1" t="s">
        <v>48</v>
      </c>
      <c r="I1154" s="1" t="s">
        <v>49</v>
      </c>
      <c r="J1154" s="23" t="s">
        <v>50</v>
      </c>
      <c r="K1154" s="2" t="s">
        <v>51</v>
      </c>
      <c r="L1154" s="1">
        <v>451</v>
      </c>
      <c r="M1154" s="1"/>
      <c r="N1154" s="1" t="str">
        <f t="shared" si="88"/>
        <v>Suppressed</v>
      </c>
      <c r="O1154" s="1" t="str">
        <f t="shared" ref="O1154:O1217" si="91">IF(OR(M1154="",L1154=""),"",M1154/100*L1154)</f>
        <v/>
      </c>
      <c r="P1154" s="1">
        <v>94</v>
      </c>
      <c r="Q1154" s="1">
        <v>967</v>
      </c>
      <c r="R1154" s="1" t="str">
        <f t="shared" si="89"/>
        <v>2</v>
      </c>
      <c r="S1154" s="1">
        <v>129</v>
      </c>
      <c r="T1154" s="1" t="str">
        <f t="shared" ref="T1154:T1217" si="92">IF(L1154="","No enrolment",IF(L1154&lt;100,"1",IF(L1154&lt;300,"2",IF(L1154&lt;600,"3",IF(L1154&lt;1000,"4","5")))))</f>
        <v>3</v>
      </c>
      <c r="U1154" s="1">
        <v>-33.895595999999998</v>
      </c>
      <c r="V1154" s="3">
        <v>151.02007</v>
      </c>
    </row>
    <row r="1155" spans="1:22" x14ac:dyDescent="0.35">
      <c r="A1155" s="22" t="s">
        <v>3519</v>
      </c>
      <c r="B1155" s="1" t="s">
        <v>3520</v>
      </c>
      <c r="C1155" s="1" t="s">
        <v>3521</v>
      </c>
      <c r="D1155" s="1" t="s">
        <v>689</v>
      </c>
      <c r="E1155" s="1" t="s">
        <v>122</v>
      </c>
      <c r="F1155" s="1" t="s">
        <v>47</v>
      </c>
      <c r="G1155" s="1">
        <f t="shared" si="90"/>
        <v>1</v>
      </c>
      <c r="H1155" s="1" t="s">
        <v>182</v>
      </c>
      <c r="I1155" s="1" t="s">
        <v>49</v>
      </c>
      <c r="J1155" s="23" t="s">
        <v>50</v>
      </c>
      <c r="K1155" s="2" t="s">
        <v>51</v>
      </c>
      <c r="L1155" s="1">
        <v>516</v>
      </c>
      <c r="M1155" s="1">
        <v>5</v>
      </c>
      <c r="N1155" s="1" t="str">
        <f t="shared" ref="N1155:N1218" si="93">IF(M1155="","Suppressed","Published")</f>
        <v>Published</v>
      </c>
      <c r="O1155" s="1">
        <f t="shared" si="91"/>
        <v>25.8</v>
      </c>
      <c r="P1155" s="1">
        <v>67</v>
      </c>
      <c r="Q1155" s="1">
        <v>1034</v>
      </c>
      <c r="R1155" s="1" t="str">
        <f t="shared" ref="R1155:R1218" si="94">IF(Q1155="","No ICSEA",IF(Q1155&lt;900,"1",IF(Q1155&lt;1000,"2",IF(Q1155&lt;1100,"3","4"))))</f>
        <v>3</v>
      </c>
      <c r="S1155" s="1">
        <v>71</v>
      </c>
      <c r="T1155" s="1" t="str">
        <f t="shared" si="92"/>
        <v>3</v>
      </c>
      <c r="U1155" s="1">
        <v>-34.049424999999999</v>
      </c>
      <c r="V1155" s="3">
        <v>150.840373</v>
      </c>
    </row>
    <row r="1156" spans="1:22" x14ac:dyDescent="0.35">
      <c r="A1156" s="22" t="s">
        <v>3522</v>
      </c>
      <c r="B1156" s="1" t="s">
        <v>3523</v>
      </c>
      <c r="C1156" s="1" t="s">
        <v>232</v>
      </c>
      <c r="D1156" s="1" t="s">
        <v>152</v>
      </c>
      <c r="E1156" s="1" t="s">
        <v>229</v>
      </c>
      <c r="F1156" s="1" t="s">
        <v>47</v>
      </c>
      <c r="G1156" s="1">
        <f t="shared" si="90"/>
        <v>1</v>
      </c>
      <c r="H1156" s="1" t="s">
        <v>182</v>
      </c>
      <c r="I1156" s="1" t="s">
        <v>49</v>
      </c>
      <c r="J1156" s="23" t="s">
        <v>50</v>
      </c>
      <c r="K1156" s="2" t="s">
        <v>51</v>
      </c>
      <c r="L1156" s="1">
        <v>196</v>
      </c>
      <c r="M1156" s="1">
        <v>3</v>
      </c>
      <c r="N1156" s="1" t="str">
        <f t="shared" si="93"/>
        <v>Published</v>
      </c>
      <c r="O1156" s="1">
        <f t="shared" si="91"/>
        <v>5.88</v>
      </c>
      <c r="P1156" s="1">
        <v>91</v>
      </c>
      <c r="Q1156" s="1">
        <v>939</v>
      </c>
      <c r="R1156" s="1" t="str">
        <f t="shared" si="94"/>
        <v>2</v>
      </c>
      <c r="S1156" s="1">
        <v>148</v>
      </c>
      <c r="T1156" s="1" t="str">
        <f t="shared" si="92"/>
        <v>2</v>
      </c>
      <c r="U1156" s="1">
        <v>-33.914921</v>
      </c>
      <c r="V1156" s="3">
        <v>151.01209499999999</v>
      </c>
    </row>
    <row r="1157" spans="1:22" x14ac:dyDescent="0.35">
      <c r="A1157" s="22" t="s">
        <v>3524</v>
      </c>
      <c r="B1157" s="1" t="s">
        <v>3525</v>
      </c>
      <c r="C1157" s="1" t="s">
        <v>3526</v>
      </c>
      <c r="D1157" s="1" t="s">
        <v>1131</v>
      </c>
      <c r="E1157" s="1" t="s">
        <v>429</v>
      </c>
      <c r="F1157" s="1" t="s">
        <v>47</v>
      </c>
      <c r="G1157" s="1">
        <f t="shared" si="90"/>
        <v>1</v>
      </c>
      <c r="H1157" s="1" t="s">
        <v>148</v>
      </c>
      <c r="I1157" s="1" t="s">
        <v>49</v>
      </c>
      <c r="J1157" s="23" t="s">
        <v>50</v>
      </c>
      <c r="K1157" s="2" t="s">
        <v>51</v>
      </c>
      <c r="L1157" s="1">
        <v>523</v>
      </c>
      <c r="M1157" s="1">
        <v>16</v>
      </c>
      <c r="N1157" s="1" t="str">
        <f t="shared" si="93"/>
        <v>Published</v>
      </c>
      <c r="O1157" s="1">
        <f t="shared" si="91"/>
        <v>83.68</v>
      </c>
      <c r="P1157" s="1">
        <v>17</v>
      </c>
      <c r="Q1157" s="1">
        <v>926</v>
      </c>
      <c r="R1157" s="1" t="str">
        <f t="shared" si="94"/>
        <v>2</v>
      </c>
      <c r="S1157" s="1">
        <v>140</v>
      </c>
      <c r="T1157" s="1" t="str">
        <f t="shared" si="92"/>
        <v>3</v>
      </c>
      <c r="U1157" s="1">
        <v>-33.747017</v>
      </c>
      <c r="V1157" s="3">
        <v>150.72593900000001</v>
      </c>
    </row>
    <row r="1158" spans="1:22" x14ac:dyDescent="0.35">
      <c r="A1158" s="22" t="s">
        <v>3527</v>
      </c>
      <c r="B1158" s="1" t="s">
        <v>3528</v>
      </c>
      <c r="C1158" s="1" t="s">
        <v>837</v>
      </c>
      <c r="D1158" s="1" t="s">
        <v>837</v>
      </c>
      <c r="E1158" s="1" t="s">
        <v>838</v>
      </c>
      <c r="F1158" s="1" t="s">
        <v>47</v>
      </c>
      <c r="G1158" s="1">
        <f t="shared" si="90"/>
        <v>1</v>
      </c>
      <c r="H1158" s="1" t="s">
        <v>182</v>
      </c>
      <c r="I1158" s="1" t="s">
        <v>49</v>
      </c>
      <c r="J1158" s="23" t="s">
        <v>50</v>
      </c>
      <c r="K1158" s="2" t="s">
        <v>51</v>
      </c>
      <c r="L1158" s="1">
        <v>354</v>
      </c>
      <c r="M1158" s="1">
        <v>3</v>
      </c>
      <c r="N1158" s="1" t="str">
        <f t="shared" si="93"/>
        <v>Published</v>
      </c>
      <c r="O1158" s="1">
        <f t="shared" si="91"/>
        <v>10.62</v>
      </c>
      <c r="P1158" s="1">
        <v>89</v>
      </c>
      <c r="Q1158" s="1">
        <v>1042</v>
      </c>
      <c r="R1158" s="1" t="str">
        <f t="shared" si="94"/>
        <v>3</v>
      </c>
      <c r="S1158" s="1">
        <v>62</v>
      </c>
      <c r="T1158" s="1" t="str">
        <f t="shared" si="92"/>
        <v>3</v>
      </c>
      <c r="U1158" s="1">
        <v>-33.758789999999998</v>
      </c>
      <c r="V1158" s="3">
        <v>150.91313400000001</v>
      </c>
    </row>
    <row r="1159" spans="1:22" x14ac:dyDescent="0.35">
      <c r="A1159" s="22" t="s">
        <v>3529</v>
      </c>
      <c r="B1159" s="1" t="s">
        <v>3530</v>
      </c>
      <c r="C1159" s="1" t="s">
        <v>3531</v>
      </c>
      <c r="D1159" s="1" t="s">
        <v>689</v>
      </c>
      <c r="E1159" s="1" t="s">
        <v>122</v>
      </c>
      <c r="F1159" s="1" t="s">
        <v>47</v>
      </c>
      <c r="G1159" s="1">
        <f t="shared" si="90"/>
        <v>1</v>
      </c>
      <c r="H1159" s="1" t="s">
        <v>182</v>
      </c>
      <c r="I1159" s="1" t="s">
        <v>49</v>
      </c>
      <c r="J1159" s="23" t="s">
        <v>50</v>
      </c>
      <c r="K1159" s="2" t="s">
        <v>51</v>
      </c>
      <c r="L1159" s="1">
        <v>828</v>
      </c>
      <c r="M1159" s="1">
        <v>4</v>
      </c>
      <c r="N1159" s="1" t="str">
        <f t="shared" si="93"/>
        <v>Published</v>
      </c>
      <c r="O1159" s="1">
        <f t="shared" si="91"/>
        <v>33.119999999999997</v>
      </c>
      <c r="P1159" s="1">
        <v>79</v>
      </c>
      <c r="Q1159" s="1">
        <v>1048</v>
      </c>
      <c r="R1159" s="1" t="str">
        <f t="shared" si="94"/>
        <v>3</v>
      </c>
      <c r="S1159" s="1">
        <v>66</v>
      </c>
      <c r="T1159" s="1" t="str">
        <f t="shared" si="92"/>
        <v>4</v>
      </c>
      <c r="U1159" s="1">
        <v>-33.995325000000001</v>
      </c>
      <c r="V1159" s="3">
        <v>150.882486</v>
      </c>
    </row>
    <row r="1160" spans="1:22" x14ac:dyDescent="0.35">
      <c r="A1160" s="22" t="s">
        <v>3532</v>
      </c>
      <c r="B1160" s="1" t="s">
        <v>3533</v>
      </c>
      <c r="C1160" s="1" t="s">
        <v>3534</v>
      </c>
      <c r="D1160" s="1" t="s">
        <v>537</v>
      </c>
      <c r="E1160" s="1" t="s">
        <v>170</v>
      </c>
      <c r="F1160" s="1" t="s">
        <v>47</v>
      </c>
      <c r="G1160" s="1">
        <f t="shared" si="90"/>
        <v>1</v>
      </c>
      <c r="H1160" s="1" t="s">
        <v>48</v>
      </c>
      <c r="I1160" s="1" t="s">
        <v>49</v>
      </c>
      <c r="J1160" s="23" t="s">
        <v>50</v>
      </c>
      <c r="K1160" s="2" t="s">
        <v>51</v>
      </c>
      <c r="L1160" s="1">
        <v>250</v>
      </c>
      <c r="M1160" s="1"/>
      <c r="N1160" s="1" t="str">
        <f t="shared" si="93"/>
        <v>Suppressed</v>
      </c>
      <c r="O1160" s="1" t="str">
        <f t="shared" si="91"/>
        <v/>
      </c>
      <c r="P1160" s="1">
        <v>90</v>
      </c>
      <c r="Q1160" s="1">
        <v>937</v>
      </c>
      <c r="R1160" s="1" t="str">
        <f t="shared" si="94"/>
        <v>2</v>
      </c>
      <c r="S1160" s="1">
        <v>159</v>
      </c>
      <c r="T1160" s="1" t="str">
        <f t="shared" si="92"/>
        <v>2</v>
      </c>
      <c r="U1160" s="1">
        <v>-33.877110999999999</v>
      </c>
      <c r="V1160" s="3">
        <v>150.972454</v>
      </c>
    </row>
    <row r="1161" spans="1:22" x14ac:dyDescent="0.35">
      <c r="A1161" s="22" t="s">
        <v>3535</v>
      </c>
      <c r="B1161" s="1" t="s">
        <v>3536</v>
      </c>
      <c r="C1161" s="1" t="s">
        <v>3537</v>
      </c>
      <c r="D1161" s="1" t="s">
        <v>404</v>
      </c>
      <c r="E1161" s="1" t="s">
        <v>429</v>
      </c>
      <c r="F1161" s="1" t="s">
        <v>47</v>
      </c>
      <c r="G1161" s="1">
        <f t="shared" si="90"/>
        <v>1</v>
      </c>
      <c r="H1161" s="1" t="s">
        <v>63</v>
      </c>
      <c r="I1161" s="1" t="s">
        <v>49</v>
      </c>
      <c r="J1161" s="23" t="s">
        <v>50</v>
      </c>
      <c r="K1161" s="2" t="s">
        <v>51</v>
      </c>
      <c r="L1161" s="1">
        <v>333</v>
      </c>
      <c r="M1161" s="1">
        <v>32</v>
      </c>
      <c r="N1161" s="1" t="str">
        <f t="shared" si="93"/>
        <v>Published</v>
      </c>
      <c r="O1161" s="1">
        <f t="shared" si="91"/>
        <v>106.56</v>
      </c>
      <c r="P1161" s="1">
        <v>14</v>
      </c>
      <c r="Q1161" s="1">
        <v>858</v>
      </c>
      <c r="R1161" s="1" t="str">
        <f t="shared" si="94"/>
        <v>1</v>
      </c>
      <c r="S1161" s="1">
        <v>159</v>
      </c>
      <c r="T1161" s="1" t="str">
        <f t="shared" si="92"/>
        <v>3</v>
      </c>
      <c r="U1161" s="1">
        <v>-33.618220999999998</v>
      </c>
      <c r="V1161" s="3">
        <v>150.804036</v>
      </c>
    </row>
    <row r="1162" spans="1:22" x14ac:dyDescent="0.35">
      <c r="A1162" s="22" t="s">
        <v>3538</v>
      </c>
      <c r="B1162" s="1" t="s">
        <v>3539</v>
      </c>
      <c r="C1162" s="1" t="s">
        <v>3540</v>
      </c>
      <c r="D1162" s="1" t="s">
        <v>876</v>
      </c>
      <c r="E1162" s="1" t="s">
        <v>330</v>
      </c>
      <c r="F1162" s="1" t="s">
        <v>47</v>
      </c>
      <c r="G1162" s="1">
        <f t="shared" si="90"/>
        <v>1</v>
      </c>
      <c r="H1162" s="1" t="s">
        <v>48</v>
      </c>
      <c r="I1162" s="1" t="s">
        <v>49</v>
      </c>
      <c r="J1162" s="23" t="s">
        <v>50</v>
      </c>
      <c r="K1162" s="2" t="s">
        <v>51</v>
      </c>
      <c r="L1162" s="1">
        <v>114</v>
      </c>
      <c r="M1162" s="1">
        <v>29</v>
      </c>
      <c r="N1162" s="1" t="str">
        <f t="shared" si="93"/>
        <v>Published</v>
      </c>
      <c r="O1162" s="1">
        <f t="shared" si="91"/>
        <v>33.059999999999995</v>
      </c>
      <c r="P1162" s="1">
        <v>28</v>
      </c>
      <c r="Q1162" s="1">
        <v>934</v>
      </c>
      <c r="R1162" s="1" t="str">
        <f t="shared" si="94"/>
        <v>2</v>
      </c>
      <c r="S1162" s="1">
        <v>113</v>
      </c>
      <c r="T1162" s="1" t="str">
        <f t="shared" si="92"/>
        <v>2</v>
      </c>
      <c r="U1162" s="1">
        <v>-33.958038999999999</v>
      </c>
      <c r="V1162" s="3">
        <v>151.23999499999999</v>
      </c>
    </row>
    <row r="1163" spans="1:22" x14ac:dyDescent="0.35">
      <c r="A1163" s="22" t="s">
        <v>3541</v>
      </c>
      <c r="B1163" s="1" t="s">
        <v>3542</v>
      </c>
      <c r="C1163" s="1" t="s">
        <v>3543</v>
      </c>
      <c r="D1163" s="1" t="s">
        <v>642</v>
      </c>
      <c r="E1163" s="1" t="s">
        <v>170</v>
      </c>
      <c r="F1163" s="1" t="s">
        <v>47</v>
      </c>
      <c r="G1163" s="1">
        <f t="shared" si="90"/>
        <v>1</v>
      </c>
      <c r="H1163" s="1" t="s">
        <v>148</v>
      </c>
      <c r="I1163" s="1" t="s">
        <v>49</v>
      </c>
      <c r="J1163" s="23" t="s">
        <v>50</v>
      </c>
      <c r="K1163" s="2" t="s">
        <v>51</v>
      </c>
      <c r="L1163" s="1">
        <v>159</v>
      </c>
      <c r="M1163" s="1">
        <v>5</v>
      </c>
      <c r="N1163" s="1" t="str">
        <f t="shared" si="93"/>
        <v>Published</v>
      </c>
      <c r="O1163" s="1">
        <f t="shared" si="91"/>
        <v>7.95</v>
      </c>
      <c r="P1163" s="1">
        <v>51</v>
      </c>
      <c r="Q1163" s="1">
        <v>1072</v>
      </c>
      <c r="R1163" s="1" t="str">
        <f t="shared" si="94"/>
        <v>3</v>
      </c>
      <c r="S1163" s="1">
        <v>56</v>
      </c>
      <c r="T1163" s="1" t="str">
        <f t="shared" si="92"/>
        <v>2</v>
      </c>
      <c r="U1163" s="1">
        <v>-33.800088000000002</v>
      </c>
      <c r="V1163" s="3">
        <v>151.02352099999999</v>
      </c>
    </row>
    <row r="1164" spans="1:22" x14ac:dyDescent="0.35">
      <c r="A1164" s="22" t="s">
        <v>3544</v>
      </c>
      <c r="B1164" s="1" t="s">
        <v>3545</v>
      </c>
      <c r="C1164" s="1" t="s">
        <v>3546</v>
      </c>
      <c r="D1164" s="1" t="s">
        <v>737</v>
      </c>
      <c r="E1164" s="1" t="s">
        <v>738</v>
      </c>
      <c r="F1164" s="1" t="s">
        <v>47</v>
      </c>
      <c r="G1164" s="1">
        <f t="shared" si="90"/>
        <v>1</v>
      </c>
      <c r="H1164" s="1" t="s">
        <v>182</v>
      </c>
      <c r="I1164" s="1" t="s">
        <v>49</v>
      </c>
      <c r="J1164" s="23" t="s">
        <v>50</v>
      </c>
      <c r="K1164" s="2" t="s">
        <v>51</v>
      </c>
      <c r="L1164" s="1">
        <v>326</v>
      </c>
      <c r="M1164" s="1">
        <v>6</v>
      </c>
      <c r="N1164" s="1" t="str">
        <f t="shared" si="93"/>
        <v>Published</v>
      </c>
      <c r="O1164" s="1">
        <f t="shared" si="91"/>
        <v>19.559999999999999</v>
      </c>
      <c r="P1164" s="1">
        <v>32</v>
      </c>
      <c r="Q1164" s="1">
        <v>1050</v>
      </c>
      <c r="R1164" s="1" t="str">
        <f t="shared" si="94"/>
        <v>3</v>
      </c>
      <c r="S1164" s="1">
        <v>58</v>
      </c>
      <c r="T1164" s="1" t="str">
        <f t="shared" si="92"/>
        <v>3</v>
      </c>
      <c r="U1164" s="1">
        <v>-34.033467000000002</v>
      </c>
      <c r="V1164" s="3">
        <v>151.07749000000001</v>
      </c>
    </row>
    <row r="1165" spans="1:22" x14ac:dyDescent="0.35">
      <c r="A1165" s="22" t="s">
        <v>3547</v>
      </c>
      <c r="B1165" s="1" t="s">
        <v>3548</v>
      </c>
      <c r="C1165" s="1" t="s">
        <v>3549</v>
      </c>
      <c r="D1165" s="1" t="s">
        <v>737</v>
      </c>
      <c r="E1165" s="1" t="s">
        <v>738</v>
      </c>
      <c r="F1165" s="1" t="s">
        <v>47</v>
      </c>
      <c r="G1165" s="1">
        <f t="shared" si="90"/>
        <v>1</v>
      </c>
      <c r="H1165" s="1" t="s">
        <v>182</v>
      </c>
      <c r="I1165" s="1" t="s">
        <v>49</v>
      </c>
      <c r="J1165" s="23" t="s">
        <v>50</v>
      </c>
      <c r="K1165" s="2" t="s">
        <v>51</v>
      </c>
      <c r="L1165" s="1">
        <v>191</v>
      </c>
      <c r="M1165" s="1"/>
      <c r="N1165" s="1" t="str">
        <f t="shared" si="93"/>
        <v>Suppressed</v>
      </c>
      <c r="O1165" s="1" t="str">
        <f t="shared" si="91"/>
        <v/>
      </c>
      <c r="P1165" s="1">
        <v>42</v>
      </c>
      <c r="Q1165" s="1">
        <v>1069</v>
      </c>
      <c r="R1165" s="1" t="str">
        <f t="shared" si="94"/>
        <v>3</v>
      </c>
      <c r="S1165" s="1">
        <v>61</v>
      </c>
      <c r="T1165" s="1" t="str">
        <f t="shared" si="92"/>
        <v>2</v>
      </c>
      <c r="U1165" s="1">
        <v>-33.999133</v>
      </c>
      <c r="V1165" s="3">
        <v>151.042689</v>
      </c>
    </row>
    <row r="1166" spans="1:22" x14ac:dyDescent="0.35">
      <c r="A1166" s="22" t="s">
        <v>3550</v>
      </c>
      <c r="B1166" s="1" t="s">
        <v>3551</v>
      </c>
      <c r="C1166" s="1" t="s">
        <v>2333</v>
      </c>
      <c r="D1166" s="1" t="s">
        <v>176</v>
      </c>
      <c r="E1166" s="1" t="s">
        <v>85</v>
      </c>
      <c r="F1166" s="1" t="s">
        <v>47</v>
      </c>
      <c r="G1166" s="1">
        <f t="shared" si="90"/>
        <v>1</v>
      </c>
      <c r="H1166" s="1" t="s">
        <v>86</v>
      </c>
      <c r="I1166" s="1" t="s">
        <v>49</v>
      </c>
      <c r="J1166" s="23" t="s">
        <v>50</v>
      </c>
      <c r="K1166" s="2" t="s">
        <v>51</v>
      </c>
      <c r="L1166" s="1">
        <v>153</v>
      </c>
      <c r="M1166" s="1">
        <v>33</v>
      </c>
      <c r="N1166" s="1" t="str">
        <f t="shared" si="93"/>
        <v>Published</v>
      </c>
      <c r="O1166" s="1">
        <f t="shared" si="91"/>
        <v>50.49</v>
      </c>
      <c r="P1166" s="1">
        <v>23</v>
      </c>
      <c r="Q1166" s="1">
        <v>892</v>
      </c>
      <c r="R1166" s="1" t="str">
        <f t="shared" si="94"/>
        <v>1</v>
      </c>
      <c r="S1166" s="1">
        <v>126</v>
      </c>
      <c r="T1166" s="1" t="str">
        <f t="shared" si="92"/>
        <v>2</v>
      </c>
      <c r="U1166" s="1">
        <v>-34.489283999999998</v>
      </c>
      <c r="V1166" s="3">
        <v>150.89325400000001</v>
      </c>
    </row>
    <row r="1167" spans="1:22" x14ac:dyDescent="0.35">
      <c r="A1167" s="22" t="s">
        <v>3552</v>
      </c>
      <c r="B1167" s="1" t="s">
        <v>3553</v>
      </c>
      <c r="C1167" s="1" t="s">
        <v>3554</v>
      </c>
      <c r="D1167" s="1" t="s">
        <v>737</v>
      </c>
      <c r="E1167" s="1" t="s">
        <v>738</v>
      </c>
      <c r="F1167" s="1" t="s">
        <v>47</v>
      </c>
      <c r="G1167" s="1">
        <f t="shared" si="90"/>
        <v>1</v>
      </c>
      <c r="H1167" s="1" t="s">
        <v>182</v>
      </c>
      <c r="I1167" s="1" t="s">
        <v>49</v>
      </c>
      <c r="J1167" s="23" t="s">
        <v>50</v>
      </c>
      <c r="K1167" s="2" t="s">
        <v>51</v>
      </c>
      <c r="L1167" s="1">
        <v>323</v>
      </c>
      <c r="M1167" s="1">
        <v>2</v>
      </c>
      <c r="N1167" s="1" t="str">
        <f t="shared" si="93"/>
        <v>Published</v>
      </c>
      <c r="O1167" s="1">
        <f t="shared" si="91"/>
        <v>6.46</v>
      </c>
      <c r="P1167" s="1">
        <v>11</v>
      </c>
      <c r="Q1167" s="1">
        <v>1113</v>
      </c>
      <c r="R1167" s="1" t="str">
        <f t="shared" si="94"/>
        <v>4</v>
      </c>
      <c r="S1167" s="1">
        <v>35</v>
      </c>
      <c r="T1167" s="1" t="str">
        <f t="shared" si="92"/>
        <v>3</v>
      </c>
      <c r="U1167" s="1">
        <v>-34.066592</v>
      </c>
      <c r="V1167" s="3">
        <v>151.11838700000001</v>
      </c>
    </row>
    <row r="1168" spans="1:22" x14ac:dyDescent="0.35">
      <c r="A1168" s="22" t="s">
        <v>3555</v>
      </c>
      <c r="B1168" s="1" t="s">
        <v>3556</v>
      </c>
      <c r="C1168" s="1" t="s">
        <v>3557</v>
      </c>
      <c r="D1168" s="1" t="s">
        <v>390</v>
      </c>
      <c r="E1168" s="1" t="s">
        <v>107</v>
      </c>
      <c r="F1168" s="1" t="s">
        <v>57</v>
      </c>
      <c r="G1168" s="1">
        <f t="shared" si="90"/>
        <v>2</v>
      </c>
      <c r="H1168" s="1" t="s">
        <v>92</v>
      </c>
      <c r="I1168" s="1" t="s">
        <v>49</v>
      </c>
      <c r="J1168" s="23" t="s">
        <v>50</v>
      </c>
      <c r="K1168" s="2" t="s">
        <v>51</v>
      </c>
      <c r="L1168" s="1">
        <v>203</v>
      </c>
      <c r="M1168" s="1">
        <v>24</v>
      </c>
      <c r="N1168" s="1" t="str">
        <f t="shared" si="93"/>
        <v>Published</v>
      </c>
      <c r="O1168" s="1">
        <f t="shared" si="91"/>
        <v>48.72</v>
      </c>
      <c r="P1168" s="1">
        <v>8</v>
      </c>
      <c r="Q1168" s="1">
        <v>973</v>
      </c>
      <c r="R1168" s="1" t="str">
        <f t="shared" si="94"/>
        <v>2</v>
      </c>
      <c r="S1168" s="1">
        <v>102</v>
      </c>
      <c r="T1168" s="1" t="str">
        <f t="shared" si="92"/>
        <v>2</v>
      </c>
      <c r="U1168" s="1">
        <v>-28.806982000000001</v>
      </c>
      <c r="V1168" s="3">
        <v>153.30064100000001</v>
      </c>
    </row>
    <row r="1169" spans="1:22" x14ac:dyDescent="0.35">
      <c r="A1169" s="22" t="s">
        <v>3558</v>
      </c>
      <c r="B1169" s="1" t="s">
        <v>3559</v>
      </c>
      <c r="C1169" s="1" t="s">
        <v>2249</v>
      </c>
      <c r="D1169" s="1" t="s">
        <v>152</v>
      </c>
      <c r="E1169" s="1" t="s">
        <v>229</v>
      </c>
      <c r="F1169" s="1" t="s">
        <v>47</v>
      </c>
      <c r="G1169" s="1">
        <f t="shared" si="90"/>
        <v>1</v>
      </c>
      <c r="H1169" s="1" t="s">
        <v>182</v>
      </c>
      <c r="I1169" s="1" t="s">
        <v>49</v>
      </c>
      <c r="J1169" s="23" t="s">
        <v>50</v>
      </c>
      <c r="K1169" s="2" t="s">
        <v>51</v>
      </c>
      <c r="L1169" s="1">
        <v>305</v>
      </c>
      <c r="M1169" s="1"/>
      <c r="N1169" s="1" t="str">
        <f t="shared" si="93"/>
        <v>Suppressed</v>
      </c>
      <c r="O1169" s="1" t="str">
        <f t="shared" si="91"/>
        <v/>
      </c>
      <c r="P1169" s="1">
        <v>76</v>
      </c>
      <c r="Q1169" s="1">
        <v>1036</v>
      </c>
      <c r="R1169" s="1" t="str">
        <f t="shared" si="94"/>
        <v>3</v>
      </c>
      <c r="S1169" s="1">
        <v>90</v>
      </c>
      <c r="T1169" s="1" t="str">
        <f t="shared" si="92"/>
        <v>3</v>
      </c>
      <c r="U1169" s="1">
        <v>-33.945301999999998</v>
      </c>
      <c r="V1169" s="3">
        <v>151.03142099999999</v>
      </c>
    </row>
    <row r="1170" spans="1:22" x14ac:dyDescent="0.35">
      <c r="A1170" s="22" t="s">
        <v>3560</v>
      </c>
      <c r="B1170" s="1" t="s">
        <v>3561</v>
      </c>
      <c r="C1170" s="1" t="s">
        <v>478</v>
      </c>
      <c r="D1170" s="1" t="s">
        <v>478</v>
      </c>
      <c r="E1170" s="1" t="s">
        <v>261</v>
      </c>
      <c r="F1170" s="1" t="s">
        <v>69</v>
      </c>
      <c r="G1170" s="1">
        <f t="shared" si="90"/>
        <v>3</v>
      </c>
      <c r="H1170" s="1" t="s">
        <v>70</v>
      </c>
      <c r="I1170" s="1" t="s">
        <v>49</v>
      </c>
      <c r="J1170" s="23" t="s">
        <v>50</v>
      </c>
      <c r="K1170" s="2" t="s">
        <v>51</v>
      </c>
      <c r="L1170" s="1">
        <v>173</v>
      </c>
      <c r="M1170" s="1">
        <v>34</v>
      </c>
      <c r="N1170" s="1" t="str">
        <f t="shared" si="93"/>
        <v>Published</v>
      </c>
      <c r="O1170" s="1">
        <f t="shared" si="91"/>
        <v>58.820000000000007</v>
      </c>
      <c r="P1170" s="1"/>
      <c r="Q1170" s="1">
        <v>891</v>
      </c>
      <c r="R1170" s="1" t="str">
        <f t="shared" si="94"/>
        <v>1</v>
      </c>
      <c r="S1170" s="1">
        <v>141</v>
      </c>
      <c r="T1170" s="1" t="str">
        <f t="shared" si="92"/>
        <v>2</v>
      </c>
      <c r="U1170" s="1">
        <v>-33.147750000000002</v>
      </c>
      <c r="V1170" s="3">
        <v>148.17306099999999</v>
      </c>
    </row>
    <row r="1171" spans="1:22" x14ac:dyDescent="0.35">
      <c r="A1171" s="22" t="s">
        <v>3562</v>
      </c>
      <c r="B1171" s="1" t="s">
        <v>3563</v>
      </c>
      <c r="C1171" s="1" t="s">
        <v>3132</v>
      </c>
      <c r="D1171" s="1" t="s">
        <v>152</v>
      </c>
      <c r="E1171" s="1" t="s">
        <v>229</v>
      </c>
      <c r="F1171" s="1" t="s">
        <v>47</v>
      </c>
      <c r="G1171" s="1">
        <f t="shared" si="90"/>
        <v>1</v>
      </c>
      <c r="H1171" s="1" t="s">
        <v>48</v>
      </c>
      <c r="I1171" s="1" t="s">
        <v>49</v>
      </c>
      <c r="J1171" s="23" t="s">
        <v>50</v>
      </c>
      <c r="K1171" s="2" t="s">
        <v>51</v>
      </c>
      <c r="L1171" s="1">
        <v>106</v>
      </c>
      <c r="M1171" s="1">
        <v>0</v>
      </c>
      <c r="N1171" s="1" t="str">
        <f t="shared" si="93"/>
        <v>Published</v>
      </c>
      <c r="O1171" s="1">
        <f t="shared" si="91"/>
        <v>0</v>
      </c>
      <c r="P1171" s="1">
        <v>85</v>
      </c>
      <c r="Q1171" s="1">
        <v>987</v>
      </c>
      <c r="R1171" s="1" t="str">
        <f t="shared" si="94"/>
        <v>2</v>
      </c>
      <c r="S1171" s="1">
        <v>122</v>
      </c>
      <c r="T1171" s="1" t="str">
        <f t="shared" si="92"/>
        <v>2</v>
      </c>
      <c r="U1171" s="1">
        <v>-33.945270999999998</v>
      </c>
      <c r="V1171" s="3">
        <v>151.05759900000001</v>
      </c>
    </row>
    <row r="1172" spans="1:22" x14ac:dyDescent="0.35">
      <c r="A1172" s="22" t="s">
        <v>3564</v>
      </c>
      <c r="B1172" s="1" t="s">
        <v>3565</v>
      </c>
      <c r="C1172" s="1" t="s">
        <v>1199</v>
      </c>
      <c r="D1172" s="1" t="s">
        <v>176</v>
      </c>
      <c r="E1172" s="1" t="s">
        <v>85</v>
      </c>
      <c r="F1172" s="1" t="s">
        <v>47</v>
      </c>
      <c r="G1172" s="1">
        <f t="shared" si="90"/>
        <v>1</v>
      </c>
      <c r="H1172" s="1" t="s">
        <v>86</v>
      </c>
      <c r="I1172" s="1" t="s">
        <v>49</v>
      </c>
      <c r="J1172" s="23" t="s">
        <v>50</v>
      </c>
      <c r="K1172" s="2" t="s">
        <v>51</v>
      </c>
      <c r="L1172" s="1">
        <v>193</v>
      </c>
      <c r="M1172" s="1"/>
      <c r="N1172" s="1" t="str">
        <f t="shared" si="93"/>
        <v>Suppressed</v>
      </c>
      <c r="O1172" s="1" t="str">
        <f t="shared" si="91"/>
        <v/>
      </c>
      <c r="P1172" s="1">
        <v>29</v>
      </c>
      <c r="Q1172" s="1">
        <v>1079</v>
      </c>
      <c r="R1172" s="1" t="str">
        <f t="shared" si="94"/>
        <v>3</v>
      </c>
      <c r="S1172" s="1">
        <v>58</v>
      </c>
      <c r="T1172" s="1" t="str">
        <f t="shared" si="92"/>
        <v>2</v>
      </c>
      <c r="U1172" s="1">
        <v>-34.398868999999998</v>
      </c>
      <c r="V1172" s="3">
        <v>150.88825</v>
      </c>
    </row>
    <row r="1173" spans="1:22" x14ac:dyDescent="0.35">
      <c r="A1173" s="22" t="s">
        <v>3566</v>
      </c>
      <c r="B1173" s="1" t="s">
        <v>3567</v>
      </c>
      <c r="C1173" s="1" t="s">
        <v>3568</v>
      </c>
      <c r="D1173" s="1" t="s">
        <v>186</v>
      </c>
      <c r="E1173" s="1" t="s">
        <v>187</v>
      </c>
      <c r="F1173" s="1" t="s">
        <v>47</v>
      </c>
      <c r="G1173" s="1">
        <f t="shared" si="90"/>
        <v>1</v>
      </c>
      <c r="H1173" s="1" t="s">
        <v>63</v>
      </c>
      <c r="I1173" s="1" t="s">
        <v>49</v>
      </c>
      <c r="J1173" s="23" t="s">
        <v>50</v>
      </c>
      <c r="K1173" s="2" t="s">
        <v>51</v>
      </c>
      <c r="L1173" s="1">
        <v>208</v>
      </c>
      <c r="M1173" s="1">
        <v>17</v>
      </c>
      <c r="N1173" s="1" t="str">
        <f t="shared" si="93"/>
        <v>Published</v>
      </c>
      <c r="O1173" s="1">
        <f t="shared" si="91"/>
        <v>35.36</v>
      </c>
      <c r="P1173" s="1">
        <v>4</v>
      </c>
      <c r="Q1173" s="1">
        <v>953</v>
      </c>
      <c r="R1173" s="1" t="str">
        <f t="shared" si="94"/>
        <v>2</v>
      </c>
      <c r="S1173" s="1">
        <v>115</v>
      </c>
      <c r="T1173" s="1" t="str">
        <f t="shared" si="92"/>
        <v>2</v>
      </c>
      <c r="U1173" s="1">
        <v>-33.279823999999998</v>
      </c>
      <c r="V1173" s="3">
        <v>151.48560499999999</v>
      </c>
    </row>
    <row r="1174" spans="1:22" x14ac:dyDescent="0.35">
      <c r="A1174" s="22" t="s">
        <v>3569</v>
      </c>
      <c r="B1174" s="1" t="s">
        <v>3570</v>
      </c>
      <c r="C1174" s="1" t="s">
        <v>298</v>
      </c>
      <c r="D1174" s="1" t="s">
        <v>298</v>
      </c>
      <c r="E1174" s="1" t="s">
        <v>261</v>
      </c>
      <c r="F1174" s="1" t="s">
        <v>69</v>
      </c>
      <c r="G1174" s="1">
        <f t="shared" si="90"/>
        <v>3</v>
      </c>
      <c r="H1174" s="1" t="s">
        <v>70</v>
      </c>
      <c r="I1174" s="1" t="s">
        <v>49</v>
      </c>
      <c r="J1174" s="23" t="s">
        <v>50</v>
      </c>
      <c r="K1174" s="2" t="s">
        <v>51</v>
      </c>
      <c r="L1174" s="1">
        <v>203</v>
      </c>
      <c r="M1174" s="1">
        <v>54</v>
      </c>
      <c r="N1174" s="1" t="str">
        <f t="shared" si="93"/>
        <v>Published</v>
      </c>
      <c r="O1174" s="1">
        <f t="shared" si="91"/>
        <v>109.62</v>
      </c>
      <c r="P1174" s="1">
        <v>3</v>
      </c>
      <c r="Q1174" s="1">
        <v>818</v>
      </c>
      <c r="R1174" s="1" t="str">
        <f t="shared" si="94"/>
        <v>1</v>
      </c>
      <c r="S1174" s="1">
        <v>165</v>
      </c>
      <c r="T1174" s="1" t="str">
        <f t="shared" si="92"/>
        <v>2</v>
      </c>
      <c r="U1174" s="1">
        <v>-33.369928999999999</v>
      </c>
      <c r="V1174" s="3">
        <v>148.00103200000001</v>
      </c>
    </row>
    <row r="1175" spans="1:22" x14ac:dyDescent="0.35">
      <c r="A1175" s="22" t="s">
        <v>3571</v>
      </c>
      <c r="B1175" s="1" t="s">
        <v>3572</v>
      </c>
      <c r="C1175" s="1" t="s">
        <v>2086</v>
      </c>
      <c r="D1175" s="1" t="s">
        <v>236</v>
      </c>
      <c r="E1175" s="1" t="s">
        <v>107</v>
      </c>
      <c r="F1175" s="1" t="s">
        <v>57</v>
      </c>
      <c r="G1175" s="1">
        <f t="shared" si="90"/>
        <v>2</v>
      </c>
      <c r="H1175" s="1" t="s">
        <v>92</v>
      </c>
      <c r="I1175" s="1" t="s">
        <v>49</v>
      </c>
      <c r="J1175" s="23" t="s">
        <v>50</v>
      </c>
      <c r="K1175" s="2" t="s">
        <v>51</v>
      </c>
      <c r="L1175" s="1">
        <v>152</v>
      </c>
      <c r="M1175" s="1">
        <v>16</v>
      </c>
      <c r="N1175" s="1" t="str">
        <f t="shared" si="93"/>
        <v>Published</v>
      </c>
      <c r="O1175" s="1">
        <f t="shared" si="91"/>
        <v>24.32</v>
      </c>
      <c r="P1175" s="1">
        <v>13</v>
      </c>
      <c r="Q1175" s="1">
        <v>935</v>
      </c>
      <c r="R1175" s="1" t="str">
        <f t="shared" si="94"/>
        <v>2</v>
      </c>
      <c r="S1175" s="1">
        <v>129</v>
      </c>
      <c r="T1175" s="1" t="str">
        <f t="shared" si="92"/>
        <v>2</v>
      </c>
      <c r="U1175" s="1">
        <v>-28.320855999999999</v>
      </c>
      <c r="V1175" s="3">
        <v>153.40526700000001</v>
      </c>
    </row>
    <row r="1176" spans="1:22" x14ac:dyDescent="0.35">
      <c r="A1176" s="22" t="s">
        <v>3573</v>
      </c>
      <c r="B1176" s="1" t="s">
        <v>3574</v>
      </c>
      <c r="C1176" s="1" t="s">
        <v>3575</v>
      </c>
      <c r="D1176" s="1" t="s">
        <v>642</v>
      </c>
      <c r="E1176" s="1" t="s">
        <v>170</v>
      </c>
      <c r="F1176" s="1" t="s">
        <v>47</v>
      </c>
      <c r="G1176" s="1">
        <f t="shared" si="90"/>
        <v>1</v>
      </c>
      <c r="H1176" s="1" t="s">
        <v>148</v>
      </c>
      <c r="I1176" s="1" t="s">
        <v>49</v>
      </c>
      <c r="J1176" s="23" t="s">
        <v>50</v>
      </c>
      <c r="K1176" s="2" t="s">
        <v>51</v>
      </c>
      <c r="L1176" s="1">
        <v>139</v>
      </c>
      <c r="M1176" s="1">
        <v>12</v>
      </c>
      <c r="N1176" s="1" t="str">
        <f t="shared" si="93"/>
        <v>Published</v>
      </c>
      <c r="O1176" s="1">
        <f t="shared" si="91"/>
        <v>16.68</v>
      </c>
      <c r="P1176" s="1">
        <v>64</v>
      </c>
      <c r="Q1176" s="1">
        <v>991</v>
      </c>
      <c r="R1176" s="1" t="str">
        <f t="shared" si="94"/>
        <v>2</v>
      </c>
      <c r="S1176" s="1">
        <v>101</v>
      </c>
      <c r="T1176" s="1" t="str">
        <f t="shared" si="92"/>
        <v>2</v>
      </c>
      <c r="U1176" s="1">
        <v>-33.797032000000002</v>
      </c>
      <c r="V1176" s="3">
        <v>151.04364000000001</v>
      </c>
    </row>
    <row r="1177" spans="1:22" x14ac:dyDescent="0.35">
      <c r="A1177" s="22" t="s">
        <v>3576</v>
      </c>
      <c r="B1177" s="1" t="s">
        <v>3577</v>
      </c>
      <c r="C1177" s="1" t="s">
        <v>3578</v>
      </c>
      <c r="D1177" s="1" t="s">
        <v>382</v>
      </c>
      <c r="E1177" s="1" t="s">
        <v>196</v>
      </c>
      <c r="F1177" s="1" t="s">
        <v>57</v>
      </c>
      <c r="G1177" s="1">
        <f t="shared" si="90"/>
        <v>2</v>
      </c>
      <c r="H1177" s="1" t="s">
        <v>86</v>
      </c>
      <c r="I1177" s="1" t="s">
        <v>49</v>
      </c>
      <c r="J1177" s="23" t="s">
        <v>50</v>
      </c>
      <c r="K1177" s="2" t="s">
        <v>51</v>
      </c>
      <c r="L1177" s="1">
        <v>131</v>
      </c>
      <c r="M1177" s="1">
        <v>13</v>
      </c>
      <c r="N1177" s="1" t="str">
        <f t="shared" si="93"/>
        <v>Published</v>
      </c>
      <c r="O1177" s="1">
        <f t="shared" si="91"/>
        <v>17.03</v>
      </c>
      <c r="P1177" s="1">
        <v>8</v>
      </c>
      <c r="Q1177" s="1">
        <v>986</v>
      </c>
      <c r="R1177" s="1" t="str">
        <f t="shared" si="94"/>
        <v>2</v>
      </c>
      <c r="S1177" s="1">
        <v>97</v>
      </c>
      <c r="T1177" s="1" t="str">
        <f t="shared" si="92"/>
        <v>2</v>
      </c>
      <c r="U1177" s="1">
        <v>-34.935420000000001</v>
      </c>
      <c r="V1177" s="3">
        <v>150.56622300000001</v>
      </c>
    </row>
    <row r="1178" spans="1:22" x14ac:dyDescent="0.35">
      <c r="A1178" s="22" t="s">
        <v>3579</v>
      </c>
      <c r="B1178" s="1" t="s">
        <v>3580</v>
      </c>
      <c r="C1178" s="1" t="s">
        <v>3581</v>
      </c>
      <c r="D1178" s="1" t="s">
        <v>186</v>
      </c>
      <c r="E1178" s="1" t="s">
        <v>187</v>
      </c>
      <c r="F1178" s="1" t="s">
        <v>57</v>
      </c>
      <c r="G1178" s="1">
        <f t="shared" si="90"/>
        <v>2</v>
      </c>
      <c r="H1178" s="1" t="s">
        <v>63</v>
      </c>
      <c r="I1178" s="1" t="s">
        <v>49</v>
      </c>
      <c r="J1178" s="23" t="s">
        <v>50</v>
      </c>
      <c r="K1178" s="2" t="s">
        <v>51</v>
      </c>
      <c r="L1178" s="1">
        <v>23</v>
      </c>
      <c r="M1178" s="1"/>
      <c r="N1178" s="1" t="str">
        <f t="shared" si="93"/>
        <v>Suppressed</v>
      </c>
      <c r="O1178" s="1" t="str">
        <f t="shared" si="91"/>
        <v/>
      </c>
      <c r="P1178" s="1"/>
      <c r="Q1178" s="1">
        <v>886</v>
      </c>
      <c r="R1178" s="1" t="str">
        <f t="shared" si="94"/>
        <v>1</v>
      </c>
      <c r="S1178" s="1">
        <v>145</v>
      </c>
      <c r="T1178" s="1" t="str">
        <f t="shared" si="92"/>
        <v>1</v>
      </c>
      <c r="U1178" s="1">
        <v>-33.295625999999999</v>
      </c>
      <c r="V1178" s="3">
        <v>151.24442500000001</v>
      </c>
    </row>
    <row r="1179" spans="1:22" x14ac:dyDescent="0.35">
      <c r="A1179" s="22" t="s">
        <v>3582</v>
      </c>
      <c r="B1179" s="1" t="s">
        <v>3583</v>
      </c>
      <c r="C1179" s="1" t="s">
        <v>3584</v>
      </c>
      <c r="D1179" s="1" t="s">
        <v>236</v>
      </c>
      <c r="E1179" s="1" t="s">
        <v>107</v>
      </c>
      <c r="F1179" s="1" t="s">
        <v>47</v>
      </c>
      <c r="G1179" s="1">
        <f t="shared" si="90"/>
        <v>1</v>
      </c>
      <c r="H1179" s="1" t="s">
        <v>92</v>
      </c>
      <c r="I1179" s="1" t="s">
        <v>49</v>
      </c>
      <c r="J1179" s="23" t="s">
        <v>50</v>
      </c>
      <c r="K1179" s="2" t="s">
        <v>51</v>
      </c>
      <c r="L1179" s="1">
        <v>142</v>
      </c>
      <c r="M1179" s="1">
        <v>35</v>
      </c>
      <c r="N1179" s="1" t="str">
        <f t="shared" si="93"/>
        <v>Published</v>
      </c>
      <c r="O1179" s="1">
        <f t="shared" si="91"/>
        <v>49.699999999999996</v>
      </c>
      <c r="P1179" s="1">
        <v>27</v>
      </c>
      <c r="Q1179" s="1">
        <v>882</v>
      </c>
      <c r="R1179" s="1" t="str">
        <f t="shared" si="94"/>
        <v>1</v>
      </c>
      <c r="S1179" s="1">
        <v>131</v>
      </c>
      <c r="T1179" s="1" t="str">
        <f t="shared" si="92"/>
        <v>2</v>
      </c>
      <c r="U1179" s="1">
        <v>-28.195346000000001</v>
      </c>
      <c r="V1179" s="3">
        <v>153.53904800000001</v>
      </c>
    </row>
    <row r="1180" spans="1:22" x14ac:dyDescent="0.35">
      <c r="A1180" s="22" t="s">
        <v>3585</v>
      </c>
      <c r="B1180" s="1" t="s">
        <v>3586</v>
      </c>
      <c r="C1180" s="1" t="s">
        <v>1891</v>
      </c>
      <c r="D1180" s="1" t="s">
        <v>461</v>
      </c>
      <c r="E1180" s="1" t="s">
        <v>96</v>
      </c>
      <c r="F1180" s="1" t="s">
        <v>57</v>
      </c>
      <c r="G1180" s="1">
        <f t="shared" si="90"/>
        <v>2</v>
      </c>
      <c r="H1180" s="1" t="s">
        <v>70</v>
      </c>
      <c r="I1180" s="1" t="s">
        <v>49</v>
      </c>
      <c r="J1180" s="23" t="s">
        <v>50</v>
      </c>
      <c r="K1180" s="2" t="s">
        <v>51</v>
      </c>
      <c r="L1180" s="1">
        <v>264</v>
      </c>
      <c r="M1180" s="1">
        <v>16</v>
      </c>
      <c r="N1180" s="1" t="str">
        <f t="shared" si="93"/>
        <v>Published</v>
      </c>
      <c r="O1180" s="1">
        <f t="shared" si="91"/>
        <v>42.24</v>
      </c>
      <c r="P1180" s="1">
        <v>6</v>
      </c>
      <c r="Q1180" s="1">
        <v>951</v>
      </c>
      <c r="R1180" s="1" t="str">
        <f t="shared" si="94"/>
        <v>2</v>
      </c>
      <c r="S1180" s="1">
        <v>124</v>
      </c>
      <c r="T1180" s="1" t="str">
        <f t="shared" si="92"/>
        <v>2</v>
      </c>
      <c r="U1180" s="1">
        <v>-35.537609000000003</v>
      </c>
      <c r="V1180" s="3">
        <v>144.955826</v>
      </c>
    </row>
    <row r="1181" spans="1:22" x14ac:dyDescent="0.35">
      <c r="A1181" s="22" t="s">
        <v>3587</v>
      </c>
      <c r="B1181" s="1" t="s">
        <v>3588</v>
      </c>
      <c r="C1181" s="1" t="s">
        <v>837</v>
      </c>
      <c r="D1181" s="1" t="s">
        <v>837</v>
      </c>
      <c r="E1181" s="1" t="s">
        <v>838</v>
      </c>
      <c r="F1181" s="1" t="s">
        <v>47</v>
      </c>
      <c r="G1181" s="1">
        <f t="shared" si="90"/>
        <v>1</v>
      </c>
      <c r="H1181" s="1" t="s">
        <v>182</v>
      </c>
      <c r="I1181" s="1" t="s">
        <v>49</v>
      </c>
      <c r="J1181" s="23" t="s">
        <v>50</v>
      </c>
      <c r="K1181" s="2" t="s">
        <v>51</v>
      </c>
      <c r="L1181" s="1">
        <v>443</v>
      </c>
      <c r="M1181" s="1">
        <v>6</v>
      </c>
      <c r="N1181" s="1" t="str">
        <f t="shared" si="93"/>
        <v>Published</v>
      </c>
      <c r="O1181" s="1">
        <f t="shared" si="91"/>
        <v>26.58</v>
      </c>
      <c r="P1181" s="1">
        <v>71</v>
      </c>
      <c r="Q1181" s="1">
        <v>992</v>
      </c>
      <c r="R1181" s="1" t="str">
        <f t="shared" si="94"/>
        <v>2</v>
      </c>
      <c r="S1181" s="1">
        <v>110</v>
      </c>
      <c r="T1181" s="1" t="str">
        <f t="shared" si="92"/>
        <v>3</v>
      </c>
      <c r="U1181" s="1">
        <v>-33.770440999999998</v>
      </c>
      <c r="V1181" s="3">
        <v>150.893057</v>
      </c>
    </row>
    <row r="1182" spans="1:22" x14ac:dyDescent="0.35">
      <c r="A1182" s="22" t="s">
        <v>3589</v>
      </c>
      <c r="B1182" s="1" t="s">
        <v>3590</v>
      </c>
      <c r="C1182" s="1" t="s">
        <v>3591</v>
      </c>
      <c r="D1182" s="1" t="s">
        <v>186</v>
      </c>
      <c r="E1182" s="1" t="s">
        <v>187</v>
      </c>
      <c r="F1182" s="1" t="s">
        <v>47</v>
      </c>
      <c r="G1182" s="1">
        <f t="shared" si="90"/>
        <v>1</v>
      </c>
      <c r="H1182" s="1" t="s">
        <v>63</v>
      </c>
      <c r="I1182" s="1" t="s">
        <v>49</v>
      </c>
      <c r="J1182" s="23" t="s">
        <v>50</v>
      </c>
      <c r="K1182" s="2" t="s">
        <v>51</v>
      </c>
      <c r="L1182" s="1">
        <v>442</v>
      </c>
      <c r="M1182" s="1">
        <v>14</v>
      </c>
      <c r="N1182" s="1" t="str">
        <f t="shared" si="93"/>
        <v>Published</v>
      </c>
      <c r="O1182" s="1">
        <f t="shared" si="91"/>
        <v>61.88</v>
      </c>
      <c r="P1182" s="1">
        <v>22</v>
      </c>
      <c r="Q1182" s="1">
        <v>979</v>
      </c>
      <c r="R1182" s="1" t="str">
        <f t="shared" si="94"/>
        <v>2</v>
      </c>
      <c r="S1182" s="1">
        <v>103</v>
      </c>
      <c r="T1182" s="1" t="str">
        <f t="shared" si="92"/>
        <v>3</v>
      </c>
      <c r="U1182" s="1">
        <v>-33.251778000000002</v>
      </c>
      <c r="V1182" s="3">
        <v>151.46922699999999</v>
      </c>
    </row>
    <row r="1183" spans="1:22" x14ac:dyDescent="0.35">
      <c r="A1183" s="22" t="s">
        <v>3592</v>
      </c>
      <c r="B1183" s="1" t="s">
        <v>3593</v>
      </c>
      <c r="C1183" s="1" t="s">
        <v>1998</v>
      </c>
      <c r="D1183" s="1" t="s">
        <v>482</v>
      </c>
      <c r="E1183" s="1" t="s">
        <v>91</v>
      </c>
      <c r="F1183" s="1" t="s">
        <v>69</v>
      </c>
      <c r="G1183" s="1">
        <f t="shared" si="90"/>
        <v>3</v>
      </c>
      <c r="H1183" s="1" t="s">
        <v>86</v>
      </c>
      <c r="I1183" s="1" t="s">
        <v>49</v>
      </c>
      <c r="J1183" s="23" t="s">
        <v>50</v>
      </c>
      <c r="K1183" s="2" t="s">
        <v>51</v>
      </c>
      <c r="L1183" s="1">
        <v>230</v>
      </c>
      <c r="M1183" s="1">
        <v>88</v>
      </c>
      <c r="N1183" s="1" t="str">
        <f t="shared" si="93"/>
        <v>Published</v>
      </c>
      <c r="O1183" s="1">
        <f t="shared" si="91"/>
        <v>202.4</v>
      </c>
      <c r="P1183" s="1">
        <v>3</v>
      </c>
      <c r="Q1183" s="1">
        <v>689</v>
      </c>
      <c r="R1183" s="1" t="str">
        <f t="shared" si="94"/>
        <v>1</v>
      </c>
      <c r="S1183" s="1">
        <v>206</v>
      </c>
      <c r="T1183" s="1" t="str">
        <f t="shared" si="92"/>
        <v>2</v>
      </c>
      <c r="U1183" s="1">
        <v>-29.476982</v>
      </c>
      <c r="V1183" s="3">
        <v>149.840238</v>
      </c>
    </row>
    <row r="1184" spans="1:22" x14ac:dyDescent="0.35">
      <c r="A1184" s="22" t="s">
        <v>3594</v>
      </c>
      <c r="B1184" s="1" t="s">
        <v>3595</v>
      </c>
      <c r="C1184" s="1" t="s">
        <v>3596</v>
      </c>
      <c r="D1184" s="1" t="s">
        <v>84</v>
      </c>
      <c r="E1184" s="1" t="s">
        <v>85</v>
      </c>
      <c r="F1184" s="1" t="s">
        <v>47</v>
      </c>
      <c r="G1184" s="1">
        <f t="shared" si="90"/>
        <v>1</v>
      </c>
      <c r="H1184" s="1" t="s">
        <v>86</v>
      </c>
      <c r="I1184" s="1" t="s">
        <v>49</v>
      </c>
      <c r="J1184" s="23" t="s">
        <v>50</v>
      </c>
      <c r="K1184" s="2" t="s">
        <v>51</v>
      </c>
      <c r="L1184" s="1">
        <v>346</v>
      </c>
      <c r="M1184" s="1">
        <v>27</v>
      </c>
      <c r="N1184" s="1" t="str">
        <f t="shared" si="93"/>
        <v>Published</v>
      </c>
      <c r="O1184" s="1">
        <f t="shared" si="91"/>
        <v>93.42</v>
      </c>
      <c r="P1184" s="1">
        <v>11</v>
      </c>
      <c r="Q1184" s="1">
        <v>894</v>
      </c>
      <c r="R1184" s="1" t="str">
        <f t="shared" si="94"/>
        <v>1</v>
      </c>
      <c r="S1184" s="1">
        <v>145</v>
      </c>
      <c r="T1184" s="1" t="str">
        <f t="shared" si="92"/>
        <v>3</v>
      </c>
      <c r="U1184" s="1">
        <v>-34.567549999999997</v>
      </c>
      <c r="V1184" s="3">
        <v>150.79866799999999</v>
      </c>
    </row>
    <row r="1185" spans="1:22" x14ac:dyDescent="0.35">
      <c r="A1185" s="22" t="s">
        <v>3597</v>
      </c>
      <c r="B1185" s="1" t="s">
        <v>3598</v>
      </c>
      <c r="C1185" s="1" t="s">
        <v>3599</v>
      </c>
      <c r="D1185" s="1" t="s">
        <v>737</v>
      </c>
      <c r="E1185" s="1" t="s">
        <v>738</v>
      </c>
      <c r="F1185" s="1" t="s">
        <v>47</v>
      </c>
      <c r="G1185" s="1">
        <f t="shared" si="90"/>
        <v>1</v>
      </c>
      <c r="H1185" s="1" t="s">
        <v>182</v>
      </c>
      <c r="I1185" s="1" t="s">
        <v>49</v>
      </c>
      <c r="J1185" s="23" t="s">
        <v>50</v>
      </c>
      <c r="K1185" s="2" t="s">
        <v>51</v>
      </c>
      <c r="L1185" s="1">
        <v>291</v>
      </c>
      <c r="M1185" s="1">
        <v>4</v>
      </c>
      <c r="N1185" s="1" t="str">
        <f t="shared" si="93"/>
        <v>Published</v>
      </c>
      <c r="O1185" s="1">
        <f t="shared" si="91"/>
        <v>11.64</v>
      </c>
      <c r="P1185" s="1">
        <v>24</v>
      </c>
      <c r="Q1185" s="1">
        <v>1046</v>
      </c>
      <c r="R1185" s="1" t="str">
        <f t="shared" si="94"/>
        <v>3</v>
      </c>
      <c r="S1185" s="1">
        <v>72</v>
      </c>
      <c r="T1185" s="1" t="str">
        <f t="shared" si="92"/>
        <v>2</v>
      </c>
      <c r="U1185" s="1">
        <v>-34.031992000000002</v>
      </c>
      <c r="V1185" s="3">
        <v>151.11273</v>
      </c>
    </row>
    <row r="1186" spans="1:22" x14ac:dyDescent="0.35">
      <c r="A1186" s="22" t="s">
        <v>3600</v>
      </c>
      <c r="B1186" s="1" t="s">
        <v>3601</v>
      </c>
      <c r="C1186" s="1" t="s">
        <v>3602</v>
      </c>
      <c r="D1186" s="1" t="s">
        <v>642</v>
      </c>
      <c r="E1186" s="1" t="s">
        <v>170</v>
      </c>
      <c r="F1186" s="1" t="s">
        <v>47</v>
      </c>
      <c r="G1186" s="1">
        <f t="shared" si="90"/>
        <v>1</v>
      </c>
      <c r="H1186" s="1" t="s">
        <v>148</v>
      </c>
      <c r="I1186" s="1" t="s">
        <v>49</v>
      </c>
      <c r="J1186" s="23" t="s">
        <v>50</v>
      </c>
      <c r="K1186" s="2" t="s">
        <v>51</v>
      </c>
      <c r="L1186" s="1">
        <v>104</v>
      </c>
      <c r="M1186" s="1"/>
      <c r="N1186" s="1" t="str">
        <f t="shared" si="93"/>
        <v>Suppressed</v>
      </c>
      <c r="O1186" s="1" t="str">
        <f t="shared" si="91"/>
        <v/>
      </c>
      <c r="P1186" s="1">
        <v>53</v>
      </c>
      <c r="Q1186" s="1">
        <v>1007</v>
      </c>
      <c r="R1186" s="1" t="str">
        <f t="shared" si="94"/>
        <v>3</v>
      </c>
      <c r="S1186" s="1">
        <v>81</v>
      </c>
      <c r="T1186" s="1" t="str">
        <f t="shared" si="92"/>
        <v>2</v>
      </c>
      <c r="U1186" s="1">
        <v>-33.817143999999999</v>
      </c>
      <c r="V1186" s="3">
        <v>151.05817999999999</v>
      </c>
    </row>
    <row r="1187" spans="1:22" x14ac:dyDescent="0.35">
      <c r="A1187" s="22" t="s">
        <v>3603</v>
      </c>
      <c r="B1187" s="1" t="s">
        <v>3604</v>
      </c>
      <c r="C1187" s="1" t="s">
        <v>3605</v>
      </c>
      <c r="D1187" s="1" t="s">
        <v>737</v>
      </c>
      <c r="E1187" s="1" t="s">
        <v>738</v>
      </c>
      <c r="F1187" s="1" t="s">
        <v>47</v>
      </c>
      <c r="G1187" s="1">
        <f t="shared" si="90"/>
        <v>1</v>
      </c>
      <c r="H1187" s="1" t="s">
        <v>182</v>
      </c>
      <c r="I1187" s="1" t="s">
        <v>49</v>
      </c>
      <c r="J1187" s="23" t="s">
        <v>50</v>
      </c>
      <c r="K1187" s="2" t="s">
        <v>51</v>
      </c>
      <c r="L1187" s="1">
        <v>329</v>
      </c>
      <c r="M1187" s="1"/>
      <c r="N1187" s="1" t="str">
        <f t="shared" si="93"/>
        <v>Suppressed</v>
      </c>
      <c r="O1187" s="1" t="str">
        <f t="shared" si="91"/>
        <v/>
      </c>
      <c r="P1187" s="1">
        <v>15</v>
      </c>
      <c r="Q1187" s="1">
        <v>1093</v>
      </c>
      <c r="R1187" s="1" t="str">
        <f t="shared" si="94"/>
        <v>3</v>
      </c>
      <c r="S1187" s="1">
        <v>34</v>
      </c>
      <c r="T1187" s="1" t="str">
        <f t="shared" si="92"/>
        <v>3</v>
      </c>
      <c r="U1187" s="1">
        <v>-34.048155000000001</v>
      </c>
      <c r="V1187" s="3">
        <v>151.10276099999999</v>
      </c>
    </row>
    <row r="1188" spans="1:22" x14ac:dyDescent="0.35">
      <c r="A1188" s="22" t="s">
        <v>3606</v>
      </c>
      <c r="B1188" s="1" t="s">
        <v>3607</v>
      </c>
      <c r="C1188" s="1" t="s">
        <v>3602</v>
      </c>
      <c r="D1188" s="1" t="s">
        <v>642</v>
      </c>
      <c r="E1188" s="1" t="s">
        <v>170</v>
      </c>
      <c r="F1188" s="1" t="s">
        <v>47</v>
      </c>
      <c r="G1188" s="1">
        <f t="shared" si="90"/>
        <v>1</v>
      </c>
      <c r="H1188" s="1" t="s">
        <v>148</v>
      </c>
      <c r="I1188" s="1" t="s">
        <v>49</v>
      </c>
      <c r="J1188" s="23" t="s">
        <v>50</v>
      </c>
      <c r="K1188" s="2" t="s">
        <v>51</v>
      </c>
      <c r="L1188" s="1">
        <v>104</v>
      </c>
      <c r="M1188" s="1">
        <v>8</v>
      </c>
      <c r="N1188" s="1" t="str">
        <f t="shared" si="93"/>
        <v>Published</v>
      </c>
      <c r="O1188" s="1">
        <f t="shared" si="91"/>
        <v>8.32</v>
      </c>
      <c r="P1188" s="1">
        <v>63</v>
      </c>
      <c r="Q1188" s="1">
        <v>1022</v>
      </c>
      <c r="R1188" s="1" t="str">
        <f t="shared" si="94"/>
        <v>3</v>
      </c>
      <c r="S1188" s="1">
        <v>75</v>
      </c>
      <c r="T1188" s="1" t="str">
        <f t="shared" si="92"/>
        <v>2</v>
      </c>
      <c r="U1188" s="1">
        <v>-33.805894000000002</v>
      </c>
      <c r="V1188" s="3">
        <v>151.058368</v>
      </c>
    </row>
    <row r="1189" spans="1:22" x14ac:dyDescent="0.35">
      <c r="A1189" s="22" t="s">
        <v>3608</v>
      </c>
      <c r="B1189" s="1" t="s">
        <v>3609</v>
      </c>
      <c r="C1189" s="1" t="s">
        <v>688</v>
      </c>
      <c r="D1189" s="1" t="s">
        <v>689</v>
      </c>
      <c r="E1189" s="1" t="s">
        <v>122</v>
      </c>
      <c r="F1189" s="1" t="s">
        <v>47</v>
      </c>
      <c r="G1189" s="1">
        <f t="shared" si="90"/>
        <v>1</v>
      </c>
      <c r="H1189" s="1" t="s">
        <v>86</v>
      </c>
      <c r="I1189" s="1" t="s">
        <v>49</v>
      </c>
      <c r="J1189" s="23" t="s">
        <v>50</v>
      </c>
      <c r="K1189" s="2" t="s">
        <v>51</v>
      </c>
      <c r="L1189" s="1">
        <v>358</v>
      </c>
      <c r="M1189" s="1">
        <v>8</v>
      </c>
      <c r="N1189" s="1" t="str">
        <f t="shared" si="93"/>
        <v>Published</v>
      </c>
      <c r="O1189" s="1">
        <f t="shared" si="91"/>
        <v>28.64</v>
      </c>
      <c r="P1189" s="1">
        <v>54</v>
      </c>
      <c r="Q1189" s="1">
        <v>967</v>
      </c>
      <c r="R1189" s="1" t="str">
        <f t="shared" si="94"/>
        <v>2</v>
      </c>
      <c r="S1189" s="1">
        <v>121</v>
      </c>
      <c r="T1189" s="1" t="str">
        <f t="shared" si="92"/>
        <v>3</v>
      </c>
      <c r="U1189" s="1">
        <v>-34.061200999999997</v>
      </c>
      <c r="V1189" s="3">
        <v>150.82658900000001</v>
      </c>
    </row>
    <row r="1190" spans="1:22" x14ac:dyDescent="0.35">
      <c r="A1190" s="22" t="s">
        <v>3610</v>
      </c>
      <c r="B1190" s="1" t="s">
        <v>3611</v>
      </c>
      <c r="C1190" s="1" t="s">
        <v>2371</v>
      </c>
      <c r="D1190" s="1" t="s">
        <v>558</v>
      </c>
      <c r="E1190" s="1" t="s">
        <v>68</v>
      </c>
      <c r="F1190" s="1" t="s">
        <v>47</v>
      </c>
      <c r="G1190" s="1">
        <f t="shared" si="90"/>
        <v>1</v>
      </c>
      <c r="H1190" s="1" t="s">
        <v>70</v>
      </c>
      <c r="I1190" s="1" t="s">
        <v>49</v>
      </c>
      <c r="J1190" s="23" t="s">
        <v>50</v>
      </c>
      <c r="K1190" s="2" t="s">
        <v>51</v>
      </c>
      <c r="L1190" s="1">
        <v>387</v>
      </c>
      <c r="M1190" s="1">
        <v>13</v>
      </c>
      <c r="N1190" s="1" t="str">
        <f t="shared" si="93"/>
        <v>Published</v>
      </c>
      <c r="O1190" s="1">
        <f t="shared" si="91"/>
        <v>50.31</v>
      </c>
      <c r="P1190" s="1">
        <v>31</v>
      </c>
      <c r="Q1190" s="1">
        <v>988</v>
      </c>
      <c r="R1190" s="1" t="str">
        <f t="shared" si="94"/>
        <v>2</v>
      </c>
      <c r="S1190" s="1">
        <v>93</v>
      </c>
      <c r="T1190" s="1" t="str">
        <f t="shared" si="92"/>
        <v>3</v>
      </c>
      <c r="U1190" s="1">
        <v>-35.348418000000002</v>
      </c>
      <c r="V1190" s="3">
        <v>149.21574000000001</v>
      </c>
    </row>
    <row r="1191" spans="1:22" x14ac:dyDescent="0.35">
      <c r="A1191" s="22" t="s">
        <v>3612</v>
      </c>
      <c r="B1191" s="1" t="s">
        <v>3613</v>
      </c>
      <c r="C1191" s="1" t="s">
        <v>1574</v>
      </c>
      <c r="D1191" s="1" t="s">
        <v>74</v>
      </c>
      <c r="E1191" s="1" t="s">
        <v>75</v>
      </c>
      <c r="F1191" s="1" t="s">
        <v>47</v>
      </c>
      <c r="G1191" s="1">
        <f t="shared" si="90"/>
        <v>1</v>
      </c>
      <c r="H1191" s="1" t="s">
        <v>63</v>
      </c>
      <c r="I1191" s="1" t="s">
        <v>49</v>
      </c>
      <c r="J1191" s="23" t="s">
        <v>50</v>
      </c>
      <c r="K1191" s="2" t="s">
        <v>51</v>
      </c>
      <c r="L1191" s="1">
        <v>162</v>
      </c>
      <c r="M1191" s="1">
        <v>13</v>
      </c>
      <c r="N1191" s="1" t="str">
        <f t="shared" si="93"/>
        <v>Published</v>
      </c>
      <c r="O1191" s="1">
        <f t="shared" si="91"/>
        <v>21.060000000000002</v>
      </c>
      <c r="P1191" s="1">
        <v>57</v>
      </c>
      <c r="Q1191" s="1">
        <v>955</v>
      </c>
      <c r="R1191" s="1" t="str">
        <f t="shared" si="94"/>
        <v>2</v>
      </c>
      <c r="S1191" s="1">
        <v>122</v>
      </c>
      <c r="T1191" s="1" t="str">
        <f t="shared" si="92"/>
        <v>2</v>
      </c>
      <c r="U1191" s="1">
        <v>-32.899751000000002</v>
      </c>
      <c r="V1191" s="3">
        <v>151.69506899999999</v>
      </c>
    </row>
    <row r="1192" spans="1:22" x14ac:dyDescent="0.35">
      <c r="A1192" s="22" t="s">
        <v>3614</v>
      </c>
      <c r="B1192" s="1" t="s">
        <v>3615</v>
      </c>
      <c r="C1192" s="1" t="s">
        <v>3057</v>
      </c>
      <c r="D1192" s="1" t="s">
        <v>525</v>
      </c>
      <c r="E1192" s="1" t="s">
        <v>68</v>
      </c>
      <c r="F1192" s="1" t="s">
        <v>57</v>
      </c>
      <c r="G1192" s="1">
        <f t="shared" si="90"/>
        <v>2</v>
      </c>
      <c r="H1192" s="1" t="s">
        <v>70</v>
      </c>
      <c r="I1192" s="1" t="s">
        <v>49</v>
      </c>
      <c r="J1192" s="23" t="s">
        <v>50</v>
      </c>
      <c r="K1192" s="2" t="s">
        <v>51</v>
      </c>
      <c r="L1192" s="1">
        <v>298</v>
      </c>
      <c r="M1192" s="1">
        <v>19</v>
      </c>
      <c r="N1192" s="1" t="str">
        <f t="shared" si="93"/>
        <v>Published</v>
      </c>
      <c r="O1192" s="1">
        <f t="shared" si="91"/>
        <v>56.62</v>
      </c>
      <c r="P1192" s="1">
        <v>11</v>
      </c>
      <c r="Q1192" s="1">
        <v>915</v>
      </c>
      <c r="R1192" s="1" t="str">
        <f t="shared" si="94"/>
        <v>2</v>
      </c>
      <c r="S1192" s="1">
        <v>142</v>
      </c>
      <c r="T1192" s="1" t="str">
        <f t="shared" si="92"/>
        <v>2</v>
      </c>
      <c r="U1192" s="1">
        <v>-34.311036000000001</v>
      </c>
      <c r="V1192" s="3">
        <v>148.305408</v>
      </c>
    </row>
    <row r="1193" spans="1:22" x14ac:dyDescent="0.35">
      <c r="A1193" s="22" t="s">
        <v>3616</v>
      </c>
      <c r="B1193" s="1" t="s">
        <v>3617</v>
      </c>
      <c r="C1193" s="1" t="s">
        <v>3618</v>
      </c>
      <c r="D1193" s="1" t="s">
        <v>191</v>
      </c>
      <c r="E1193" s="1" t="s">
        <v>75</v>
      </c>
      <c r="F1193" s="1" t="s">
        <v>47</v>
      </c>
      <c r="G1193" s="1">
        <f t="shared" si="90"/>
        <v>1</v>
      </c>
      <c r="H1193" s="1" t="s">
        <v>63</v>
      </c>
      <c r="I1193" s="1" t="s">
        <v>49</v>
      </c>
      <c r="J1193" s="23" t="s">
        <v>50</v>
      </c>
      <c r="K1193" s="2" t="s">
        <v>51</v>
      </c>
      <c r="L1193" s="1">
        <v>171</v>
      </c>
      <c r="M1193" s="1">
        <v>12</v>
      </c>
      <c r="N1193" s="1" t="str">
        <f t="shared" si="93"/>
        <v>Published</v>
      </c>
      <c r="O1193" s="1">
        <f t="shared" si="91"/>
        <v>20.52</v>
      </c>
      <c r="P1193" s="1">
        <v>5</v>
      </c>
      <c r="Q1193" s="1">
        <v>971</v>
      </c>
      <c r="R1193" s="1" t="str">
        <f t="shared" si="94"/>
        <v>2</v>
      </c>
      <c r="S1193" s="1">
        <v>120</v>
      </c>
      <c r="T1193" s="1" t="str">
        <f t="shared" si="92"/>
        <v>2</v>
      </c>
      <c r="U1193" s="1">
        <v>-33.060231000000002</v>
      </c>
      <c r="V1193" s="3">
        <v>151.582044</v>
      </c>
    </row>
    <row r="1194" spans="1:22" x14ac:dyDescent="0.35">
      <c r="A1194" s="22" t="s">
        <v>3619</v>
      </c>
      <c r="B1194" s="1" t="s">
        <v>3620</v>
      </c>
      <c r="C1194" s="1" t="s">
        <v>3621</v>
      </c>
      <c r="D1194" s="1" t="s">
        <v>191</v>
      </c>
      <c r="E1194" s="1" t="s">
        <v>75</v>
      </c>
      <c r="F1194" s="1" t="s">
        <v>47</v>
      </c>
      <c r="G1194" s="1">
        <f t="shared" si="90"/>
        <v>1</v>
      </c>
      <c r="H1194" s="1" t="s">
        <v>63</v>
      </c>
      <c r="I1194" s="1" t="s">
        <v>49</v>
      </c>
      <c r="J1194" s="23" t="s">
        <v>50</v>
      </c>
      <c r="K1194" s="2" t="s">
        <v>51</v>
      </c>
      <c r="L1194" s="1">
        <v>227</v>
      </c>
      <c r="M1194" s="1">
        <v>13</v>
      </c>
      <c r="N1194" s="1" t="str">
        <f t="shared" si="93"/>
        <v>Published</v>
      </c>
      <c r="O1194" s="1">
        <f t="shared" si="91"/>
        <v>29.51</v>
      </c>
      <c r="P1194" s="1">
        <v>13</v>
      </c>
      <c r="Q1194" s="1">
        <v>1045</v>
      </c>
      <c r="R1194" s="1" t="str">
        <f t="shared" si="94"/>
        <v>3</v>
      </c>
      <c r="S1194" s="1">
        <v>64</v>
      </c>
      <c r="T1194" s="1" t="str">
        <f t="shared" si="92"/>
        <v>2</v>
      </c>
      <c r="U1194" s="1">
        <v>-32.947882</v>
      </c>
      <c r="V1194" s="3">
        <v>151.682275</v>
      </c>
    </row>
    <row r="1195" spans="1:22" x14ac:dyDescent="0.35">
      <c r="A1195" s="22" t="s">
        <v>3622</v>
      </c>
      <c r="B1195" s="1" t="s">
        <v>3623</v>
      </c>
      <c r="C1195" s="1" t="s">
        <v>1131</v>
      </c>
      <c r="D1195" s="1" t="s">
        <v>1131</v>
      </c>
      <c r="E1195" s="1" t="s">
        <v>429</v>
      </c>
      <c r="F1195" s="1" t="s">
        <v>47</v>
      </c>
      <c r="G1195" s="1">
        <f t="shared" si="90"/>
        <v>1</v>
      </c>
      <c r="H1195" s="1" t="s">
        <v>182</v>
      </c>
      <c r="I1195" s="1" t="s">
        <v>49</v>
      </c>
      <c r="J1195" s="23" t="s">
        <v>50</v>
      </c>
      <c r="K1195" s="2" t="s">
        <v>51</v>
      </c>
      <c r="L1195" s="1">
        <v>441</v>
      </c>
      <c r="M1195" s="1">
        <v>17</v>
      </c>
      <c r="N1195" s="1" t="str">
        <f t="shared" si="93"/>
        <v>Published</v>
      </c>
      <c r="O1195" s="1">
        <f t="shared" si="91"/>
        <v>74.97</v>
      </c>
      <c r="P1195" s="1">
        <v>22</v>
      </c>
      <c r="Q1195" s="1">
        <v>958</v>
      </c>
      <c r="R1195" s="1" t="str">
        <f t="shared" si="94"/>
        <v>2</v>
      </c>
      <c r="S1195" s="1">
        <v>130</v>
      </c>
      <c r="T1195" s="1" t="str">
        <f t="shared" si="92"/>
        <v>3</v>
      </c>
      <c r="U1195" s="1">
        <v>-33.763900999999997</v>
      </c>
      <c r="V1195" s="3">
        <v>150.700637</v>
      </c>
    </row>
    <row r="1196" spans="1:22" x14ac:dyDescent="0.35">
      <c r="A1196" s="22" t="s">
        <v>3624</v>
      </c>
      <c r="B1196" s="1" t="s">
        <v>3625</v>
      </c>
      <c r="C1196" s="1" t="s">
        <v>232</v>
      </c>
      <c r="D1196" s="1" t="s">
        <v>152</v>
      </c>
      <c r="E1196" s="1" t="s">
        <v>229</v>
      </c>
      <c r="F1196" s="1" t="s">
        <v>47</v>
      </c>
      <c r="G1196" s="1">
        <f t="shared" si="90"/>
        <v>1</v>
      </c>
      <c r="H1196" s="1" t="s">
        <v>182</v>
      </c>
      <c r="I1196" s="1" t="s">
        <v>49</v>
      </c>
      <c r="J1196" s="23" t="s">
        <v>50</v>
      </c>
      <c r="K1196" s="2" t="s">
        <v>51</v>
      </c>
      <c r="L1196" s="1">
        <v>317</v>
      </c>
      <c r="M1196" s="1">
        <v>3</v>
      </c>
      <c r="N1196" s="1" t="str">
        <f t="shared" si="93"/>
        <v>Published</v>
      </c>
      <c r="O1196" s="1">
        <f t="shared" si="91"/>
        <v>9.51</v>
      </c>
      <c r="P1196" s="1">
        <v>91</v>
      </c>
      <c r="Q1196" s="1">
        <v>992</v>
      </c>
      <c r="R1196" s="1" t="str">
        <f t="shared" si="94"/>
        <v>2</v>
      </c>
      <c r="S1196" s="1">
        <v>121</v>
      </c>
      <c r="T1196" s="1" t="str">
        <f t="shared" si="92"/>
        <v>3</v>
      </c>
      <c r="U1196" s="1">
        <v>-33.915528000000002</v>
      </c>
      <c r="V1196" s="3">
        <v>151.01963900000001</v>
      </c>
    </row>
    <row r="1197" spans="1:22" x14ac:dyDescent="0.35">
      <c r="A1197" s="22" t="s">
        <v>3626</v>
      </c>
      <c r="B1197" s="1" t="s">
        <v>3627</v>
      </c>
      <c r="C1197" s="1" t="s">
        <v>713</v>
      </c>
      <c r="D1197" s="1" t="s">
        <v>713</v>
      </c>
      <c r="E1197" s="1" t="s">
        <v>80</v>
      </c>
      <c r="F1197" s="1" t="s">
        <v>57</v>
      </c>
      <c r="G1197" s="1">
        <f t="shared" si="90"/>
        <v>2</v>
      </c>
      <c r="H1197" s="1" t="s">
        <v>70</v>
      </c>
      <c r="I1197" s="1" t="s">
        <v>49</v>
      </c>
      <c r="J1197" s="23" t="s">
        <v>50</v>
      </c>
      <c r="K1197" s="2" t="s">
        <v>51</v>
      </c>
      <c r="L1197" s="1">
        <v>283</v>
      </c>
      <c r="M1197" s="1">
        <v>13</v>
      </c>
      <c r="N1197" s="1" t="str">
        <f t="shared" si="93"/>
        <v>Published</v>
      </c>
      <c r="O1197" s="1">
        <f t="shared" si="91"/>
        <v>36.79</v>
      </c>
      <c r="P1197" s="1">
        <v>30</v>
      </c>
      <c r="Q1197" s="1">
        <v>944</v>
      </c>
      <c r="R1197" s="1" t="str">
        <f t="shared" si="94"/>
        <v>2</v>
      </c>
      <c r="S1197" s="1">
        <v>115</v>
      </c>
      <c r="T1197" s="1" t="str">
        <f t="shared" si="92"/>
        <v>2</v>
      </c>
      <c r="U1197" s="1">
        <v>-35.129058999999998</v>
      </c>
      <c r="V1197" s="3">
        <v>147.35753099999999</v>
      </c>
    </row>
    <row r="1198" spans="1:22" x14ac:dyDescent="0.35">
      <c r="A1198" s="22" t="s">
        <v>3628</v>
      </c>
      <c r="B1198" s="1" t="s">
        <v>3629</v>
      </c>
      <c r="C1198" s="1" t="s">
        <v>3630</v>
      </c>
      <c r="D1198" s="1" t="s">
        <v>1003</v>
      </c>
      <c r="E1198" s="1" t="s">
        <v>225</v>
      </c>
      <c r="F1198" s="1" t="s">
        <v>47</v>
      </c>
      <c r="G1198" s="1">
        <f t="shared" si="90"/>
        <v>1</v>
      </c>
      <c r="H1198" s="1" t="s">
        <v>48</v>
      </c>
      <c r="I1198" s="1" t="s">
        <v>49</v>
      </c>
      <c r="J1198" s="23" t="s">
        <v>50</v>
      </c>
      <c r="K1198" s="2" t="s">
        <v>51</v>
      </c>
      <c r="L1198" s="1">
        <v>334</v>
      </c>
      <c r="M1198" s="1">
        <v>2</v>
      </c>
      <c r="N1198" s="1" t="str">
        <f t="shared" si="93"/>
        <v>Published</v>
      </c>
      <c r="O1198" s="1">
        <f t="shared" si="91"/>
        <v>6.68</v>
      </c>
      <c r="P1198" s="1">
        <v>36</v>
      </c>
      <c r="Q1198" s="1">
        <v>1155</v>
      </c>
      <c r="R1198" s="1" t="str">
        <f t="shared" si="94"/>
        <v>4</v>
      </c>
      <c r="S1198" s="1">
        <v>8</v>
      </c>
      <c r="T1198" s="1" t="str">
        <f t="shared" si="92"/>
        <v>3</v>
      </c>
      <c r="U1198" s="1">
        <v>-33.900880999999998</v>
      </c>
      <c r="V1198" s="3">
        <v>151.18611200000001</v>
      </c>
    </row>
    <row r="1199" spans="1:22" x14ac:dyDescent="0.35">
      <c r="A1199" s="22" t="s">
        <v>3631</v>
      </c>
      <c r="B1199" s="1" t="s">
        <v>3632</v>
      </c>
      <c r="C1199" s="1" t="s">
        <v>3633</v>
      </c>
      <c r="D1199" s="1" t="s">
        <v>1131</v>
      </c>
      <c r="E1199" s="1" t="s">
        <v>429</v>
      </c>
      <c r="F1199" s="1" t="s">
        <v>47</v>
      </c>
      <c r="G1199" s="1">
        <f t="shared" si="90"/>
        <v>1</v>
      </c>
      <c r="H1199" s="1" t="s">
        <v>63</v>
      </c>
      <c r="I1199" s="1" t="s">
        <v>49</v>
      </c>
      <c r="J1199" s="23" t="s">
        <v>50</v>
      </c>
      <c r="K1199" s="2" t="s">
        <v>51</v>
      </c>
      <c r="L1199" s="1">
        <v>126</v>
      </c>
      <c r="M1199" s="1">
        <v>14</v>
      </c>
      <c r="N1199" s="1" t="str">
        <f t="shared" si="93"/>
        <v>Published</v>
      </c>
      <c r="O1199" s="1">
        <f t="shared" si="91"/>
        <v>17.64</v>
      </c>
      <c r="P1199" s="1">
        <v>6</v>
      </c>
      <c r="Q1199" s="1">
        <v>968</v>
      </c>
      <c r="R1199" s="1" t="str">
        <f t="shared" si="94"/>
        <v>2</v>
      </c>
      <c r="S1199" s="1">
        <v>120</v>
      </c>
      <c r="T1199" s="1" t="str">
        <f t="shared" si="92"/>
        <v>2</v>
      </c>
      <c r="U1199" s="1">
        <v>-33.667028000000002</v>
      </c>
      <c r="V1199" s="3">
        <v>150.67596800000001</v>
      </c>
    </row>
    <row r="1200" spans="1:22" x14ac:dyDescent="0.35">
      <c r="A1200" s="22" t="s">
        <v>3634</v>
      </c>
      <c r="B1200" s="1" t="s">
        <v>3635</v>
      </c>
      <c r="C1200" s="1" t="s">
        <v>3636</v>
      </c>
      <c r="D1200" s="1" t="s">
        <v>302</v>
      </c>
      <c r="E1200" s="1" t="s">
        <v>276</v>
      </c>
      <c r="F1200" s="1" t="s">
        <v>57</v>
      </c>
      <c r="G1200" s="1">
        <f t="shared" si="90"/>
        <v>2</v>
      </c>
      <c r="H1200" s="1" t="s">
        <v>58</v>
      </c>
      <c r="I1200" s="1" t="s">
        <v>49</v>
      </c>
      <c r="J1200" s="23" t="s">
        <v>50</v>
      </c>
      <c r="K1200" s="2" t="s">
        <v>51</v>
      </c>
      <c r="L1200" s="1">
        <v>232</v>
      </c>
      <c r="M1200" s="1">
        <v>17</v>
      </c>
      <c r="N1200" s="1" t="str">
        <f t="shared" si="93"/>
        <v>Published</v>
      </c>
      <c r="O1200" s="1">
        <f t="shared" si="91"/>
        <v>39.440000000000005</v>
      </c>
      <c r="P1200" s="1">
        <v>5</v>
      </c>
      <c r="Q1200" s="1">
        <v>997</v>
      </c>
      <c r="R1200" s="1" t="str">
        <f t="shared" si="94"/>
        <v>2</v>
      </c>
      <c r="S1200" s="1">
        <v>87</v>
      </c>
      <c r="T1200" s="1" t="str">
        <f t="shared" si="92"/>
        <v>2</v>
      </c>
      <c r="U1200" s="1">
        <v>-31.633807000000001</v>
      </c>
      <c r="V1200" s="3">
        <v>152.81976299999999</v>
      </c>
    </row>
    <row r="1201" spans="1:22" x14ac:dyDescent="0.35">
      <c r="A1201" s="22" t="s">
        <v>3637</v>
      </c>
      <c r="B1201" s="1" t="s">
        <v>3638</v>
      </c>
      <c r="C1201" s="1" t="s">
        <v>3314</v>
      </c>
      <c r="D1201" s="1" t="s">
        <v>152</v>
      </c>
      <c r="E1201" s="1" t="s">
        <v>229</v>
      </c>
      <c r="F1201" s="1" t="s">
        <v>47</v>
      </c>
      <c r="G1201" s="1">
        <f t="shared" si="90"/>
        <v>1</v>
      </c>
      <c r="H1201" s="1" t="s">
        <v>182</v>
      </c>
      <c r="I1201" s="1" t="s">
        <v>49</v>
      </c>
      <c r="J1201" s="23" t="s">
        <v>50</v>
      </c>
      <c r="K1201" s="2" t="s">
        <v>51</v>
      </c>
      <c r="L1201" s="1">
        <v>154</v>
      </c>
      <c r="M1201" s="1">
        <v>8</v>
      </c>
      <c r="N1201" s="1" t="str">
        <f t="shared" si="93"/>
        <v>Published</v>
      </c>
      <c r="O1201" s="1">
        <f t="shared" si="91"/>
        <v>12.32</v>
      </c>
      <c r="P1201" s="1">
        <v>53</v>
      </c>
      <c r="Q1201" s="1">
        <v>998</v>
      </c>
      <c r="R1201" s="1" t="str">
        <f t="shared" si="94"/>
        <v>2</v>
      </c>
      <c r="S1201" s="1">
        <v>102</v>
      </c>
      <c r="T1201" s="1" t="str">
        <f t="shared" si="92"/>
        <v>2</v>
      </c>
      <c r="U1201" s="1">
        <v>-33.956383000000002</v>
      </c>
      <c r="V1201" s="3">
        <v>151.007373</v>
      </c>
    </row>
    <row r="1202" spans="1:22" x14ac:dyDescent="0.35">
      <c r="A1202" s="22" t="s">
        <v>3639</v>
      </c>
      <c r="B1202" s="1" t="s">
        <v>3640</v>
      </c>
      <c r="C1202" s="1" t="s">
        <v>3060</v>
      </c>
      <c r="D1202" s="1" t="s">
        <v>191</v>
      </c>
      <c r="E1202" s="1" t="s">
        <v>75</v>
      </c>
      <c r="F1202" s="1" t="s">
        <v>47</v>
      </c>
      <c r="G1202" s="1">
        <f t="shared" si="90"/>
        <v>1</v>
      </c>
      <c r="H1202" s="1" t="s">
        <v>63</v>
      </c>
      <c r="I1202" s="1" t="s">
        <v>49</v>
      </c>
      <c r="J1202" s="23" t="s">
        <v>50</v>
      </c>
      <c r="K1202" s="2" t="s">
        <v>51</v>
      </c>
      <c r="L1202" s="1">
        <v>305</v>
      </c>
      <c r="M1202" s="1">
        <v>18</v>
      </c>
      <c r="N1202" s="1" t="str">
        <f t="shared" si="93"/>
        <v>Published</v>
      </c>
      <c r="O1202" s="1">
        <f t="shared" si="91"/>
        <v>54.9</v>
      </c>
      <c r="P1202" s="1">
        <v>14</v>
      </c>
      <c r="Q1202" s="1">
        <v>969</v>
      </c>
      <c r="R1202" s="1" t="str">
        <f t="shared" si="94"/>
        <v>2</v>
      </c>
      <c r="S1202" s="1">
        <v>98</v>
      </c>
      <c r="T1202" s="1" t="str">
        <f t="shared" si="92"/>
        <v>3</v>
      </c>
      <c r="U1202" s="1">
        <v>-32.924430999999998</v>
      </c>
      <c r="V1202" s="3">
        <v>151.60920899999999</v>
      </c>
    </row>
    <row r="1203" spans="1:22" x14ac:dyDescent="0.35">
      <c r="A1203" s="22" t="s">
        <v>3641</v>
      </c>
      <c r="B1203" s="1" t="s">
        <v>3642</v>
      </c>
      <c r="C1203" s="1" t="s">
        <v>3643</v>
      </c>
      <c r="D1203" s="1" t="s">
        <v>642</v>
      </c>
      <c r="E1203" s="1" t="s">
        <v>170</v>
      </c>
      <c r="F1203" s="1" t="s">
        <v>47</v>
      </c>
      <c r="G1203" s="1">
        <f t="shared" si="90"/>
        <v>1</v>
      </c>
      <c r="H1203" s="1" t="s">
        <v>148</v>
      </c>
      <c r="I1203" s="1" t="s">
        <v>49</v>
      </c>
      <c r="J1203" s="23" t="s">
        <v>50</v>
      </c>
      <c r="K1203" s="2" t="s">
        <v>51</v>
      </c>
      <c r="L1203" s="1">
        <v>155</v>
      </c>
      <c r="M1203" s="1">
        <v>6</v>
      </c>
      <c r="N1203" s="1" t="str">
        <f t="shared" si="93"/>
        <v>Published</v>
      </c>
      <c r="O1203" s="1">
        <f t="shared" si="91"/>
        <v>9.2999999999999989</v>
      </c>
      <c r="P1203" s="1">
        <v>55</v>
      </c>
      <c r="Q1203" s="1">
        <v>1040</v>
      </c>
      <c r="R1203" s="1" t="str">
        <f t="shared" si="94"/>
        <v>3</v>
      </c>
      <c r="S1203" s="1">
        <v>71</v>
      </c>
      <c r="T1203" s="1" t="str">
        <f t="shared" si="92"/>
        <v>2</v>
      </c>
      <c r="U1203" s="1">
        <v>-33.795608000000001</v>
      </c>
      <c r="V1203" s="3">
        <v>151.05839800000001</v>
      </c>
    </row>
    <row r="1204" spans="1:22" x14ac:dyDescent="0.35">
      <c r="A1204" s="22" t="s">
        <v>3644</v>
      </c>
      <c r="B1204" s="1" t="s">
        <v>3645</v>
      </c>
      <c r="C1204" s="1" t="s">
        <v>3646</v>
      </c>
      <c r="D1204" s="1" t="s">
        <v>1155</v>
      </c>
      <c r="E1204" s="1" t="s">
        <v>306</v>
      </c>
      <c r="F1204" s="1" t="s">
        <v>47</v>
      </c>
      <c r="G1204" s="1">
        <f t="shared" si="90"/>
        <v>1</v>
      </c>
      <c r="H1204" s="1" t="s">
        <v>148</v>
      </c>
      <c r="I1204" s="1" t="s">
        <v>49</v>
      </c>
      <c r="J1204" s="23" t="s">
        <v>50</v>
      </c>
      <c r="K1204" s="2" t="s">
        <v>51</v>
      </c>
      <c r="L1204" s="1">
        <v>1007</v>
      </c>
      <c r="M1204" s="1">
        <v>1</v>
      </c>
      <c r="N1204" s="1" t="str">
        <f t="shared" si="93"/>
        <v>Published</v>
      </c>
      <c r="O1204" s="1">
        <f t="shared" si="91"/>
        <v>10.07</v>
      </c>
      <c r="P1204" s="1">
        <v>87</v>
      </c>
      <c r="Q1204" s="1">
        <v>1133</v>
      </c>
      <c r="R1204" s="1" t="str">
        <f t="shared" si="94"/>
        <v>4</v>
      </c>
      <c r="S1204" s="1">
        <v>11</v>
      </c>
      <c r="T1204" s="1" t="str">
        <f t="shared" si="92"/>
        <v>5</v>
      </c>
      <c r="U1204" s="1">
        <v>-33.787415000000003</v>
      </c>
      <c r="V1204" s="3">
        <v>151.108936</v>
      </c>
    </row>
    <row r="1205" spans="1:22" x14ac:dyDescent="0.35">
      <c r="A1205" s="22" t="s">
        <v>3647</v>
      </c>
      <c r="B1205" s="1" t="s">
        <v>3648</v>
      </c>
      <c r="C1205" s="1" t="s">
        <v>180</v>
      </c>
      <c r="D1205" s="1" t="s">
        <v>180</v>
      </c>
      <c r="E1205" s="1" t="s">
        <v>181</v>
      </c>
      <c r="F1205" s="1" t="s">
        <v>47</v>
      </c>
      <c r="G1205" s="1">
        <f t="shared" si="90"/>
        <v>1</v>
      </c>
      <c r="H1205" s="1" t="s">
        <v>182</v>
      </c>
      <c r="I1205" s="1" t="s">
        <v>49</v>
      </c>
      <c r="J1205" s="23" t="s">
        <v>50</v>
      </c>
      <c r="K1205" s="2" t="s">
        <v>51</v>
      </c>
      <c r="L1205" s="1">
        <v>668</v>
      </c>
      <c r="M1205" s="1">
        <v>5</v>
      </c>
      <c r="N1205" s="1" t="str">
        <f t="shared" si="93"/>
        <v>Published</v>
      </c>
      <c r="O1205" s="1">
        <f t="shared" si="91"/>
        <v>33.4</v>
      </c>
      <c r="P1205" s="1">
        <v>86</v>
      </c>
      <c r="Q1205" s="1">
        <v>920</v>
      </c>
      <c r="R1205" s="1" t="str">
        <f t="shared" si="94"/>
        <v>2</v>
      </c>
      <c r="S1205" s="1">
        <v>159</v>
      </c>
      <c r="T1205" s="1" t="str">
        <f t="shared" si="92"/>
        <v>4</v>
      </c>
      <c r="U1205" s="1">
        <v>-33.927101</v>
      </c>
      <c r="V1205" s="3">
        <v>150.907691</v>
      </c>
    </row>
    <row r="1206" spans="1:22" x14ac:dyDescent="0.35">
      <c r="A1206" s="22" t="s">
        <v>3649</v>
      </c>
      <c r="B1206" s="1" t="s">
        <v>3650</v>
      </c>
      <c r="C1206" s="1" t="s">
        <v>1897</v>
      </c>
      <c r="D1206" s="1" t="s">
        <v>837</v>
      </c>
      <c r="E1206" s="1" t="s">
        <v>838</v>
      </c>
      <c r="F1206" s="1" t="s">
        <v>47</v>
      </c>
      <c r="G1206" s="1">
        <f t="shared" si="90"/>
        <v>1</v>
      </c>
      <c r="H1206" s="1" t="s">
        <v>182</v>
      </c>
      <c r="I1206" s="1" t="s">
        <v>49</v>
      </c>
      <c r="J1206" s="23" t="s">
        <v>50</v>
      </c>
      <c r="K1206" s="2" t="s">
        <v>51</v>
      </c>
      <c r="L1206" s="1">
        <v>324</v>
      </c>
      <c r="M1206" s="1">
        <v>6</v>
      </c>
      <c r="N1206" s="1" t="str">
        <f t="shared" si="93"/>
        <v>Published</v>
      </c>
      <c r="O1206" s="1">
        <f t="shared" si="91"/>
        <v>19.439999999999998</v>
      </c>
      <c r="P1206" s="1">
        <v>74</v>
      </c>
      <c r="Q1206" s="1">
        <v>1001</v>
      </c>
      <c r="R1206" s="1" t="str">
        <f t="shared" si="94"/>
        <v>3</v>
      </c>
      <c r="S1206" s="1">
        <v>93</v>
      </c>
      <c r="T1206" s="1" t="str">
        <f t="shared" si="92"/>
        <v>3</v>
      </c>
      <c r="U1206" s="1">
        <v>-33.765987000000003</v>
      </c>
      <c r="V1206" s="3">
        <v>150.921605</v>
      </c>
    </row>
    <row r="1207" spans="1:22" x14ac:dyDescent="0.35">
      <c r="A1207" s="22" t="s">
        <v>3651</v>
      </c>
      <c r="B1207" s="1" t="s">
        <v>3652</v>
      </c>
      <c r="C1207" s="1" t="s">
        <v>3204</v>
      </c>
      <c r="D1207" s="1" t="s">
        <v>74</v>
      </c>
      <c r="E1207" s="1" t="s">
        <v>75</v>
      </c>
      <c r="F1207" s="1" t="s">
        <v>47</v>
      </c>
      <c r="G1207" s="1">
        <f t="shared" si="90"/>
        <v>1</v>
      </c>
      <c r="H1207" s="1" t="s">
        <v>63</v>
      </c>
      <c r="I1207" s="1" t="s">
        <v>49</v>
      </c>
      <c r="J1207" s="23" t="s">
        <v>50</v>
      </c>
      <c r="K1207" s="2" t="s">
        <v>51</v>
      </c>
      <c r="L1207" s="1">
        <v>290</v>
      </c>
      <c r="M1207" s="1">
        <v>11</v>
      </c>
      <c r="N1207" s="1" t="str">
        <f t="shared" si="93"/>
        <v>Published</v>
      </c>
      <c r="O1207" s="1">
        <f t="shared" si="91"/>
        <v>31.9</v>
      </c>
      <c r="P1207" s="1">
        <v>20</v>
      </c>
      <c r="Q1207" s="1">
        <v>996</v>
      </c>
      <c r="R1207" s="1" t="str">
        <f t="shared" si="94"/>
        <v>2</v>
      </c>
      <c r="S1207" s="1">
        <v>88</v>
      </c>
      <c r="T1207" s="1" t="str">
        <f t="shared" si="92"/>
        <v>2</v>
      </c>
      <c r="U1207" s="1">
        <v>-32.915588999999997</v>
      </c>
      <c r="V1207" s="3">
        <v>151.66681500000001</v>
      </c>
    </row>
    <row r="1208" spans="1:22" x14ac:dyDescent="0.35">
      <c r="A1208" s="22" t="s">
        <v>3653</v>
      </c>
      <c r="B1208" s="1" t="s">
        <v>3654</v>
      </c>
      <c r="C1208" s="1" t="s">
        <v>2472</v>
      </c>
      <c r="D1208" s="1" t="s">
        <v>1155</v>
      </c>
      <c r="E1208" s="1" t="s">
        <v>306</v>
      </c>
      <c r="F1208" s="1" t="s">
        <v>47</v>
      </c>
      <c r="G1208" s="1">
        <f t="shared" si="90"/>
        <v>1</v>
      </c>
      <c r="H1208" s="1" t="s">
        <v>148</v>
      </c>
      <c r="I1208" s="1" t="s">
        <v>49</v>
      </c>
      <c r="J1208" s="23" t="s">
        <v>50</v>
      </c>
      <c r="K1208" s="2" t="s">
        <v>51</v>
      </c>
      <c r="L1208" s="1">
        <v>265</v>
      </c>
      <c r="M1208" s="1">
        <v>0</v>
      </c>
      <c r="N1208" s="1" t="str">
        <f t="shared" si="93"/>
        <v>Published</v>
      </c>
      <c r="O1208" s="1">
        <f t="shared" si="91"/>
        <v>0</v>
      </c>
      <c r="P1208" s="1">
        <v>69</v>
      </c>
      <c r="Q1208" s="1">
        <v>1144</v>
      </c>
      <c r="R1208" s="1" t="str">
        <f t="shared" si="94"/>
        <v>4</v>
      </c>
      <c r="S1208" s="1">
        <v>11</v>
      </c>
      <c r="T1208" s="1" t="str">
        <f t="shared" si="92"/>
        <v>2</v>
      </c>
      <c r="U1208" s="1">
        <v>-33.794097000000001</v>
      </c>
      <c r="V1208" s="3">
        <v>151.13091800000001</v>
      </c>
    </row>
    <row r="1209" spans="1:22" x14ac:dyDescent="0.35">
      <c r="A1209" s="22" t="s">
        <v>3655</v>
      </c>
      <c r="B1209" s="1" t="s">
        <v>3656</v>
      </c>
      <c r="C1209" s="1" t="s">
        <v>3657</v>
      </c>
      <c r="D1209" s="1" t="s">
        <v>126</v>
      </c>
      <c r="E1209" s="1" t="s">
        <v>306</v>
      </c>
      <c r="F1209" s="1" t="s">
        <v>47</v>
      </c>
      <c r="G1209" s="1">
        <f t="shared" si="90"/>
        <v>1</v>
      </c>
      <c r="H1209" s="1" t="s">
        <v>148</v>
      </c>
      <c r="I1209" s="1" t="s">
        <v>49</v>
      </c>
      <c r="J1209" s="23" t="s">
        <v>50</v>
      </c>
      <c r="K1209" s="2" t="s">
        <v>51</v>
      </c>
      <c r="L1209" s="1">
        <v>382</v>
      </c>
      <c r="M1209" s="1">
        <v>0</v>
      </c>
      <c r="N1209" s="1" t="str">
        <f t="shared" si="93"/>
        <v>Published</v>
      </c>
      <c r="O1209" s="1">
        <f t="shared" si="91"/>
        <v>0</v>
      </c>
      <c r="P1209" s="1">
        <v>52</v>
      </c>
      <c r="Q1209" s="1">
        <v>1174</v>
      </c>
      <c r="R1209" s="1" t="str">
        <f t="shared" si="94"/>
        <v>4</v>
      </c>
      <c r="S1209" s="1">
        <v>0</v>
      </c>
      <c r="T1209" s="1" t="str">
        <f t="shared" si="92"/>
        <v>3</v>
      </c>
      <c r="U1209" s="1">
        <v>-33.757643000000002</v>
      </c>
      <c r="V1209" s="3">
        <v>151.09542500000001</v>
      </c>
    </row>
    <row r="1210" spans="1:22" x14ac:dyDescent="0.35">
      <c r="A1210" s="22" t="s">
        <v>3658</v>
      </c>
      <c r="B1210" s="1" t="s">
        <v>3659</v>
      </c>
      <c r="C1210" s="1" t="s">
        <v>837</v>
      </c>
      <c r="D1210" s="1" t="s">
        <v>837</v>
      </c>
      <c r="E1210" s="1" t="s">
        <v>838</v>
      </c>
      <c r="F1210" s="1" t="s">
        <v>47</v>
      </c>
      <c r="G1210" s="1">
        <f t="shared" si="90"/>
        <v>1</v>
      </c>
      <c r="H1210" s="1" t="s">
        <v>148</v>
      </c>
      <c r="I1210" s="1" t="s">
        <v>49</v>
      </c>
      <c r="J1210" s="23" t="s">
        <v>50</v>
      </c>
      <c r="K1210" s="2" t="s">
        <v>51</v>
      </c>
      <c r="L1210" s="1">
        <v>557</v>
      </c>
      <c r="M1210" s="1">
        <v>7</v>
      </c>
      <c r="N1210" s="1" t="str">
        <f t="shared" si="93"/>
        <v>Published</v>
      </c>
      <c r="O1210" s="1">
        <f t="shared" si="91"/>
        <v>38.99</v>
      </c>
      <c r="P1210" s="1">
        <v>67</v>
      </c>
      <c r="Q1210" s="1">
        <v>981</v>
      </c>
      <c r="R1210" s="1" t="str">
        <f t="shared" si="94"/>
        <v>2</v>
      </c>
      <c r="S1210" s="1">
        <v>101</v>
      </c>
      <c r="T1210" s="1" t="str">
        <f t="shared" si="92"/>
        <v>3</v>
      </c>
      <c r="U1210" s="1">
        <v>-33.756608999999997</v>
      </c>
      <c r="V1210" s="3">
        <v>150.89530400000001</v>
      </c>
    </row>
    <row r="1211" spans="1:22" x14ac:dyDescent="0.35">
      <c r="A1211" s="22" t="s">
        <v>3660</v>
      </c>
      <c r="B1211" s="1" t="s">
        <v>3661</v>
      </c>
      <c r="C1211" s="1" t="s">
        <v>1754</v>
      </c>
      <c r="D1211" s="1" t="s">
        <v>95</v>
      </c>
      <c r="E1211" s="1" t="s">
        <v>96</v>
      </c>
      <c r="F1211" s="1" t="s">
        <v>57</v>
      </c>
      <c r="G1211" s="1">
        <f t="shared" si="90"/>
        <v>2</v>
      </c>
      <c r="H1211" s="1" t="s">
        <v>70</v>
      </c>
      <c r="I1211" s="1" t="s">
        <v>49</v>
      </c>
      <c r="J1211" s="23" t="s">
        <v>50</v>
      </c>
      <c r="K1211" s="2" t="s">
        <v>51</v>
      </c>
      <c r="L1211" s="1">
        <v>291</v>
      </c>
      <c r="M1211" s="1">
        <v>19</v>
      </c>
      <c r="N1211" s="1" t="str">
        <f t="shared" si="93"/>
        <v>Published</v>
      </c>
      <c r="O1211" s="1">
        <f t="shared" si="91"/>
        <v>55.29</v>
      </c>
      <c r="P1211" s="1">
        <v>28</v>
      </c>
      <c r="Q1211" s="1">
        <v>924</v>
      </c>
      <c r="R1211" s="1" t="str">
        <f t="shared" si="94"/>
        <v>2</v>
      </c>
      <c r="S1211" s="1">
        <v>142</v>
      </c>
      <c r="T1211" s="1" t="str">
        <f t="shared" si="92"/>
        <v>2</v>
      </c>
      <c r="U1211" s="1">
        <v>-36.039323000000003</v>
      </c>
      <c r="V1211" s="3">
        <v>146.94894199999999</v>
      </c>
    </row>
    <row r="1212" spans="1:22" x14ac:dyDescent="0.35">
      <c r="A1212" s="22" t="s">
        <v>3662</v>
      </c>
      <c r="B1212" s="1" t="s">
        <v>3663</v>
      </c>
      <c r="C1212" s="1" t="s">
        <v>713</v>
      </c>
      <c r="D1212" s="1" t="s">
        <v>713</v>
      </c>
      <c r="E1212" s="1" t="s">
        <v>80</v>
      </c>
      <c r="F1212" s="1" t="s">
        <v>57</v>
      </c>
      <c r="G1212" s="1">
        <f t="shared" si="90"/>
        <v>2</v>
      </c>
      <c r="H1212" s="1" t="s">
        <v>70</v>
      </c>
      <c r="I1212" s="1" t="s">
        <v>49</v>
      </c>
      <c r="J1212" s="23" t="s">
        <v>50</v>
      </c>
      <c r="K1212" s="2" t="s">
        <v>51</v>
      </c>
      <c r="L1212" s="1">
        <v>390</v>
      </c>
      <c r="M1212" s="1">
        <v>19</v>
      </c>
      <c r="N1212" s="1" t="str">
        <f t="shared" si="93"/>
        <v>Published</v>
      </c>
      <c r="O1212" s="1">
        <f t="shared" si="91"/>
        <v>74.099999999999994</v>
      </c>
      <c r="P1212" s="1">
        <v>12</v>
      </c>
      <c r="Q1212" s="1">
        <v>933</v>
      </c>
      <c r="R1212" s="1" t="str">
        <f t="shared" si="94"/>
        <v>2</v>
      </c>
      <c r="S1212" s="1">
        <v>133</v>
      </c>
      <c r="T1212" s="1" t="str">
        <f t="shared" si="92"/>
        <v>3</v>
      </c>
      <c r="U1212" s="1">
        <v>-35.148828000000002</v>
      </c>
      <c r="V1212" s="3">
        <v>147.37323900000001</v>
      </c>
    </row>
    <row r="1213" spans="1:22" x14ac:dyDescent="0.35">
      <c r="A1213" s="22" t="s">
        <v>3664</v>
      </c>
      <c r="B1213" s="1" t="s">
        <v>3665</v>
      </c>
      <c r="C1213" s="1" t="s">
        <v>3666</v>
      </c>
      <c r="D1213" s="1" t="s">
        <v>390</v>
      </c>
      <c r="E1213" s="1" t="s">
        <v>107</v>
      </c>
      <c r="F1213" s="1" t="s">
        <v>57</v>
      </c>
      <c r="G1213" s="1">
        <f t="shared" si="90"/>
        <v>2</v>
      </c>
      <c r="H1213" s="1" t="s">
        <v>92</v>
      </c>
      <c r="I1213" s="1" t="s">
        <v>49</v>
      </c>
      <c r="J1213" s="23" t="s">
        <v>50</v>
      </c>
      <c r="K1213" s="2" t="s">
        <v>51</v>
      </c>
      <c r="L1213" s="1">
        <v>102</v>
      </c>
      <c r="M1213" s="1">
        <v>33</v>
      </c>
      <c r="N1213" s="1" t="str">
        <f t="shared" si="93"/>
        <v>Published</v>
      </c>
      <c r="O1213" s="1">
        <f t="shared" si="91"/>
        <v>33.660000000000004</v>
      </c>
      <c r="P1213" s="1">
        <v>9</v>
      </c>
      <c r="Q1213" s="1">
        <v>950</v>
      </c>
      <c r="R1213" s="1" t="str">
        <f t="shared" si="94"/>
        <v>2</v>
      </c>
      <c r="S1213" s="1">
        <v>103</v>
      </c>
      <c r="T1213" s="1" t="str">
        <f t="shared" si="92"/>
        <v>2</v>
      </c>
      <c r="U1213" s="1">
        <v>-28.821563000000001</v>
      </c>
      <c r="V1213" s="3">
        <v>153.27249800000001</v>
      </c>
    </row>
    <row r="1214" spans="1:22" x14ac:dyDescent="0.35">
      <c r="A1214" s="22" t="s">
        <v>3667</v>
      </c>
      <c r="B1214" s="1" t="s">
        <v>3668</v>
      </c>
      <c r="C1214" s="1" t="s">
        <v>3669</v>
      </c>
      <c r="D1214" s="1" t="s">
        <v>176</v>
      </c>
      <c r="E1214" s="1" t="s">
        <v>85</v>
      </c>
      <c r="F1214" s="1" t="s">
        <v>47</v>
      </c>
      <c r="G1214" s="1">
        <f t="shared" si="90"/>
        <v>1</v>
      </c>
      <c r="H1214" s="1" t="s">
        <v>86</v>
      </c>
      <c r="I1214" s="1" t="s">
        <v>49</v>
      </c>
      <c r="J1214" s="23" t="s">
        <v>50</v>
      </c>
      <c r="K1214" s="2" t="s">
        <v>51</v>
      </c>
      <c r="L1214" s="1">
        <v>157</v>
      </c>
      <c r="M1214" s="1">
        <v>30</v>
      </c>
      <c r="N1214" s="1" t="str">
        <f t="shared" si="93"/>
        <v>Published</v>
      </c>
      <c r="O1214" s="1">
        <f t="shared" si="91"/>
        <v>47.1</v>
      </c>
      <c r="P1214" s="1">
        <v>17</v>
      </c>
      <c r="Q1214" s="1">
        <v>868</v>
      </c>
      <c r="R1214" s="1" t="str">
        <f t="shared" si="94"/>
        <v>1</v>
      </c>
      <c r="S1214" s="1">
        <v>165</v>
      </c>
      <c r="T1214" s="1" t="str">
        <f t="shared" si="92"/>
        <v>2</v>
      </c>
      <c r="U1214" s="1">
        <v>-34.475496999999997</v>
      </c>
      <c r="V1214" s="3">
        <v>150.84100000000001</v>
      </c>
    </row>
    <row r="1215" spans="1:22" x14ac:dyDescent="0.35">
      <c r="A1215" s="22" t="s">
        <v>3670</v>
      </c>
      <c r="B1215" s="1" t="s">
        <v>3671</v>
      </c>
      <c r="C1215" s="1" t="s">
        <v>3672</v>
      </c>
      <c r="D1215" s="1" t="s">
        <v>186</v>
      </c>
      <c r="E1215" s="1" t="s">
        <v>187</v>
      </c>
      <c r="F1215" s="1" t="s">
        <v>47</v>
      </c>
      <c r="G1215" s="1">
        <f t="shared" si="90"/>
        <v>1</v>
      </c>
      <c r="H1215" s="1" t="s">
        <v>63</v>
      </c>
      <c r="I1215" s="1" t="s">
        <v>49</v>
      </c>
      <c r="J1215" s="23" t="s">
        <v>50</v>
      </c>
      <c r="K1215" s="2" t="s">
        <v>51</v>
      </c>
      <c r="L1215" s="1">
        <v>555</v>
      </c>
      <c r="M1215" s="1">
        <v>22</v>
      </c>
      <c r="N1215" s="1" t="str">
        <f t="shared" si="93"/>
        <v>Published</v>
      </c>
      <c r="O1215" s="1">
        <f t="shared" si="91"/>
        <v>122.1</v>
      </c>
      <c r="P1215" s="1">
        <v>6</v>
      </c>
      <c r="Q1215" s="1">
        <v>937</v>
      </c>
      <c r="R1215" s="1" t="str">
        <f t="shared" si="94"/>
        <v>2</v>
      </c>
      <c r="S1215" s="1">
        <v>131</v>
      </c>
      <c r="T1215" s="1" t="str">
        <f t="shared" si="92"/>
        <v>3</v>
      </c>
      <c r="U1215" s="1">
        <v>-33.225718000000001</v>
      </c>
      <c r="V1215" s="3">
        <v>151.54931199999999</v>
      </c>
    </row>
    <row r="1216" spans="1:22" x14ac:dyDescent="0.35">
      <c r="A1216" s="22" t="s">
        <v>3673</v>
      </c>
      <c r="B1216" s="1" t="s">
        <v>3674</v>
      </c>
      <c r="C1216" s="1" t="s">
        <v>3675</v>
      </c>
      <c r="D1216" s="1" t="s">
        <v>106</v>
      </c>
      <c r="E1216" s="1" t="s">
        <v>107</v>
      </c>
      <c r="F1216" s="1" t="s">
        <v>57</v>
      </c>
      <c r="G1216" s="1">
        <f t="shared" si="90"/>
        <v>2</v>
      </c>
      <c r="H1216" s="1" t="s">
        <v>92</v>
      </c>
      <c r="I1216" s="1" t="s">
        <v>49</v>
      </c>
      <c r="J1216" s="23" t="s">
        <v>50</v>
      </c>
      <c r="K1216" s="2" t="s">
        <v>51</v>
      </c>
      <c r="L1216" s="1">
        <v>424</v>
      </c>
      <c r="M1216" s="1">
        <v>4</v>
      </c>
      <c r="N1216" s="1" t="str">
        <f t="shared" si="93"/>
        <v>Published</v>
      </c>
      <c r="O1216" s="1">
        <f t="shared" si="91"/>
        <v>16.96</v>
      </c>
      <c r="P1216" s="1">
        <v>15</v>
      </c>
      <c r="Q1216" s="1">
        <v>1064</v>
      </c>
      <c r="R1216" s="1" t="str">
        <f t="shared" si="94"/>
        <v>3</v>
      </c>
      <c r="S1216" s="1">
        <v>56</v>
      </c>
      <c r="T1216" s="1" t="str">
        <f t="shared" si="92"/>
        <v>3</v>
      </c>
      <c r="U1216" s="1">
        <v>-28.794377000000001</v>
      </c>
      <c r="V1216" s="3">
        <v>153.59069500000001</v>
      </c>
    </row>
    <row r="1217" spans="1:22" x14ac:dyDescent="0.35">
      <c r="A1217" s="22" t="s">
        <v>3676</v>
      </c>
      <c r="B1217" s="1" t="s">
        <v>3677</v>
      </c>
      <c r="C1217" s="1" t="s">
        <v>3678</v>
      </c>
      <c r="D1217" s="1" t="s">
        <v>191</v>
      </c>
      <c r="E1217" s="1" t="s">
        <v>75</v>
      </c>
      <c r="F1217" s="1" t="s">
        <v>47</v>
      </c>
      <c r="G1217" s="1">
        <f t="shared" si="90"/>
        <v>1</v>
      </c>
      <c r="H1217" s="1" t="s">
        <v>63</v>
      </c>
      <c r="I1217" s="1" t="s">
        <v>49</v>
      </c>
      <c r="J1217" s="23" t="s">
        <v>50</v>
      </c>
      <c r="K1217" s="2" t="s">
        <v>51</v>
      </c>
      <c r="L1217" s="1">
        <v>510</v>
      </c>
      <c r="M1217" s="1">
        <v>4</v>
      </c>
      <c r="N1217" s="1" t="str">
        <f t="shared" si="93"/>
        <v>Published</v>
      </c>
      <c r="O1217" s="1">
        <f t="shared" si="91"/>
        <v>20.400000000000002</v>
      </c>
      <c r="P1217" s="1">
        <v>5</v>
      </c>
      <c r="Q1217" s="1">
        <v>1071</v>
      </c>
      <c r="R1217" s="1" t="str">
        <f t="shared" si="94"/>
        <v>3</v>
      </c>
      <c r="S1217" s="1">
        <v>50</v>
      </c>
      <c r="T1217" s="1" t="str">
        <f t="shared" si="92"/>
        <v>3</v>
      </c>
      <c r="U1217" s="1">
        <v>-33.009146999999999</v>
      </c>
      <c r="V1217" s="3">
        <v>151.642517</v>
      </c>
    </row>
    <row r="1218" spans="1:22" x14ac:dyDescent="0.35">
      <c r="A1218" s="22" t="s">
        <v>3679</v>
      </c>
      <c r="B1218" s="1" t="s">
        <v>3680</v>
      </c>
      <c r="C1218" s="1" t="s">
        <v>3681</v>
      </c>
      <c r="D1218" s="1" t="s">
        <v>837</v>
      </c>
      <c r="E1218" s="1" t="s">
        <v>838</v>
      </c>
      <c r="F1218" s="1" t="s">
        <v>47</v>
      </c>
      <c r="G1218" s="1">
        <f t="shared" ref="G1218:G1281" si="95">IF(F1218="Major Cities of Australia",1,IF(F1218="Inner Regional Australia",2,IF(F1218="Outer Regional Australia",3,IF(F1218="Remote Australia",4,IF(F1218="Very Remote Australia",5,6)))))</f>
        <v>1</v>
      </c>
      <c r="H1218" s="1" t="s">
        <v>182</v>
      </c>
      <c r="I1218" s="1" t="s">
        <v>49</v>
      </c>
      <c r="J1218" s="23" t="s">
        <v>50</v>
      </c>
      <c r="K1218" s="2" t="s">
        <v>51</v>
      </c>
      <c r="L1218" s="1">
        <v>187</v>
      </c>
      <c r="M1218" s="1">
        <v>18</v>
      </c>
      <c r="N1218" s="1" t="str">
        <f t="shared" si="93"/>
        <v>Published</v>
      </c>
      <c r="O1218" s="1">
        <f t="shared" ref="O1218:O1281" si="96">IF(OR(M1218="",L1218=""),"",M1218/100*L1218)</f>
        <v>33.659999999999997</v>
      </c>
      <c r="P1218" s="1">
        <v>42</v>
      </c>
      <c r="Q1218" s="1">
        <v>916</v>
      </c>
      <c r="R1218" s="1" t="str">
        <f t="shared" si="94"/>
        <v>2</v>
      </c>
      <c r="S1218" s="1">
        <v>135</v>
      </c>
      <c r="T1218" s="1" t="str">
        <f t="shared" ref="T1218:T1281" si="97">IF(L1218="","No enrolment",IF(L1218&lt;100,"1",IF(L1218&lt;300,"2",IF(L1218&lt;600,"3",IF(L1218&lt;1000,"4","5")))))</f>
        <v>2</v>
      </c>
      <c r="U1218" s="1">
        <v>-33.760503999999997</v>
      </c>
      <c r="V1218" s="3">
        <v>150.93125000000001</v>
      </c>
    </row>
    <row r="1219" spans="1:22" x14ac:dyDescent="0.35">
      <c r="A1219" s="22" t="s">
        <v>3682</v>
      </c>
      <c r="B1219" s="1" t="s">
        <v>3683</v>
      </c>
      <c r="C1219" s="1" t="s">
        <v>1897</v>
      </c>
      <c r="D1219" s="1" t="s">
        <v>837</v>
      </c>
      <c r="E1219" s="1" t="s">
        <v>838</v>
      </c>
      <c r="F1219" s="1" t="s">
        <v>47</v>
      </c>
      <c r="G1219" s="1">
        <f t="shared" si="95"/>
        <v>1</v>
      </c>
      <c r="H1219" s="1" t="s">
        <v>182</v>
      </c>
      <c r="I1219" s="1" t="s">
        <v>49</v>
      </c>
      <c r="J1219" s="23" t="s">
        <v>50</v>
      </c>
      <c r="K1219" s="2" t="s">
        <v>51</v>
      </c>
      <c r="L1219" s="1">
        <v>175</v>
      </c>
      <c r="M1219" s="1">
        <v>4</v>
      </c>
      <c r="N1219" s="1" t="str">
        <f t="shared" ref="N1219:N1282" si="98">IF(M1219="","Suppressed","Published")</f>
        <v>Published</v>
      </c>
      <c r="O1219" s="1">
        <f t="shared" si="96"/>
        <v>7</v>
      </c>
      <c r="P1219" s="1">
        <v>73</v>
      </c>
      <c r="Q1219" s="1">
        <v>1015</v>
      </c>
      <c r="R1219" s="1" t="str">
        <f t="shared" ref="R1219:R1282" si="99">IF(Q1219="","No ICSEA",IF(Q1219&lt;900,"1",IF(Q1219&lt;1000,"2",IF(Q1219&lt;1100,"3","4"))))</f>
        <v>3</v>
      </c>
      <c r="S1219" s="1">
        <v>86</v>
      </c>
      <c r="T1219" s="1" t="str">
        <f t="shared" si="97"/>
        <v>2</v>
      </c>
      <c r="U1219" s="1">
        <v>-33.777504999999998</v>
      </c>
      <c r="V1219" s="3">
        <v>150.92453699999999</v>
      </c>
    </row>
    <row r="1220" spans="1:22" x14ac:dyDescent="0.35">
      <c r="A1220" s="22" t="s">
        <v>3684</v>
      </c>
      <c r="B1220" s="1" t="s">
        <v>3685</v>
      </c>
      <c r="C1220" s="1" t="s">
        <v>837</v>
      </c>
      <c r="D1220" s="1" t="s">
        <v>837</v>
      </c>
      <c r="E1220" s="1" t="s">
        <v>838</v>
      </c>
      <c r="F1220" s="1" t="s">
        <v>47</v>
      </c>
      <c r="G1220" s="1">
        <f t="shared" si="95"/>
        <v>1</v>
      </c>
      <c r="H1220" s="1" t="s">
        <v>182</v>
      </c>
      <c r="I1220" s="1" t="s">
        <v>49</v>
      </c>
      <c r="J1220" s="23" t="s">
        <v>50</v>
      </c>
      <c r="K1220" s="2" t="s">
        <v>51</v>
      </c>
      <c r="L1220" s="1">
        <v>936</v>
      </c>
      <c r="M1220" s="1">
        <v>3</v>
      </c>
      <c r="N1220" s="1" t="str">
        <f t="shared" si="98"/>
        <v>Published</v>
      </c>
      <c r="O1220" s="1">
        <f t="shared" si="96"/>
        <v>28.08</v>
      </c>
      <c r="P1220" s="1">
        <v>83</v>
      </c>
      <c r="Q1220" s="1">
        <v>1042</v>
      </c>
      <c r="R1220" s="1" t="str">
        <f t="shared" si="99"/>
        <v>3</v>
      </c>
      <c r="S1220" s="1">
        <v>66</v>
      </c>
      <c r="T1220" s="1" t="str">
        <f t="shared" si="97"/>
        <v>4</v>
      </c>
      <c r="U1220" s="1">
        <v>-33.780192999999997</v>
      </c>
      <c r="V1220" s="3">
        <v>150.90517500000001</v>
      </c>
    </row>
    <row r="1221" spans="1:22" x14ac:dyDescent="0.35">
      <c r="A1221" s="22" t="s">
        <v>3686</v>
      </c>
      <c r="B1221" s="1" t="s">
        <v>3687</v>
      </c>
      <c r="C1221" s="1" t="s">
        <v>782</v>
      </c>
      <c r="D1221" s="1" t="s">
        <v>191</v>
      </c>
      <c r="E1221" s="1" t="s">
        <v>75</v>
      </c>
      <c r="F1221" s="1" t="s">
        <v>47</v>
      </c>
      <c r="G1221" s="1">
        <f t="shared" si="95"/>
        <v>1</v>
      </c>
      <c r="H1221" s="1" t="s">
        <v>63</v>
      </c>
      <c r="I1221" s="1" t="s">
        <v>49</v>
      </c>
      <c r="J1221" s="23" t="s">
        <v>50</v>
      </c>
      <c r="K1221" s="2" t="s">
        <v>51</v>
      </c>
      <c r="L1221" s="1">
        <v>319</v>
      </c>
      <c r="M1221" s="1">
        <v>9</v>
      </c>
      <c r="N1221" s="1" t="str">
        <f t="shared" si="98"/>
        <v>Published</v>
      </c>
      <c r="O1221" s="1">
        <f t="shared" si="96"/>
        <v>28.709999999999997</v>
      </c>
      <c r="P1221" s="1">
        <v>6</v>
      </c>
      <c r="Q1221" s="1">
        <v>1036</v>
      </c>
      <c r="R1221" s="1" t="str">
        <f t="shared" si="99"/>
        <v>3</v>
      </c>
      <c r="S1221" s="1">
        <v>65</v>
      </c>
      <c r="T1221" s="1" t="str">
        <f t="shared" si="97"/>
        <v>3</v>
      </c>
      <c r="U1221" s="1">
        <v>-32.971176</v>
      </c>
      <c r="V1221" s="3">
        <v>151.70469299999999</v>
      </c>
    </row>
    <row r="1222" spans="1:22" x14ac:dyDescent="0.35">
      <c r="A1222" s="22" t="s">
        <v>3688</v>
      </c>
      <c r="B1222" s="1" t="s">
        <v>3689</v>
      </c>
      <c r="C1222" s="1" t="s">
        <v>3690</v>
      </c>
      <c r="D1222" s="1" t="s">
        <v>428</v>
      </c>
      <c r="E1222" s="1" t="s">
        <v>429</v>
      </c>
      <c r="F1222" s="1" t="s">
        <v>47</v>
      </c>
      <c r="G1222" s="1">
        <f t="shared" si="95"/>
        <v>1</v>
      </c>
      <c r="H1222" s="1" t="s">
        <v>63</v>
      </c>
      <c r="I1222" s="1" t="s">
        <v>49</v>
      </c>
      <c r="J1222" s="23" t="s">
        <v>50</v>
      </c>
      <c r="K1222" s="2" t="s">
        <v>51</v>
      </c>
      <c r="L1222" s="1">
        <v>146</v>
      </c>
      <c r="M1222" s="1">
        <v>12</v>
      </c>
      <c r="N1222" s="1" t="str">
        <f t="shared" si="98"/>
        <v>Published</v>
      </c>
      <c r="O1222" s="1">
        <f t="shared" si="96"/>
        <v>17.52</v>
      </c>
      <c r="P1222" s="1">
        <v>14</v>
      </c>
      <c r="Q1222" s="1">
        <v>1052</v>
      </c>
      <c r="R1222" s="1" t="str">
        <f t="shared" si="99"/>
        <v>3</v>
      </c>
      <c r="S1222" s="1">
        <v>63</v>
      </c>
      <c r="T1222" s="1" t="str">
        <f t="shared" si="97"/>
        <v>2</v>
      </c>
      <c r="U1222" s="1">
        <v>-33.728056000000002</v>
      </c>
      <c r="V1222" s="3">
        <v>150.60021699999999</v>
      </c>
    </row>
    <row r="1223" spans="1:22" x14ac:dyDescent="0.35">
      <c r="A1223" s="22" t="s">
        <v>3691</v>
      </c>
      <c r="B1223" s="1" t="s">
        <v>3692</v>
      </c>
      <c r="C1223" s="1" t="s">
        <v>325</v>
      </c>
      <c r="D1223" s="1" t="s">
        <v>325</v>
      </c>
      <c r="E1223" s="1" t="s">
        <v>276</v>
      </c>
      <c r="F1223" s="1" t="s">
        <v>57</v>
      </c>
      <c r="G1223" s="1">
        <f t="shared" si="95"/>
        <v>2</v>
      </c>
      <c r="H1223" s="1" t="s">
        <v>86</v>
      </c>
      <c r="I1223" s="1" t="s">
        <v>49</v>
      </c>
      <c r="J1223" s="23" t="s">
        <v>50</v>
      </c>
      <c r="K1223" s="2" t="s">
        <v>51</v>
      </c>
      <c r="L1223" s="1">
        <v>129</v>
      </c>
      <c r="M1223" s="1">
        <v>65</v>
      </c>
      <c r="N1223" s="1" t="str">
        <f t="shared" si="98"/>
        <v>Published</v>
      </c>
      <c r="O1223" s="1">
        <f t="shared" si="96"/>
        <v>83.850000000000009</v>
      </c>
      <c r="P1223" s="1"/>
      <c r="Q1223" s="1">
        <v>767</v>
      </c>
      <c r="R1223" s="1" t="str">
        <f t="shared" si="99"/>
        <v>1</v>
      </c>
      <c r="S1223" s="1">
        <v>188</v>
      </c>
      <c r="T1223" s="1" t="str">
        <f t="shared" si="97"/>
        <v>2</v>
      </c>
      <c r="U1223" s="1">
        <v>-31.094958999999999</v>
      </c>
      <c r="V1223" s="3">
        <v>152.82988800000001</v>
      </c>
    </row>
    <row r="1224" spans="1:22" x14ac:dyDescent="0.35">
      <c r="A1224" s="22" t="s">
        <v>3693</v>
      </c>
      <c r="B1224" s="1" t="s">
        <v>3694</v>
      </c>
      <c r="C1224" s="1" t="s">
        <v>3695</v>
      </c>
      <c r="D1224" s="1" t="s">
        <v>191</v>
      </c>
      <c r="E1224" s="1" t="s">
        <v>75</v>
      </c>
      <c r="F1224" s="1" t="s">
        <v>47</v>
      </c>
      <c r="G1224" s="1">
        <f t="shared" si="95"/>
        <v>1</v>
      </c>
      <c r="H1224" s="1" t="s">
        <v>63</v>
      </c>
      <c r="I1224" s="1" t="s">
        <v>49</v>
      </c>
      <c r="J1224" s="23" t="s">
        <v>50</v>
      </c>
      <c r="K1224" s="2" t="s">
        <v>51</v>
      </c>
      <c r="L1224" s="1">
        <v>103</v>
      </c>
      <c r="M1224" s="1">
        <v>16</v>
      </c>
      <c r="N1224" s="1" t="str">
        <f t="shared" si="98"/>
        <v>Published</v>
      </c>
      <c r="O1224" s="1">
        <f t="shared" si="96"/>
        <v>16.48</v>
      </c>
      <c r="P1224" s="1"/>
      <c r="Q1224" s="1">
        <v>1004</v>
      </c>
      <c r="R1224" s="1" t="str">
        <f t="shared" si="99"/>
        <v>3</v>
      </c>
      <c r="S1224" s="1">
        <v>90</v>
      </c>
      <c r="T1224" s="1" t="str">
        <f t="shared" si="97"/>
        <v>2</v>
      </c>
      <c r="U1224" s="1">
        <v>-33.071303</v>
      </c>
      <c r="V1224" s="3">
        <v>151.654011</v>
      </c>
    </row>
    <row r="1225" spans="1:22" x14ac:dyDescent="0.35">
      <c r="A1225" s="22" t="s">
        <v>3696</v>
      </c>
      <c r="B1225" s="1" t="s">
        <v>3697</v>
      </c>
      <c r="C1225" s="1" t="s">
        <v>3698</v>
      </c>
      <c r="D1225" s="1" t="s">
        <v>180</v>
      </c>
      <c r="E1225" s="1" t="s">
        <v>181</v>
      </c>
      <c r="F1225" s="1" t="s">
        <v>47</v>
      </c>
      <c r="G1225" s="1">
        <f t="shared" si="95"/>
        <v>1</v>
      </c>
      <c r="H1225" s="1" t="s">
        <v>182</v>
      </c>
      <c r="I1225" s="1" t="s">
        <v>49</v>
      </c>
      <c r="J1225" s="23" t="s">
        <v>50</v>
      </c>
      <c r="K1225" s="2" t="s">
        <v>51</v>
      </c>
      <c r="L1225" s="1">
        <v>660</v>
      </c>
      <c r="M1225" s="1">
        <v>4</v>
      </c>
      <c r="N1225" s="1" t="str">
        <f t="shared" si="98"/>
        <v>Published</v>
      </c>
      <c r="O1225" s="1">
        <f t="shared" si="96"/>
        <v>26.400000000000002</v>
      </c>
      <c r="P1225" s="1">
        <v>78</v>
      </c>
      <c r="Q1225" s="1">
        <v>980</v>
      </c>
      <c r="R1225" s="1" t="str">
        <f t="shared" si="99"/>
        <v>2</v>
      </c>
      <c r="S1225" s="1">
        <v>114</v>
      </c>
      <c r="T1225" s="1" t="str">
        <f t="shared" si="97"/>
        <v>4</v>
      </c>
      <c r="U1225" s="1">
        <v>-33.944217999999999</v>
      </c>
      <c r="V1225" s="3">
        <v>150.9092</v>
      </c>
    </row>
    <row r="1226" spans="1:22" x14ac:dyDescent="0.35">
      <c r="A1226" s="22" t="s">
        <v>3699</v>
      </c>
      <c r="B1226" s="1" t="s">
        <v>3700</v>
      </c>
      <c r="C1226" s="1" t="s">
        <v>3701</v>
      </c>
      <c r="D1226" s="1" t="s">
        <v>203</v>
      </c>
      <c r="E1226" s="1" t="s">
        <v>204</v>
      </c>
      <c r="F1226" s="1" t="s">
        <v>47</v>
      </c>
      <c r="G1226" s="1">
        <f t="shared" si="95"/>
        <v>1</v>
      </c>
      <c r="H1226" s="1" t="s">
        <v>148</v>
      </c>
      <c r="I1226" s="1" t="s">
        <v>49</v>
      </c>
      <c r="J1226" s="23" t="s">
        <v>50</v>
      </c>
      <c r="K1226" s="2" t="s">
        <v>51</v>
      </c>
      <c r="L1226" s="1">
        <v>387</v>
      </c>
      <c r="M1226" s="1">
        <v>4</v>
      </c>
      <c r="N1226" s="1" t="str">
        <f t="shared" si="98"/>
        <v>Published</v>
      </c>
      <c r="O1226" s="1">
        <f t="shared" si="96"/>
        <v>15.48</v>
      </c>
      <c r="P1226" s="1">
        <v>14</v>
      </c>
      <c r="Q1226" s="1">
        <v>1087</v>
      </c>
      <c r="R1226" s="1" t="str">
        <f t="shared" si="99"/>
        <v>3</v>
      </c>
      <c r="S1226" s="1">
        <v>36</v>
      </c>
      <c r="T1226" s="1" t="str">
        <f t="shared" si="97"/>
        <v>3</v>
      </c>
      <c r="U1226" s="1">
        <v>-33.703671999999997</v>
      </c>
      <c r="V1226" s="3">
        <v>151.284751</v>
      </c>
    </row>
    <row r="1227" spans="1:22" x14ac:dyDescent="0.35">
      <c r="A1227" s="22" t="s">
        <v>3702</v>
      </c>
      <c r="B1227" s="1" t="s">
        <v>3703</v>
      </c>
      <c r="C1227" s="1" t="s">
        <v>3704</v>
      </c>
      <c r="D1227" s="1" t="s">
        <v>203</v>
      </c>
      <c r="E1227" s="1" t="s">
        <v>204</v>
      </c>
      <c r="F1227" s="1" t="s">
        <v>47</v>
      </c>
      <c r="G1227" s="1">
        <f t="shared" si="95"/>
        <v>1</v>
      </c>
      <c r="H1227" s="1" t="s">
        <v>148</v>
      </c>
      <c r="I1227" s="1" t="s">
        <v>49</v>
      </c>
      <c r="J1227" s="23" t="s">
        <v>50</v>
      </c>
      <c r="K1227" s="2" t="s">
        <v>51</v>
      </c>
      <c r="L1227" s="1">
        <v>406</v>
      </c>
      <c r="M1227" s="1"/>
      <c r="N1227" s="1" t="str">
        <f t="shared" si="98"/>
        <v>Suppressed</v>
      </c>
      <c r="O1227" s="1" t="str">
        <f t="shared" si="96"/>
        <v/>
      </c>
      <c r="P1227" s="1">
        <v>15</v>
      </c>
      <c r="Q1227" s="1">
        <v>1138</v>
      </c>
      <c r="R1227" s="1" t="str">
        <f t="shared" si="99"/>
        <v>4</v>
      </c>
      <c r="S1227" s="1">
        <v>15</v>
      </c>
      <c r="T1227" s="1" t="str">
        <f t="shared" si="97"/>
        <v>3</v>
      </c>
      <c r="U1227" s="1">
        <v>-33.766150000000003</v>
      </c>
      <c r="V1227" s="3">
        <v>151.24920800000001</v>
      </c>
    </row>
    <row r="1228" spans="1:22" x14ac:dyDescent="0.35">
      <c r="A1228" s="22" t="s">
        <v>3705</v>
      </c>
      <c r="B1228" s="1" t="s">
        <v>3706</v>
      </c>
      <c r="C1228" s="1" t="s">
        <v>3707</v>
      </c>
      <c r="D1228" s="1" t="s">
        <v>74</v>
      </c>
      <c r="E1228" s="1" t="s">
        <v>75</v>
      </c>
      <c r="F1228" s="1" t="s">
        <v>47</v>
      </c>
      <c r="G1228" s="1">
        <f t="shared" si="95"/>
        <v>1</v>
      </c>
      <c r="H1228" s="1" t="s">
        <v>63</v>
      </c>
      <c r="I1228" s="1" t="s">
        <v>49</v>
      </c>
      <c r="J1228" s="23" t="s">
        <v>50</v>
      </c>
      <c r="K1228" s="2" t="s">
        <v>51</v>
      </c>
      <c r="L1228" s="1">
        <v>309</v>
      </c>
      <c r="M1228" s="1">
        <v>6</v>
      </c>
      <c r="N1228" s="1" t="str">
        <f t="shared" si="98"/>
        <v>Published</v>
      </c>
      <c r="O1228" s="1">
        <f t="shared" si="96"/>
        <v>18.54</v>
      </c>
      <c r="P1228" s="1">
        <v>16</v>
      </c>
      <c r="Q1228" s="1">
        <v>1069</v>
      </c>
      <c r="R1228" s="1" t="str">
        <f t="shared" si="99"/>
        <v>3</v>
      </c>
      <c r="S1228" s="1">
        <v>48</v>
      </c>
      <c r="T1228" s="1" t="str">
        <f t="shared" si="97"/>
        <v>3</v>
      </c>
      <c r="U1228" s="1">
        <v>-32.946528000000001</v>
      </c>
      <c r="V1228" s="3">
        <v>151.694255</v>
      </c>
    </row>
    <row r="1229" spans="1:22" x14ac:dyDescent="0.35">
      <c r="A1229" s="22" t="s">
        <v>3708</v>
      </c>
      <c r="B1229" s="1" t="s">
        <v>3709</v>
      </c>
      <c r="C1229" s="1" t="s">
        <v>478</v>
      </c>
      <c r="D1229" s="1" t="s">
        <v>478</v>
      </c>
      <c r="E1229" s="1" t="s">
        <v>261</v>
      </c>
      <c r="F1229" s="1" t="s">
        <v>69</v>
      </c>
      <c r="G1229" s="1">
        <f t="shared" si="95"/>
        <v>3</v>
      </c>
      <c r="H1229" s="1" t="s">
        <v>70</v>
      </c>
      <c r="I1229" s="1" t="s">
        <v>49</v>
      </c>
      <c r="J1229" s="23" t="s">
        <v>50</v>
      </c>
      <c r="K1229" s="2" t="s">
        <v>51</v>
      </c>
      <c r="L1229" s="1">
        <v>281</v>
      </c>
      <c r="M1229" s="1">
        <v>25</v>
      </c>
      <c r="N1229" s="1" t="str">
        <f t="shared" si="98"/>
        <v>Published</v>
      </c>
      <c r="O1229" s="1">
        <f t="shared" si="96"/>
        <v>70.25</v>
      </c>
      <c r="P1229" s="1">
        <v>3</v>
      </c>
      <c r="Q1229" s="1">
        <v>949</v>
      </c>
      <c r="R1229" s="1" t="str">
        <f t="shared" si="99"/>
        <v>2</v>
      </c>
      <c r="S1229" s="1">
        <v>102</v>
      </c>
      <c r="T1229" s="1" t="str">
        <f t="shared" si="97"/>
        <v>2</v>
      </c>
      <c r="U1229" s="1">
        <v>-33.136054000000001</v>
      </c>
      <c r="V1229" s="3">
        <v>148.19021499999999</v>
      </c>
    </row>
    <row r="1230" spans="1:22" x14ac:dyDescent="0.35">
      <c r="A1230" s="22" t="s">
        <v>3710</v>
      </c>
      <c r="B1230" s="1" t="s">
        <v>3711</v>
      </c>
      <c r="C1230" s="1" t="s">
        <v>3712</v>
      </c>
      <c r="D1230" s="1" t="s">
        <v>1131</v>
      </c>
      <c r="E1230" s="1" t="s">
        <v>429</v>
      </c>
      <c r="F1230" s="1" t="s">
        <v>47</v>
      </c>
      <c r="G1230" s="1">
        <f t="shared" si="95"/>
        <v>1</v>
      </c>
      <c r="H1230" s="1" t="s">
        <v>182</v>
      </c>
      <c r="I1230" s="1" t="s">
        <v>49</v>
      </c>
      <c r="J1230" s="23" t="s">
        <v>50</v>
      </c>
      <c r="K1230" s="2" t="s">
        <v>51</v>
      </c>
      <c r="L1230" s="1">
        <v>345</v>
      </c>
      <c r="M1230" s="1">
        <v>29</v>
      </c>
      <c r="N1230" s="1" t="str">
        <f t="shared" si="98"/>
        <v>Published</v>
      </c>
      <c r="O1230" s="1">
        <f t="shared" si="96"/>
        <v>100.05</v>
      </c>
      <c r="P1230" s="1">
        <v>26</v>
      </c>
      <c r="Q1230" s="1">
        <v>873</v>
      </c>
      <c r="R1230" s="1" t="str">
        <f t="shared" si="99"/>
        <v>1</v>
      </c>
      <c r="S1230" s="1">
        <v>164</v>
      </c>
      <c r="T1230" s="1" t="str">
        <f t="shared" si="97"/>
        <v>3</v>
      </c>
      <c r="U1230" s="1">
        <v>-33.756231</v>
      </c>
      <c r="V1230" s="3">
        <v>150.78259600000001</v>
      </c>
    </row>
    <row r="1231" spans="1:22" x14ac:dyDescent="0.35">
      <c r="A1231" s="22" t="s">
        <v>3713</v>
      </c>
      <c r="B1231" s="1" t="s">
        <v>3714</v>
      </c>
      <c r="C1231" s="1" t="s">
        <v>3715</v>
      </c>
      <c r="D1231" s="1" t="s">
        <v>191</v>
      </c>
      <c r="E1231" s="1" t="s">
        <v>75</v>
      </c>
      <c r="F1231" s="1" t="s">
        <v>47</v>
      </c>
      <c r="G1231" s="1">
        <f t="shared" si="95"/>
        <v>1</v>
      </c>
      <c r="H1231" s="1" t="s">
        <v>63</v>
      </c>
      <c r="I1231" s="1" t="s">
        <v>49</v>
      </c>
      <c r="J1231" s="23" t="s">
        <v>50</v>
      </c>
      <c r="K1231" s="2" t="s">
        <v>51</v>
      </c>
      <c r="L1231" s="1">
        <v>348</v>
      </c>
      <c r="M1231" s="1">
        <v>7</v>
      </c>
      <c r="N1231" s="1" t="str">
        <f t="shared" si="98"/>
        <v>Published</v>
      </c>
      <c r="O1231" s="1">
        <f t="shared" si="96"/>
        <v>24.360000000000003</v>
      </c>
      <c r="P1231" s="1">
        <v>10</v>
      </c>
      <c r="Q1231" s="1">
        <v>1065</v>
      </c>
      <c r="R1231" s="1" t="str">
        <f t="shared" si="99"/>
        <v>3</v>
      </c>
      <c r="S1231" s="1">
        <v>61</v>
      </c>
      <c r="T1231" s="1" t="str">
        <f t="shared" si="97"/>
        <v>3</v>
      </c>
      <c r="U1231" s="1">
        <v>-32.966054</v>
      </c>
      <c r="V1231" s="3">
        <v>151.64181199999999</v>
      </c>
    </row>
    <row r="1232" spans="1:22" x14ac:dyDescent="0.35">
      <c r="A1232" s="22" t="s">
        <v>3716</v>
      </c>
      <c r="B1232" s="1" t="s">
        <v>3717</v>
      </c>
      <c r="C1232" s="1" t="s">
        <v>3718</v>
      </c>
      <c r="D1232" s="1" t="s">
        <v>191</v>
      </c>
      <c r="E1232" s="1" t="s">
        <v>75</v>
      </c>
      <c r="F1232" s="1" t="s">
        <v>47</v>
      </c>
      <c r="G1232" s="1">
        <f t="shared" si="95"/>
        <v>1</v>
      </c>
      <c r="H1232" s="1" t="s">
        <v>63</v>
      </c>
      <c r="I1232" s="1" t="s">
        <v>49</v>
      </c>
      <c r="J1232" s="23" t="s">
        <v>50</v>
      </c>
      <c r="K1232" s="2" t="s">
        <v>51</v>
      </c>
      <c r="L1232" s="1">
        <v>232</v>
      </c>
      <c r="M1232" s="1">
        <v>22</v>
      </c>
      <c r="N1232" s="1" t="str">
        <f t="shared" si="98"/>
        <v>Published</v>
      </c>
      <c r="O1232" s="1">
        <f t="shared" si="96"/>
        <v>51.04</v>
      </c>
      <c r="P1232" s="1">
        <v>10</v>
      </c>
      <c r="Q1232" s="1">
        <v>956</v>
      </c>
      <c r="R1232" s="1" t="str">
        <f t="shared" si="99"/>
        <v>2</v>
      </c>
      <c r="S1232" s="1">
        <v>108</v>
      </c>
      <c r="T1232" s="1" t="str">
        <f t="shared" si="97"/>
        <v>2</v>
      </c>
      <c r="U1232" s="1">
        <v>-32.927568000000001</v>
      </c>
      <c r="V1232" s="3">
        <v>151.65441000000001</v>
      </c>
    </row>
    <row r="1233" spans="1:22" x14ac:dyDescent="0.35">
      <c r="A1233" s="22" t="s">
        <v>3719</v>
      </c>
      <c r="B1233" s="1" t="s">
        <v>3720</v>
      </c>
      <c r="C1233" s="1" t="s">
        <v>3721</v>
      </c>
      <c r="D1233" s="1" t="s">
        <v>191</v>
      </c>
      <c r="E1233" s="1" t="s">
        <v>75</v>
      </c>
      <c r="F1233" s="1" t="s">
        <v>47</v>
      </c>
      <c r="G1233" s="1">
        <f t="shared" si="95"/>
        <v>1</v>
      </c>
      <c r="H1233" s="1" t="s">
        <v>63</v>
      </c>
      <c r="I1233" s="1" t="s">
        <v>49</v>
      </c>
      <c r="J1233" s="23" t="s">
        <v>50</v>
      </c>
      <c r="K1233" s="2" t="s">
        <v>51</v>
      </c>
      <c r="L1233" s="1">
        <v>159</v>
      </c>
      <c r="M1233" s="1">
        <v>31</v>
      </c>
      <c r="N1233" s="1" t="str">
        <f t="shared" si="98"/>
        <v>Published</v>
      </c>
      <c r="O1233" s="1">
        <f t="shared" si="96"/>
        <v>49.29</v>
      </c>
      <c r="P1233" s="1">
        <v>12</v>
      </c>
      <c r="Q1233" s="1">
        <v>889</v>
      </c>
      <c r="R1233" s="1" t="str">
        <f t="shared" si="99"/>
        <v>1</v>
      </c>
      <c r="S1233" s="1">
        <v>147</v>
      </c>
      <c r="T1233" s="1" t="str">
        <f t="shared" si="97"/>
        <v>2</v>
      </c>
      <c r="U1233" s="1">
        <v>-32.991748999999999</v>
      </c>
      <c r="V1233" s="3">
        <v>151.601866</v>
      </c>
    </row>
    <row r="1234" spans="1:22" x14ac:dyDescent="0.35">
      <c r="A1234" s="22" t="s">
        <v>3722</v>
      </c>
      <c r="B1234" s="1" t="s">
        <v>3723</v>
      </c>
      <c r="C1234" s="1" t="s">
        <v>136</v>
      </c>
      <c r="D1234" s="1" t="s">
        <v>136</v>
      </c>
      <c r="E1234" s="1" t="s">
        <v>80</v>
      </c>
      <c r="F1234" s="1" t="s">
        <v>69</v>
      </c>
      <c r="G1234" s="1">
        <f t="shared" si="95"/>
        <v>3</v>
      </c>
      <c r="H1234" s="1" t="s">
        <v>70</v>
      </c>
      <c r="I1234" s="1" t="s">
        <v>49</v>
      </c>
      <c r="J1234" s="23" t="s">
        <v>50</v>
      </c>
      <c r="K1234" s="2" t="s">
        <v>51</v>
      </c>
      <c r="L1234" s="1">
        <v>122</v>
      </c>
      <c r="M1234" s="1">
        <v>13</v>
      </c>
      <c r="N1234" s="1" t="str">
        <f t="shared" si="98"/>
        <v>Published</v>
      </c>
      <c r="O1234" s="1">
        <f t="shared" si="96"/>
        <v>15.860000000000001</v>
      </c>
      <c r="P1234" s="1">
        <v>5</v>
      </c>
      <c r="Q1234" s="1">
        <v>940</v>
      </c>
      <c r="R1234" s="1" t="str">
        <f t="shared" si="99"/>
        <v>2</v>
      </c>
      <c r="S1234" s="1">
        <v>114</v>
      </c>
      <c r="T1234" s="1" t="str">
        <f t="shared" si="97"/>
        <v>2</v>
      </c>
      <c r="U1234" s="1">
        <v>-34.451303000000003</v>
      </c>
      <c r="V1234" s="3">
        <v>147.52353600000001</v>
      </c>
    </row>
    <row r="1235" spans="1:22" x14ac:dyDescent="0.35">
      <c r="A1235" s="22" t="s">
        <v>3724</v>
      </c>
      <c r="B1235" s="1" t="s">
        <v>3725</v>
      </c>
      <c r="C1235" s="1" t="s">
        <v>2038</v>
      </c>
      <c r="D1235" s="1" t="s">
        <v>537</v>
      </c>
      <c r="E1235" s="1" t="s">
        <v>181</v>
      </c>
      <c r="F1235" s="1" t="s">
        <v>47</v>
      </c>
      <c r="G1235" s="1">
        <f t="shared" si="95"/>
        <v>1</v>
      </c>
      <c r="H1235" s="1" t="s">
        <v>182</v>
      </c>
      <c r="I1235" s="1" t="s">
        <v>49</v>
      </c>
      <c r="J1235" s="23" t="s">
        <v>50</v>
      </c>
      <c r="K1235" s="2" t="s">
        <v>51</v>
      </c>
      <c r="L1235" s="1">
        <v>214</v>
      </c>
      <c r="M1235" s="1">
        <v>10</v>
      </c>
      <c r="N1235" s="1" t="str">
        <f t="shared" si="98"/>
        <v>Published</v>
      </c>
      <c r="O1235" s="1">
        <f t="shared" si="96"/>
        <v>21.400000000000002</v>
      </c>
      <c r="P1235" s="1">
        <v>63</v>
      </c>
      <c r="Q1235" s="1">
        <v>943</v>
      </c>
      <c r="R1235" s="1" t="str">
        <f t="shared" si="99"/>
        <v>2</v>
      </c>
      <c r="S1235" s="1">
        <v>146</v>
      </c>
      <c r="T1235" s="1" t="str">
        <f t="shared" si="97"/>
        <v>2</v>
      </c>
      <c r="U1235" s="1">
        <v>-33.905096999999998</v>
      </c>
      <c r="V1235" s="3">
        <v>150.91204400000001</v>
      </c>
    </row>
    <row r="1236" spans="1:22" x14ac:dyDescent="0.35">
      <c r="A1236" s="22" t="s">
        <v>3726</v>
      </c>
      <c r="B1236" s="1" t="s">
        <v>3727</v>
      </c>
      <c r="C1236" s="1" t="s">
        <v>3728</v>
      </c>
      <c r="D1236" s="1" t="s">
        <v>837</v>
      </c>
      <c r="E1236" s="1" t="s">
        <v>838</v>
      </c>
      <c r="F1236" s="1" t="s">
        <v>47</v>
      </c>
      <c r="G1236" s="1">
        <f t="shared" si="95"/>
        <v>1</v>
      </c>
      <c r="H1236" s="1" t="s">
        <v>148</v>
      </c>
      <c r="I1236" s="1" t="s">
        <v>49</v>
      </c>
      <c r="J1236" s="23" t="s">
        <v>50</v>
      </c>
      <c r="K1236" s="2" t="s">
        <v>51</v>
      </c>
      <c r="L1236" s="1">
        <v>655</v>
      </c>
      <c r="M1236" s="1">
        <v>1</v>
      </c>
      <c r="N1236" s="1" t="str">
        <f t="shared" si="98"/>
        <v>Published</v>
      </c>
      <c r="O1236" s="1">
        <f t="shared" si="96"/>
        <v>6.55</v>
      </c>
      <c r="P1236" s="1">
        <v>71</v>
      </c>
      <c r="Q1236" s="1">
        <v>1101</v>
      </c>
      <c r="R1236" s="1" t="str">
        <f t="shared" si="99"/>
        <v>4</v>
      </c>
      <c r="S1236" s="1">
        <v>25</v>
      </c>
      <c r="T1236" s="1" t="str">
        <f t="shared" si="97"/>
        <v>4</v>
      </c>
      <c r="U1236" s="1">
        <v>-33.732483999999999</v>
      </c>
      <c r="V1236" s="3">
        <v>150.91435899999999</v>
      </c>
    </row>
    <row r="1237" spans="1:22" x14ac:dyDescent="0.35">
      <c r="A1237" s="22" t="s">
        <v>3729</v>
      </c>
      <c r="B1237" s="1" t="s">
        <v>3730</v>
      </c>
      <c r="C1237" s="1" t="s">
        <v>245</v>
      </c>
      <c r="D1237" s="1" t="s">
        <v>245</v>
      </c>
      <c r="E1237" s="1" t="s">
        <v>80</v>
      </c>
      <c r="F1237" s="1" t="s">
        <v>69</v>
      </c>
      <c r="G1237" s="1">
        <f t="shared" si="95"/>
        <v>3</v>
      </c>
      <c r="H1237" s="1" t="s">
        <v>70</v>
      </c>
      <c r="I1237" s="1" t="s">
        <v>3731</v>
      </c>
      <c r="J1237" s="23" t="s">
        <v>50</v>
      </c>
      <c r="K1237" s="2" t="s">
        <v>51</v>
      </c>
      <c r="L1237" s="1">
        <v>25</v>
      </c>
      <c r="M1237" s="1">
        <v>36</v>
      </c>
      <c r="N1237" s="1" t="str">
        <f t="shared" si="98"/>
        <v>Published</v>
      </c>
      <c r="O1237" s="1">
        <f t="shared" si="96"/>
        <v>9</v>
      </c>
      <c r="P1237" s="1"/>
      <c r="Q1237" s="1">
        <v>884</v>
      </c>
      <c r="R1237" s="1" t="str">
        <f t="shared" si="99"/>
        <v>1</v>
      </c>
      <c r="S1237" s="1">
        <v>159</v>
      </c>
      <c r="T1237" s="1" t="str">
        <f t="shared" si="97"/>
        <v>1</v>
      </c>
      <c r="U1237" s="1">
        <v>-34.750278999999999</v>
      </c>
      <c r="V1237" s="3">
        <v>146.56579199999999</v>
      </c>
    </row>
    <row r="1238" spans="1:22" x14ac:dyDescent="0.35">
      <c r="A1238" s="22" t="s">
        <v>3732</v>
      </c>
      <c r="B1238" s="1" t="s">
        <v>3733</v>
      </c>
      <c r="C1238" s="1" t="s">
        <v>3734</v>
      </c>
      <c r="D1238" s="1" t="s">
        <v>713</v>
      </c>
      <c r="E1238" s="1" t="s">
        <v>80</v>
      </c>
      <c r="F1238" s="1" t="s">
        <v>57</v>
      </c>
      <c r="G1238" s="1">
        <f t="shared" si="95"/>
        <v>2</v>
      </c>
      <c r="H1238" s="1" t="s">
        <v>70</v>
      </c>
      <c r="I1238" s="1" t="s">
        <v>49</v>
      </c>
      <c r="J1238" s="23" t="s">
        <v>50</v>
      </c>
      <c r="K1238" s="2" t="s">
        <v>51</v>
      </c>
      <c r="L1238" s="1">
        <v>228</v>
      </c>
      <c r="M1238" s="1">
        <v>29</v>
      </c>
      <c r="N1238" s="1" t="str">
        <f t="shared" si="98"/>
        <v>Published</v>
      </c>
      <c r="O1238" s="1">
        <f t="shared" si="96"/>
        <v>66.11999999999999</v>
      </c>
      <c r="P1238" s="1">
        <v>30</v>
      </c>
      <c r="Q1238" s="1">
        <v>824</v>
      </c>
      <c r="R1238" s="1" t="str">
        <f t="shared" si="99"/>
        <v>1</v>
      </c>
      <c r="S1238" s="1">
        <v>196</v>
      </c>
      <c r="T1238" s="1" t="str">
        <f t="shared" si="97"/>
        <v>2</v>
      </c>
      <c r="U1238" s="1">
        <v>-35.135621</v>
      </c>
      <c r="V1238" s="3">
        <v>147.35122999999999</v>
      </c>
    </row>
    <row r="1239" spans="1:22" x14ac:dyDescent="0.35">
      <c r="A1239" s="22" t="s">
        <v>3735</v>
      </c>
      <c r="B1239" s="1" t="s">
        <v>3736</v>
      </c>
      <c r="C1239" s="1" t="s">
        <v>228</v>
      </c>
      <c r="D1239" s="1" t="s">
        <v>152</v>
      </c>
      <c r="E1239" s="1" t="s">
        <v>229</v>
      </c>
      <c r="F1239" s="1" t="s">
        <v>47</v>
      </c>
      <c r="G1239" s="1">
        <f t="shared" si="95"/>
        <v>1</v>
      </c>
      <c r="H1239" s="1" t="s">
        <v>48</v>
      </c>
      <c r="I1239" s="1" t="s">
        <v>49</v>
      </c>
      <c r="J1239" s="23" t="s">
        <v>50</v>
      </c>
      <c r="K1239" s="2" t="s">
        <v>51</v>
      </c>
      <c r="L1239" s="1">
        <v>512</v>
      </c>
      <c r="M1239" s="1">
        <v>0</v>
      </c>
      <c r="N1239" s="1" t="str">
        <f t="shared" si="98"/>
        <v>Published</v>
      </c>
      <c r="O1239" s="1">
        <f t="shared" si="96"/>
        <v>0</v>
      </c>
      <c r="P1239" s="1">
        <v>87</v>
      </c>
      <c r="Q1239" s="1">
        <v>980</v>
      </c>
      <c r="R1239" s="1" t="str">
        <f t="shared" si="99"/>
        <v>2</v>
      </c>
      <c r="S1239" s="1">
        <v>130</v>
      </c>
      <c r="T1239" s="1" t="str">
        <f t="shared" si="97"/>
        <v>3</v>
      </c>
      <c r="U1239" s="1">
        <v>-33.906897999999998</v>
      </c>
      <c r="V1239" s="3">
        <v>151.05010999999999</v>
      </c>
    </row>
    <row r="1240" spans="1:22" x14ac:dyDescent="0.35">
      <c r="A1240" s="22" t="s">
        <v>3737</v>
      </c>
      <c r="B1240" s="1" t="s">
        <v>3738</v>
      </c>
      <c r="C1240" s="1" t="s">
        <v>3739</v>
      </c>
      <c r="D1240" s="1" t="s">
        <v>186</v>
      </c>
      <c r="E1240" s="1" t="s">
        <v>187</v>
      </c>
      <c r="F1240" s="1" t="s">
        <v>47</v>
      </c>
      <c r="G1240" s="1">
        <f t="shared" si="95"/>
        <v>1</v>
      </c>
      <c r="H1240" s="1" t="s">
        <v>63</v>
      </c>
      <c r="I1240" s="1" t="s">
        <v>49</v>
      </c>
      <c r="J1240" s="23" t="s">
        <v>50</v>
      </c>
      <c r="K1240" s="2" t="s">
        <v>51</v>
      </c>
      <c r="L1240" s="1">
        <v>334</v>
      </c>
      <c r="M1240" s="1">
        <v>13</v>
      </c>
      <c r="N1240" s="1" t="str">
        <f t="shared" si="98"/>
        <v>Published</v>
      </c>
      <c r="O1240" s="1">
        <f t="shared" si="96"/>
        <v>43.42</v>
      </c>
      <c r="P1240" s="1">
        <v>22</v>
      </c>
      <c r="Q1240" s="1">
        <v>1017</v>
      </c>
      <c r="R1240" s="1" t="str">
        <f t="shared" si="99"/>
        <v>3</v>
      </c>
      <c r="S1240" s="1">
        <v>79</v>
      </c>
      <c r="T1240" s="1" t="str">
        <f t="shared" si="97"/>
        <v>3</v>
      </c>
      <c r="U1240" s="1">
        <v>-33.437558000000003</v>
      </c>
      <c r="V1240" s="3">
        <v>151.348883</v>
      </c>
    </row>
    <row r="1241" spans="1:22" x14ac:dyDescent="0.35">
      <c r="A1241" s="22" t="s">
        <v>3740</v>
      </c>
      <c r="B1241" s="1" t="s">
        <v>3741</v>
      </c>
      <c r="C1241" s="1" t="s">
        <v>3742</v>
      </c>
      <c r="D1241" s="1" t="s">
        <v>737</v>
      </c>
      <c r="E1241" s="1" t="s">
        <v>738</v>
      </c>
      <c r="F1241" s="1" t="s">
        <v>47</v>
      </c>
      <c r="G1241" s="1">
        <f t="shared" si="95"/>
        <v>1</v>
      </c>
      <c r="H1241" s="1" t="s">
        <v>182</v>
      </c>
      <c r="I1241" s="1" t="s">
        <v>49</v>
      </c>
      <c r="J1241" s="23" t="s">
        <v>50</v>
      </c>
      <c r="K1241" s="2" t="s">
        <v>51</v>
      </c>
      <c r="L1241" s="1">
        <v>337</v>
      </c>
      <c r="M1241" s="1">
        <v>7</v>
      </c>
      <c r="N1241" s="1" t="str">
        <f t="shared" si="98"/>
        <v>Published</v>
      </c>
      <c r="O1241" s="1">
        <f t="shared" si="96"/>
        <v>23.590000000000003</v>
      </c>
      <c r="P1241" s="1">
        <v>10</v>
      </c>
      <c r="Q1241" s="1">
        <v>1079</v>
      </c>
      <c r="R1241" s="1" t="str">
        <f t="shared" si="99"/>
        <v>3</v>
      </c>
      <c r="S1241" s="1">
        <v>52</v>
      </c>
      <c r="T1241" s="1" t="str">
        <f t="shared" si="97"/>
        <v>3</v>
      </c>
      <c r="U1241" s="1">
        <v>-34.046979</v>
      </c>
      <c r="V1241" s="3">
        <v>151.04888600000001</v>
      </c>
    </row>
    <row r="1242" spans="1:22" x14ac:dyDescent="0.35">
      <c r="A1242" s="22" t="s">
        <v>3743</v>
      </c>
      <c r="B1242" s="1" t="s">
        <v>3744</v>
      </c>
      <c r="C1242" s="1" t="s">
        <v>2913</v>
      </c>
      <c r="D1242" s="1" t="s">
        <v>642</v>
      </c>
      <c r="E1242" s="1" t="s">
        <v>170</v>
      </c>
      <c r="F1242" s="1" t="s">
        <v>47</v>
      </c>
      <c r="G1242" s="1">
        <f t="shared" si="95"/>
        <v>1</v>
      </c>
      <c r="H1242" s="1" t="s">
        <v>48</v>
      </c>
      <c r="I1242" s="1" t="s">
        <v>49</v>
      </c>
      <c r="J1242" s="23" t="s">
        <v>50</v>
      </c>
      <c r="K1242" s="2" t="s">
        <v>51</v>
      </c>
      <c r="L1242" s="1">
        <v>576</v>
      </c>
      <c r="M1242" s="1"/>
      <c r="N1242" s="1" t="str">
        <f t="shared" si="98"/>
        <v>Suppressed</v>
      </c>
      <c r="O1242" s="1" t="str">
        <f t="shared" si="96"/>
        <v/>
      </c>
      <c r="P1242" s="1">
        <v>95</v>
      </c>
      <c r="Q1242" s="1">
        <v>1122</v>
      </c>
      <c r="R1242" s="1" t="str">
        <f t="shared" si="99"/>
        <v>4</v>
      </c>
      <c r="S1242" s="1">
        <v>6</v>
      </c>
      <c r="T1242" s="1" t="str">
        <f t="shared" si="97"/>
        <v>3</v>
      </c>
      <c r="U1242" s="1">
        <v>-33.801954000000002</v>
      </c>
      <c r="V1242" s="3">
        <v>150.96599000000001</v>
      </c>
    </row>
    <row r="1243" spans="1:22" x14ac:dyDescent="0.35">
      <c r="A1243" s="22" t="s">
        <v>3745</v>
      </c>
      <c r="B1243" s="1" t="s">
        <v>3746</v>
      </c>
      <c r="C1243" s="1" t="s">
        <v>3747</v>
      </c>
      <c r="D1243" s="1" t="s">
        <v>482</v>
      </c>
      <c r="E1243" s="1" t="s">
        <v>91</v>
      </c>
      <c r="F1243" s="1" t="s">
        <v>69</v>
      </c>
      <c r="G1243" s="1">
        <f t="shared" si="95"/>
        <v>3</v>
      </c>
      <c r="H1243" s="1" t="s">
        <v>92</v>
      </c>
      <c r="I1243" s="1" t="s">
        <v>49</v>
      </c>
      <c r="J1243" s="23" t="s">
        <v>50</v>
      </c>
      <c r="K1243" s="2" t="s">
        <v>51</v>
      </c>
      <c r="L1243" s="1">
        <v>1</v>
      </c>
      <c r="M1243" s="1">
        <v>0</v>
      </c>
      <c r="N1243" s="1" t="str">
        <f t="shared" si="98"/>
        <v>Published</v>
      </c>
      <c r="O1243" s="1">
        <f t="shared" si="96"/>
        <v>0</v>
      </c>
      <c r="P1243" s="1">
        <v>0</v>
      </c>
      <c r="Q1243" s="1"/>
      <c r="R1243" s="1" t="str">
        <f t="shared" si="99"/>
        <v>No ICSEA</v>
      </c>
      <c r="S1243" s="1">
        <v>131</v>
      </c>
      <c r="T1243" s="1" t="str">
        <f t="shared" si="97"/>
        <v>1</v>
      </c>
      <c r="U1243" s="1">
        <v>-28.868872</v>
      </c>
      <c r="V1243" s="3">
        <v>150.10130000000001</v>
      </c>
    </row>
    <row r="1244" spans="1:22" x14ac:dyDescent="0.35">
      <c r="A1244" s="22" t="s">
        <v>3748</v>
      </c>
      <c r="B1244" s="1" t="s">
        <v>3749</v>
      </c>
      <c r="C1244" s="1" t="s">
        <v>3750</v>
      </c>
      <c r="D1244" s="1" t="s">
        <v>482</v>
      </c>
      <c r="E1244" s="1" t="s">
        <v>91</v>
      </c>
      <c r="F1244" s="1" t="s">
        <v>241</v>
      </c>
      <c r="G1244" s="1">
        <f t="shared" si="95"/>
        <v>4</v>
      </c>
      <c r="H1244" s="1" t="s">
        <v>92</v>
      </c>
      <c r="I1244" s="1" t="s">
        <v>49</v>
      </c>
      <c r="J1244" s="23" t="s">
        <v>50</v>
      </c>
      <c r="K1244" s="2" t="s">
        <v>51</v>
      </c>
      <c r="L1244" s="1">
        <v>24</v>
      </c>
      <c r="M1244" s="1">
        <v>33</v>
      </c>
      <c r="N1244" s="1" t="str">
        <f t="shared" si="98"/>
        <v>Published</v>
      </c>
      <c r="O1244" s="1">
        <f t="shared" si="96"/>
        <v>7.92</v>
      </c>
      <c r="P1244" s="1"/>
      <c r="Q1244" s="1">
        <v>887</v>
      </c>
      <c r="R1244" s="1" t="str">
        <f t="shared" si="99"/>
        <v>1</v>
      </c>
      <c r="S1244" s="1">
        <v>106</v>
      </c>
      <c r="T1244" s="1" t="str">
        <f t="shared" si="97"/>
        <v>1</v>
      </c>
      <c r="U1244" s="1">
        <v>-29.470904999999998</v>
      </c>
      <c r="V1244" s="3">
        <v>149.22890799999999</v>
      </c>
    </row>
    <row r="1245" spans="1:22" x14ac:dyDescent="0.35">
      <c r="A1245" s="22" t="s">
        <v>3751</v>
      </c>
      <c r="B1245" s="1" t="s">
        <v>3752</v>
      </c>
      <c r="C1245" s="1" t="s">
        <v>736</v>
      </c>
      <c r="D1245" s="1" t="s">
        <v>737</v>
      </c>
      <c r="E1245" s="1" t="s">
        <v>738</v>
      </c>
      <c r="F1245" s="1" t="s">
        <v>47</v>
      </c>
      <c r="G1245" s="1">
        <f t="shared" si="95"/>
        <v>1</v>
      </c>
      <c r="H1245" s="1" t="s">
        <v>182</v>
      </c>
      <c r="I1245" s="1" t="s">
        <v>49</v>
      </c>
      <c r="J1245" s="23" t="s">
        <v>50</v>
      </c>
      <c r="K1245" s="2" t="s">
        <v>51</v>
      </c>
      <c r="L1245" s="1">
        <v>440</v>
      </c>
      <c r="M1245" s="1">
        <v>3</v>
      </c>
      <c r="N1245" s="1" t="str">
        <f t="shared" si="98"/>
        <v>Published</v>
      </c>
      <c r="O1245" s="1">
        <f t="shared" si="96"/>
        <v>13.2</v>
      </c>
      <c r="P1245" s="1">
        <v>18</v>
      </c>
      <c r="Q1245" s="1">
        <v>1084</v>
      </c>
      <c r="R1245" s="1" t="str">
        <f t="shared" si="99"/>
        <v>3</v>
      </c>
      <c r="S1245" s="1">
        <v>49</v>
      </c>
      <c r="T1245" s="1" t="str">
        <f t="shared" si="97"/>
        <v>3</v>
      </c>
      <c r="U1245" s="1">
        <v>-34.046340000000001</v>
      </c>
      <c r="V1245" s="3">
        <v>151.11285000000001</v>
      </c>
    </row>
    <row r="1246" spans="1:22" x14ac:dyDescent="0.35">
      <c r="A1246" s="22" t="s">
        <v>3753</v>
      </c>
      <c r="B1246" s="1" t="s">
        <v>3754</v>
      </c>
      <c r="C1246" s="1" t="s">
        <v>101</v>
      </c>
      <c r="D1246" s="1" t="s">
        <v>101</v>
      </c>
      <c r="E1246" s="1" t="s">
        <v>102</v>
      </c>
      <c r="F1246" s="1" t="s">
        <v>69</v>
      </c>
      <c r="G1246" s="1">
        <f t="shared" si="95"/>
        <v>3</v>
      </c>
      <c r="H1246" s="1" t="s">
        <v>70</v>
      </c>
      <c r="I1246" s="1" t="s">
        <v>49</v>
      </c>
      <c r="J1246" s="23" t="s">
        <v>50</v>
      </c>
      <c r="K1246" s="2" t="s">
        <v>51</v>
      </c>
      <c r="L1246" s="1">
        <v>290</v>
      </c>
      <c r="M1246" s="1">
        <v>11</v>
      </c>
      <c r="N1246" s="1" t="str">
        <f t="shared" si="98"/>
        <v>Published</v>
      </c>
      <c r="O1246" s="1">
        <f t="shared" si="96"/>
        <v>31.9</v>
      </c>
      <c r="P1246" s="1">
        <v>6</v>
      </c>
      <c r="Q1246" s="1">
        <v>960</v>
      </c>
      <c r="R1246" s="1" t="str">
        <f t="shared" si="99"/>
        <v>2</v>
      </c>
      <c r="S1246" s="1">
        <v>106</v>
      </c>
      <c r="T1246" s="1" t="str">
        <f t="shared" si="97"/>
        <v>2</v>
      </c>
      <c r="U1246" s="1">
        <v>-31.941471</v>
      </c>
      <c r="V1246" s="3">
        <v>141.46080699999999</v>
      </c>
    </row>
    <row r="1247" spans="1:22" x14ac:dyDescent="0.35">
      <c r="A1247" s="22" t="s">
        <v>3755</v>
      </c>
      <c r="B1247" s="1" t="s">
        <v>3756</v>
      </c>
      <c r="C1247" s="1" t="s">
        <v>101</v>
      </c>
      <c r="D1247" s="1" t="s">
        <v>101</v>
      </c>
      <c r="E1247" s="1" t="s">
        <v>102</v>
      </c>
      <c r="F1247" s="1" t="s">
        <v>69</v>
      </c>
      <c r="G1247" s="1">
        <f t="shared" si="95"/>
        <v>3</v>
      </c>
      <c r="H1247" s="1" t="s">
        <v>70</v>
      </c>
      <c r="I1247" s="1" t="s">
        <v>49</v>
      </c>
      <c r="J1247" s="23" t="s">
        <v>50</v>
      </c>
      <c r="K1247" s="2" t="s">
        <v>51</v>
      </c>
      <c r="L1247" s="1">
        <v>124</v>
      </c>
      <c r="M1247" s="1">
        <v>30</v>
      </c>
      <c r="N1247" s="1" t="str">
        <f t="shared" si="98"/>
        <v>Published</v>
      </c>
      <c r="O1247" s="1">
        <f t="shared" si="96"/>
        <v>37.199999999999996</v>
      </c>
      <c r="P1247" s="1">
        <v>8</v>
      </c>
      <c r="Q1247" s="1">
        <v>868</v>
      </c>
      <c r="R1247" s="1" t="str">
        <f t="shared" si="99"/>
        <v>1</v>
      </c>
      <c r="S1247" s="1">
        <v>164</v>
      </c>
      <c r="T1247" s="1" t="str">
        <f t="shared" si="97"/>
        <v>2</v>
      </c>
      <c r="U1247" s="1">
        <v>-31.970614999999999</v>
      </c>
      <c r="V1247" s="3">
        <v>141.43996999999999</v>
      </c>
    </row>
    <row r="1248" spans="1:22" x14ac:dyDescent="0.35">
      <c r="A1248" s="22" t="s">
        <v>3757</v>
      </c>
      <c r="B1248" s="1" t="s">
        <v>3758</v>
      </c>
      <c r="C1248" s="1" t="s">
        <v>3759</v>
      </c>
      <c r="D1248" s="1" t="s">
        <v>203</v>
      </c>
      <c r="E1248" s="1" t="s">
        <v>204</v>
      </c>
      <c r="F1248" s="1" t="s">
        <v>47</v>
      </c>
      <c r="G1248" s="1">
        <f t="shared" si="95"/>
        <v>1</v>
      </c>
      <c r="H1248" s="1" t="s">
        <v>148</v>
      </c>
      <c r="I1248" s="1" t="s">
        <v>49</v>
      </c>
      <c r="J1248" s="23" t="s">
        <v>50</v>
      </c>
      <c r="K1248" s="2" t="s">
        <v>51</v>
      </c>
      <c r="L1248" s="1">
        <v>468</v>
      </c>
      <c r="M1248" s="1"/>
      <c r="N1248" s="1" t="str">
        <f t="shared" si="98"/>
        <v>Suppressed</v>
      </c>
      <c r="O1248" s="1" t="str">
        <f t="shared" si="96"/>
        <v/>
      </c>
      <c r="P1248" s="1">
        <v>16</v>
      </c>
      <c r="Q1248" s="1">
        <v>1091</v>
      </c>
      <c r="R1248" s="1" t="str">
        <f t="shared" si="99"/>
        <v>3</v>
      </c>
      <c r="S1248" s="1">
        <v>43</v>
      </c>
      <c r="T1248" s="1" t="str">
        <f t="shared" si="97"/>
        <v>3</v>
      </c>
      <c r="U1248" s="1">
        <v>-33.738008999999998</v>
      </c>
      <c r="V1248" s="3">
        <v>151.27466100000001</v>
      </c>
    </row>
    <row r="1249" spans="1:22" x14ac:dyDescent="0.35">
      <c r="A1249" s="22" t="s">
        <v>3760</v>
      </c>
      <c r="B1249" s="1" t="s">
        <v>3761</v>
      </c>
      <c r="C1249" s="1" t="s">
        <v>3762</v>
      </c>
      <c r="D1249" s="1" t="s">
        <v>382</v>
      </c>
      <c r="E1249" s="1" t="s">
        <v>196</v>
      </c>
      <c r="F1249" s="1" t="s">
        <v>57</v>
      </c>
      <c r="G1249" s="1">
        <f t="shared" si="95"/>
        <v>2</v>
      </c>
      <c r="H1249" s="1" t="s">
        <v>86</v>
      </c>
      <c r="I1249" s="1" t="s">
        <v>49</v>
      </c>
      <c r="J1249" s="23" t="s">
        <v>50</v>
      </c>
      <c r="K1249" s="2" t="s">
        <v>51</v>
      </c>
      <c r="L1249" s="1">
        <v>451</v>
      </c>
      <c r="M1249" s="1">
        <v>18</v>
      </c>
      <c r="N1249" s="1" t="str">
        <f t="shared" si="98"/>
        <v>Published</v>
      </c>
      <c r="O1249" s="1">
        <f t="shared" si="96"/>
        <v>81.179999999999993</v>
      </c>
      <c r="P1249" s="1">
        <v>12</v>
      </c>
      <c r="Q1249" s="1">
        <v>992</v>
      </c>
      <c r="R1249" s="1" t="str">
        <f t="shared" si="99"/>
        <v>2</v>
      </c>
      <c r="S1249" s="1">
        <v>87</v>
      </c>
      <c r="T1249" s="1" t="str">
        <f t="shared" si="97"/>
        <v>3</v>
      </c>
      <c r="U1249" s="1">
        <v>-34.859063999999996</v>
      </c>
      <c r="V1249" s="3">
        <v>150.59000700000001</v>
      </c>
    </row>
    <row r="1250" spans="1:22" x14ac:dyDescent="0.35">
      <c r="A1250" s="22" t="s">
        <v>3763</v>
      </c>
      <c r="B1250" s="1" t="s">
        <v>3764</v>
      </c>
      <c r="C1250" s="1" t="s">
        <v>3323</v>
      </c>
      <c r="D1250" s="1" t="s">
        <v>837</v>
      </c>
      <c r="E1250" s="1" t="s">
        <v>838</v>
      </c>
      <c r="F1250" s="1" t="s">
        <v>47</v>
      </c>
      <c r="G1250" s="1">
        <f t="shared" si="95"/>
        <v>1</v>
      </c>
      <c r="H1250" s="1" t="s">
        <v>182</v>
      </c>
      <c r="I1250" s="1" t="s">
        <v>49</v>
      </c>
      <c r="J1250" s="23" t="s">
        <v>50</v>
      </c>
      <c r="K1250" s="2" t="s">
        <v>51</v>
      </c>
      <c r="L1250" s="1">
        <v>437</v>
      </c>
      <c r="M1250" s="1">
        <v>3</v>
      </c>
      <c r="N1250" s="1" t="str">
        <f t="shared" si="98"/>
        <v>Published</v>
      </c>
      <c r="O1250" s="1">
        <f t="shared" si="96"/>
        <v>13.11</v>
      </c>
      <c r="P1250" s="1">
        <v>34</v>
      </c>
      <c r="Q1250" s="1">
        <v>1038</v>
      </c>
      <c r="R1250" s="1" t="str">
        <f t="shared" si="99"/>
        <v>3</v>
      </c>
      <c r="S1250" s="1">
        <v>78</v>
      </c>
      <c r="T1250" s="1" t="str">
        <f t="shared" si="97"/>
        <v>3</v>
      </c>
      <c r="U1250" s="1">
        <v>-33.757148000000001</v>
      </c>
      <c r="V1250" s="3">
        <v>150.94276500000001</v>
      </c>
    </row>
    <row r="1251" spans="1:22" x14ac:dyDescent="0.35">
      <c r="A1251" s="22" t="s">
        <v>3765</v>
      </c>
      <c r="B1251" s="1" t="s">
        <v>3766</v>
      </c>
      <c r="C1251" s="1" t="s">
        <v>3384</v>
      </c>
      <c r="D1251" s="1" t="s">
        <v>203</v>
      </c>
      <c r="E1251" s="1" t="s">
        <v>204</v>
      </c>
      <c r="F1251" s="1" t="s">
        <v>47</v>
      </c>
      <c r="G1251" s="1">
        <f t="shared" si="95"/>
        <v>1</v>
      </c>
      <c r="H1251" s="1" t="s">
        <v>148</v>
      </c>
      <c r="I1251" s="1" t="s">
        <v>49</v>
      </c>
      <c r="J1251" s="23" t="s">
        <v>50</v>
      </c>
      <c r="K1251" s="2" t="s">
        <v>51</v>
      </c>
      <c r="L1251" s="1">
        <v>430</v>
      </c>
      <c r="M1251" s="1">
        <v>2</v>
      </c>
      <c r="N1251" s="1" t="str">
        <f t="shared" si="98"/>
        <v>Published</v>
      </c>
      <c r="O1251" s="1">
        <f t="shared" si="96"/>
        <v>8.6</v>
      </c>
      <c r="P1251" s="1">
        <v>15</v>
      </c>
      <c r="Q1251" s="1">
        <v>1086</v>
      </c>
      <c r="R1251" s="1" t="str">
        <f t="shared" si="99"/>
        <v>3</v>
      </c>
      <c r="S1251" s="1">
        <v>39</v>
      </c>
      <c r="T1251" s="1" t="str">
        <f t="shared" si="97"/>
        <v>3</v>
      </c>
      <c r="U1251" s="1">
        <v>-33.727789999999999</v>
      </c>
      <c r="V1251" s="3">
        <v>151.284764</v>
      </c>
    </row>
    <row r="1252" spans="1:22" x14ac:dyDescent="0.35">
      <c r="A1252" s="22" t="s">
        <v>3767</v>
      </c>
      <c r="B1252" s="1" t="s">
        <v>3768</v>
      </c>
      <c r="C1252" s="1" t="s">
        <v>2380</v>
      </c>
      <c r="D1252" s="1" t="s">
        <v>876</v>
      </c>
      <c r="E1252" s="1" t="s">
        <v>330</v>
      </c>
      <c r="F1252" s="1" t="s">
        <v>47</v>
      </c>
      <c r="G1252" s="1">
        <f t="shared" si="95"/>
        <v>1</v>
      </c>
      <c r="H1252" s="1" t="s">
        <v>48</v>
      </c>
      <c r="I1252" s="1" t="s">
        <v>49</v>
      </c>
      <c r="J1252" s="23" t="s">
        <v>50</v>
      </c>
      <c r="K1252" s="2" t="s">
        <v>51</v>
      </c>
      <c r="L1252" s="1">
        <v>853</v>
      </c>
      <c r="M1252" s="1">
        <v>1</v>
      </c>
      <c r="N1252" s="1" t="str">
        <f t="shared" si="98"/>
        <v>Published</v>
      </c>
      <c r="O1252" s="1">
        <f t="shared" si="96"/>
        <v>8.5299999999999994</v>
      </c>
      <c r="P1252" s="1">
        <v>50</v>
      </c>
      <c r="Q1252" s="1">
        <v>1155</v>
      </c>
      <c r="R1252" s="1" t="str">
        <f t="shared" si="99"/>
        <v>4</v>
      </c>
      <c r="S1252" s="1">
        <v>7</v>
      </c>
      <c r="T1252" s="1" t="str">
        <f t="shared" si="97"/>
        <v>4</v>
      </c>
      <c r="U1252" s="1">
        <v>-33.910645000000002</v>
      </c>
      <c r="V1252" s="3">
        <v>151.241714</v>
      </c>
    </row>
    <row r="1253" spans="1:22" x14ac:dyDescent="0.35">
      <c r="A1253" s="22" t="s">
        <v>3769</v>
      </c>
      <c r="B1253" s="1" t="s">
        <v>3770</v>
      </c>
      <c r="C1253" s="1" t="s">
        <v>3771</v>
      </c>
      <c r="D1253" s="1" t="s">
        <v>382</v>
      </c>
      <c r="E1253" s="1" t="s">
        <v>196</v>
      </c>
      <c r="F1253" s="1" t="s">
        <v>57</v>
      </c>
      <c r="G1253" s="1">
        <f t="shared" si="95"/>
        <v>2</v>
      </c>
      <c r="H1253" s="1" t="s">
        <v>86</v>
      </c>
      <c r="I1253" s="1" t="s">
        <v>49</v>
      </c>
      <c r="J1253" s="23" t="s">
        <v>50</v>
      </c>
      <c r="K1253" s="2" t="s">
        <v>51</v>
      </c>
      <c r="L1253" s="1">
        <v>420</v>
      </c>
      <c r="M1253" s="1">
        <v>53</v>
      </c>
      <c r="N1253" s="1" t="str">
        <f t="shared" si="98"/>
        <v>Published</v>
      </c>
      <c r="O1253" s="1">
        <f t="shared" si="96"/>
        <v>222.60000000000002</v>
      </c>
      <c r="P1253" s="1">
        <v>6</v>
      </c>
      <c r="Q1253" s="1">
        <v>784</v>
      </c>
      <c r="R1253" s="1" t="str">
        <f t="shared" si="99"/>
        <v>1</v>
      </c>
      <c r="S1253" s="1">
        <v>195</v>
      </c>
      <c r="T1253" s="1" t="str">
        <f t="shared" si="97"/>
        <v>3</v>
      </c>
      <c r="U1253" s="1">
        <v>-34.882443000000002</v>
      </c>
      <c r="V1253" s="3">
        <v>150.607732</v>
      </c>
    </row>
    <row r="1254" spans="1:22" x14ac:dyDescent="0.35">
      <c r="A1254" s="22" t="s">
        <v>3772</v>
      </c>
      <c r="B1254" s="1" t="s">
        <v>3773</v>
      </c>
      <c r="C1254" s="1" t="s">
        <v>2472</v>
      </c>
      <c r="D1254" s="1" t="s">
        <v>1155</v>
      </c>
      <c r="E1254" s="1" t="s">
        <v>306</v>
      </c>
      <c r="F1254" s="1" t="s">
        <v>47</v>
      </c>
      <c r="G1254" s="1">
        <f t="shared" si="95"/>
        <v>1</v>
      </c>
      <c r="H1254" s="1" t="s">
        <v>148</v>
      </c>
      <c r="I1254" s="1" t="s">
        <v>49</v>
      </c>
      <c r="J1254" s="23" t="s">
        <v>50</v>
      </c>
      <c r="K1254" s="2" t="s">
        <v>51</v>
      </c>
      <c r="L1254" s="1">
        <v>347</v>
      </c>
      <c r="M1254" s="1"/>
      <c r="N1254" s="1" t="str">
        <f t="shared" si="98"/>
        <v>Suppressed</v>
      </c>
      <c r="O1254" s="1" t="str">
        <f t="shared" si="96"/>
        <v/>
      </c>
      <c r="P1254" s="1">
        <v>36</v>
      </c>
      <c r="Q1254" s="1">
        <v>1115</v>
      </c>
      <c r="R1254" s="1" t="str">
        <f t="shared" si="99"/>
        <v>4</v>
      </c>
      <c r="S1254" s="1">
        <v>32</v>
      </c>
      <c r="T1254" s="1" t="str">
        <f t="shared" si="97"/>
        <v>3</v>
      </c>
      <c r="U1254" s="1">
        <v>-33.807138999999999</v>
      </c>
      <c r="V1254" s="3">
        <v>151.12586400000001</v>
      </c>
    </row>
    <row r="1255" spans="1:22" x14ac:dyDescent="0.35">
      <c r="A1255" s="22" t="s">
        <v>3774</v>
      </c>
      <c r="B1255" s="1" t="s">
        <v>3775</v>
      </c>
      <c r="C1255" s="1" t="s">
        <v>3776</v>
      </c>
      <c r="D1255" s="1" t="s">
        <v>837</v>
      </c>
      <c r="E1255" s="1" t="s">
        <v>838</v>
      </c>
      <c r="F1255" s="1" t="s">
        <v>47</v>
      </c>
      <c r="G1255" s="1">
        <f t="shared" si="95"/>
        <v>1</v>
      </c>
      <c r="H1255" s="1" t="s">
        <v>182</v>
      </c>
      <c r="I1255" s="1" t="s">
        <v>49</v>
      </c>
      <c r="J1255" s="23" t="s">
        <v>50</v>
      </c>
      <c r="K1255" s="2" t="s">
        <v>51</v>
      </c>
      <c r="L1255" s="1">
        <v>223</v>
      </c>
      <c r="M1255" s="1">
        <v>9</v>
      </c>
      <c r="N1255" s="1" t="str">
        <f t="shared" si="98"/>
        <v>Published</v>
      </c>
      <c r="O1255" s="1">
        <f t="shared" si="96"/>
        <v>20.07</v>
      </c>
      <c r="P1255" s="1">
        <v>47</v>
      </c>
      <c r="Q1255" s="1">
        <v>988</v>
      </c>
      <c r="R1255" s="1" t="str">
        <f t="shared" si="99"/>
        <v>2</v>
      </c>
      <c r="S1255" s="1">
        <v>103</v>
      </c>
      <c r="T1255" s="1" t="str">
        <f t="shared" si="97"/>
        <v>2</v>
      </c>
      <c r="U1255" s="1">
        <v>-33.754407999999998</v>
      </c>
      <c r="V1255" s="3">
        <v>150.92637300000001</v>
      </c>
    </row>
    <row r="1256" spans="1:22" x14ac:dyDescent="0.35">
      <c r="A1256" s="22" t="s">
        <v>3777</v>
      </c>
      <c r="B1256" s="1" t="s">
        <v>3778</v>
      </c>
      <c r="C1256" s="1" t="s">
        <v>953</v>
      </c>
      <c r="D1256" s="1" t="s">
        <v>737</v>
      </c>
      <c r="E1256" s="1" t="s">
        <v>738</v>
      </c>
      <c r="F1256" s="1" t="s">
        <v>47</v>
      </c>
      <c r="G1256" s="1">
        <f t="shared" si="95"/>
        <v>1</v>
      </c>
      <c r="H1256" s="1" t="s">
        <v>182</v>
      </c>
      <c r="I1256" s="1" t="s">
        <v>49</v>
      </c>
      <c r="J1256" s="23" t="s">
        <v>50</v>
      </c>
      <c r="K1256" s="2" t="s">
        <v>51</v>
      </c>
      <c r="L1256" s="1">
        <v>573</v>
      </c>
      <c r="M1256" s="1">
        <v>2</v>
      </c>
      <c r="N1256" s="1" t="str">
        <f t="shared" si="98"/>
        <v>Published</v>
      </c>
      <c r="O1256" s="1">
        <f t="shared" si="96"/>
        <v>11.46</v>
      </c>
      <c r="P1256" s="1">
        <v>11</v>
      </c>
      <c r="Q1256" s="1">
        <v>1101</v>
      </c>
      <c r="R1256" s="1" t="str">
        <f t="shared" si="99"/>
        <v>4</v>
      </c>
      <c r="S1256" s="1">
        <v>47</v>
      </c>
      <c r="T1256" s="1" t="str">
        <f t="shared" si="97"/>
        <v>3</v>
      </c>
      <c r="U1256" s="1">
        <v>-34.051026</v>
      </c>
      <c r="V1256" s="3">
        <v>151.13278099999999</v>
      </c>
    </row>
    <row r="1257" spans="1:22" x14ac:dyDescent="0.35">
      <c r="A1257" s="22" t="s">
        <v>3779</v>
      </c>
      <c r="B1257" s="1" t="s">
        <v>3780</v>
      </c>
      <c r="C1257" s="1" t="s">
        <v>3781</v>
      </c>
      <c r="D1257" s="1" t="s">
        <v>482</v>
      </c>
      <c r="E1257" s="1" t="s">
        <v>91</v>
      </c>
      <c r="F1257" s="1" t="s">
        <v>241</v>
      </c>
      <c r="G1257" s="1">
        <f t="shared" si="95"/>
        <v>4</v>
      </c>
      <c r="H1257" s="1" t="s">
        <v>92</v>
      </c>
      <c r="I1257" s="1" t="s">
        <v>49</v>
      </c>
      <c r="J1257" s="23" t="s">
        <v>50</v>
      </c>
      <c r="K1257" s="2" t="s">
        <v>51</v>
      </c>
      <c r="L1257" s="1">
        <v>11</v>
      </c>
      <c r="M1257" s="1"/>
      <c r="N1257" s="1" t="str">
        <f t="shared" si="98"/>
        <v>Suppressed</v>
      </c>
      <c r="O1257" s="1" t="str">
        <f t="shared" si="96"/>
        <v/>
      </c>
      <c r="P1257" s="1">
        <v>0</v>
      </c>
      <c r="Q1257" s="1">
        <v>874</v>
      </c>
      <c r="R1257" s="1" t="str">
        <f t="shared" si="99"/>
        <v>1</v>
      </c>
      <c r="S1257" s="1">
        <v>145</v>
      </c>
      <c r="T1257" s="1" t="str">
        <f t="shared" si="97"/>
        <v>1</v>
      </c>
      <c r="U1257" s="1">
        <v>-29.645472999999999</v>
      </c>
      <c r="V1257" s="3">
        <v>149.43918300000001</v>
      </c>
    </row>
    <row r="1258" spans="1:22" x14ac:dyDescent="0.35">
      <c r="A1258" s="22" t="s">
        <v>3782</v>
      </c>
      <c r="B1258" s="1" t="s">
        <v>3783</v>
      </c>
      <c r="C1258" s="1" t="s">
        <v>3784</v>
      </c>
      <c r="D1258" s="1" t="s">
        <v>74</v>
      </c>
      <c r="E1258" s="1" t="s">
        <v>75</v>
      </c>
      <c r="F1258" s="1" t="s">
        <v>47</v>
      </c>
      <c r="G1258" s="1">
        <f t="shared" si="95"/>
        <v>1</v>
      </c>
      <c r="H1258" s="1" t="s">
        <v>58</v>
      </c>
      <c r="I1258" s="1" t="s">
        <v>49</v>
      </c>
      <c r="J1258" s="23" t="s">
        <v>50</v>
      </c>
      <c r="K1258" s="2" t="s">
        <v>51</v>
      </c>
      <c r="L1258" s="1">
        <v>115</v>
      </c>
      <c r="M1258" s="1">
        <v>31</v>
      </c>
      <c r="N1258" s="1" t="str">
        <f t="shared" si="98"/>
        <v>Published</v>
      </c>
      <c r="O1258" s="1">
        <f t="shared" si="96"/>
        <v>35.65</v>
      </c>
      <c r="P1258" s="1"/>
      <c r="Q1258" s="1">
        <v>892</v>
      </c>
      <c r="R1258" s="1" t="str">
        <f t="shared" si="99"/>
        <v>1</v>
      </c>
      <c r="S1258" s="1">
        <v>139</v>
      </c>
      <c r="T1258" s="1" t="str">
        <f t="shared" si="97"/>
        <v>2</v>
      </c>
      <c r="U1258" s="1">
        <v>-32.810606999999997</v>
      </c>
      <c r="V1258" s="3">
        <v>151.66475399999999</v>
      </c>
    </row>
    <row r="1259" spans="1:22" x14ac:dyDescent="0.35">
      <c r="A1259" s="22" t="s">
        <v>3785</v>
      </c>
      <c r="B1259" s="1" t="s">
        <v>3786</v>
      </c>
      <c r="C1259" s="1" t="s">
        <v>3787</v>
      </c>
      <c r="D1259" s="1" t="s">
        <v>176</v>
      </c>
      <c r="E1259" s="1" t="s">
        <v>85</v>
      </c>
      <c r="F1259" s="1" t="s">
        <v>47</v>
      </c>
      <c r="G1259" s="1">
        <f t="shared" si="95"/>
        <v>1</v>
      </c>
      <c r="H1259" s="1" t="s">
        <v>86</v>
      </c>
      <c r="I1259" s="1" t="s">
        <v>49</v>
      </c>
      <c r="J1259" s="23" t="s">
        <v>50</v>
      </c>
      <c r="K1259" s="2" t="s">
        <v>51</v>
      </c>
      <c r="L1259" s="1">
        <v>370</v>
      </c>
      <c r="M1259" s="1">
        <v>12</v>
      </c>
      <c r="N1259" s="1" t="str">
        <f t="shared" si="98"/>
        <v>Published</v>
      </c>
      <c r="O1259" s="1">
        <f t="shared" si="96"/>
        <v>44.4</v>
      </c>
      <c r="P1259" s="1">
        <v>12</v>
      </c>
      <c r="Q1259" s="1">
        <v>952</v>
      </c>
      <c r="R1259" s="1" t="str">
        <f t="shared" si="99"/>
        <v>2</v>
      </c>
      <c r="S1259" s="1">
        <v>128</v>
      </c>
      <c r="T1259" s="1" t="str">
        <f t="shared" si="97"/>
        <v>3</v>
      </c>
      <c r="U1259" s="1">
        <v>-34.505001999999998</v>
      </c>
      <c r="V1259" s="3">
        <v>150.795602</v>
      </c>
    </row>
    <row r="1260" spans="1:22" x14ac:dyDescent="0.35">
      <c r="A1260" s="22" t="s">
        <v>3788</v>
      </c>
      <c r="B1260" s="1" t="s">
        <v>3789</v>
      </c>
      <c r="C1260" s="1" t="s">
        <v>310</v>
      </c>
      <c r="D1260" s="1" t="s">
        <v>310</v>
      </c>
      <c r="E1260" s="1" t="s">
        <v>80</v>
      </c>
      <c r="F1260" s="1" t="s">
        <v>69</v>
      </c>
      <c r="G1260" s="1">
        <f t="shared" si="95"/>
        <v>3</v>
      </c>
      <c r="H1260" s="1" t="s">
        <v>70</v>
      </c>
      <c r="I1260" s="1" t="s">
        <v>49</v>
      </c>
      <c r="J1260" s="23" t="s">
        <v>50</v>
      </c>
      <c r="K1260" s="2" t="s">
        <v>51</v>
      </c>
      <c r="L1260" s="1">
        <v>500</v>
      </c>
      <c r="M1260" s="1">
        <v>15</v>
      </c>
      <c r="N1260" s="1" t="str">
        <f t="shared" si="98"/>
        <v>Published</v>
      </c>
      <c r="O1260" s="1">
        <f t="shared" si="96"/>
        <v>75</v>
      </c>
      <c r="P1260" s="1">
        <v>25</v>
      </c>
      <c r="Q1260" s="1">
        <v>966</v>
      </c>
      <c r="R1260" s="1" t="str">
        <f t="shared" si="99"/>
        <v>2</v>
      </c>
      <c r="S1260" s="1">
        <v>106</v>
      </c>
      <c r="T1260" s="1" t="str">
        <f t="shared" si="97"/>
        <v>3</v>
      </c>
      <c r="U1260" s="1">
        <v>-34.286141000000001</v>
      </c>
      <c r="V1260" s="3">
        <v>146.061792</v>
      </c>
    </row>
    <row r="1261" spans="1:22" x14ac:dyDescent="0.35">
      <c r="A1261" s="22" t="s">
        <v>3790</v>
      </c>
      <c r="B1261" s="1" t="s">
        <v>3791</v>
      </c>
      <c r="C1261" s="1" t="s">
        <v>3792</v>
      </c>
      <c r="D1261" s="1" t="s">
        <v>79</v>
      </c>
      <c r="E1261" s="1" t="s">
        <v>80</v>
      </c>
      <c r="F1261" s="1" t="s">
        <v>69</v>
      </c>
      <c r="G1261" s="1">
        <f t="shared" si="95"/>
        <v>3</v>
      </c>
      <c r="H1261" s="1" t="s">
        <v>70</v>
      </c>
      <c r="I1261" s="1" t="s">
        <v>49</v>
      </c>
      <c r="J1261" s="23" t="s">
        <v>50</v>
      </c>
      <c r="K1261" s="2" t="s">
        <v>51</v>
      </c>
      <c r="L1261" s="1">
        <v>19</v>
      </c>
      <c r="M1261" s="1">
        <v>0</v>
      </c>
      <c r="N1261" s="1" t="str">
        <f t="shared" si="98"/>
        <v>Published</v>
      </c>
      <c r="O1261" s="1">
        <f t="shared" si="96"/>
        <v>0</v>
      </c>
      <c r="P1261" s="1"/>
      <c r="Q1261" s="1">
        <v>948</v>
      </c>
      <c r="R1261" s="1" t="str">
        <f t="shared" si="99"/>
        <v>2</v>
      </c>
      <c r="S1261" s="1">
        <v>122</v>
      </c>
      <c r="T1261" s="1" t="str">
        <f t="shared" si="97"/>
        <v>1</v>
      </c>
      <c r="U1261" s="1">
        <v>-36.21405</v>
      </c>
      <c r="V1261" s="3">
        <v>148.13114200000001</v>
      </c>
    </row>
    <row r="1262" spans="1:22" x14ac:dyDescent="0.35">
      <c r="A1262" s="22" t="s">
        <v>3793</v>
      </c>
      <c r="B1262" s="1" t="s">
        <v>3794</v>
      </c>
      <c r="C1262" s="1" t="s">
        <v>126</v>
      </c>
      <c r="D1262" s="1" t="s">
        <v>126</v>
      </c>
      <c r="E1262" s="1" t="s">
        <v>147</v>
      </c>
      <c r="F1262" s="1" t="s">
        <v>47</v>
      </c>
      <c r="G1262" s="1">
        <f t="shared" si="95"/>
        <v>1</v>
      </c>
      <c r="H1262" s="1" t="s">
        <v>63</v>
      </c>
      <c r="I1262" s="1" t="s">
        <v>49</v>
      </c>
      <c r="J1262" s="23" t="s">
        <v>50</v>
      </c>
      <c r="K1262" s="2" t="s">
        <v>51</v>
      </c>
      <c r="L1262" s="1">
        <v>420</v>
      </c>
      <c r="M1262" s="1"/>
      <c r="N1262" s="1" t="str">
        <f t="shared" si="98"/>
        <v>Suppressed</v>
      </c>
      <c r="O1262" s="1" t="str">
        <f t="shared" si="96"/>
        <v/>
      </c>
      <c r="P1262" s="1">
        <v>26</v>
      </c>
      <c r="Q1262" s="1">
        <v>1104</v>
      </c>
      <c r="R1262" s="1" t="str">
        <f t="shared" si="99"/>
        <v>4</v>
      </c>
      <c r="S1262" s="1">
        <v>30</v>
      </c>
      <c r="T1262" s="1" t="str">
        <f t="shared" si="97"/>
        <v>3</v>
      </c>
      <c r="U1262" s="1">
        <v>-33.670113999999998</v>
      </c>
      <c r="V1262" s="3">
        <v>151.09798900000001</v>
      </c>
    </row>
    <row r="1263" spans="1:22" x14ac:dyDescent="0.35">
      <c r="A1263" s="22" t="s">
        <v>3795</v>
      </c>
      <c r="B1263" s="1" t="s">
        <v>3796</v>
      </c>
      <c r="C1263" s="1" t="s">
        <v>3797</v>
      </c>
      <c r="D1263" s="1" t="s">
        <v>126</v>
      </c>
      <c r="E1263" s="1" t="s">
        <v>147</v>
      </c>
      <c r="F1263" s="1" t="s">
        <v>47</v>
      </c>
      <c r="G1263" s="1">
        <f t="shared" si="95"/>
        <v>1</v>
      </c>
      <c r="H1263" s="1" t="s">
        <v>148</v>
      </c>
      <c r="I1263" s="1" t="s">
        <v>49</v>
      </c>
      <c r="J1263" s="23" t="s">
        <v>50</v>
      </c>
      <c r="K1263" s="2" t="s">
        <v>51</v>
      </c>
      <c r="L1263" s="1">
        <v>363</v>
      </c>
      <c r="M1263" s="1"/>
      <c r="N1263" s="1" t="str">
        <f t="shared" si="98"/>
        <v>Suppressed</v>
      </c>
      <c r="O1263" s="1" t="str">
        <f t="shared" si="96"/>
        <v/>
      </c>
      <c r="P1263" s="1">
        <v>40</v>
      </c>
      <c r="Q1263" s="1">
        <v>1136</v>
      </c>
      <c r="R1263" s="1" t="str">
        <f t="shared" si="99"/>
        <v>4</v>
      </c>
      <c r="S1263" s="1">
        <v>14</v>
      </c>
      <c r="T1263" s="1" t="str">
        <f t="shared" si="97"/>
        <v>3</v>
      </c>
      <c r="U1263" s="1">
        <v>-33.721060999999999</v>
      </c>
      <c r="V1263" s="3">
        <v>151.088436</v>
      </c>
    </row>
    <row r="1264" spans="1:22" x14ac:dyDescent="0.35">
      <c r="A1264" s="22" t="s">
        <v>3798</v>
      </c>
      <c r="B1264" s="1" t="s">
        <v>3799</v>
      </c>
      <c r="C1264" s="1" t="s">
        <v>3797</v>
      </c>
      <c r="D1264" s="1" t="s">
        <v>126</v>
      </c>
      <c r="E1264" s="1" t="s">
        <v>147</v>
      </c>
      <c r="F1264" s="1" t="s">
        <v>47</v>
      </c>
      <c r="G1264" s="1">
        <f t="shared" si="95"/>
        <v>1</v>
      </c>
      <c r="H1264" s="1" t="s">
        <v>148</v>
      </c>
      <c r="I1264" s="1" t="s">
        <v>49</v>
      </c>
      <c r="J1264" s="23" t="s">
        <v>50</v>
      </c>
      <c r="K1264" s="2" t="s">
        <v>51</v>
      </c>
      <c r="L1264" s="1">
        <v>477</v>
      </c>
      <c r="M1264" s="1"/>
      <c r="N1264" s="1" t="str">
        <f t="shared" si="98"/>
        <v>Suppressed</v>
      </c>
      <c r="O1264" s="1" t="str">
        <f t="shared" si="96"/>
        <v/>
      </c>
      <c r="P1264" s="1">
        <v>38</v>
      </c>
      <c r="Q1264" s="1">
        <v>1142</v>
      </c>
      <c r="R1264" s="1" t="str">
        <f t="shared" si="99"/>
        <v>4</v>
      </c>
      <c r="S1264" s="1">
        <v>13</v>
      </c>
      <c r="T1264" s="1" t="str">
        <f t="shared" si="97"/>
        <v>3</v>
      </c>
      <c r="U1264" s="1">
        <v>-33.723863999999999</v>
      </c>
      <c r="V1264" s="3">
        <v>151.07216299999999</v>
      </c>
    </row>
    <row r="1265" spans="1:22" x14ac:dyDescent="0.35">
      <c r="A1265" s="22" t="s">
        <v>3800</v>
      </c>
      <c r="B1265" s="1" t="s">
        <v>3801</v>
      </c>
      <c r="C1265" s="1" t="s">
        <v>688</v>
      </c>
      <c r="D1265" s="1" t="s">
        <v>689</v>
      </c>
      <c r="E1265" s="1" t="s">
        <v>122</v>
      </c>
      <c r="F1265" s="1" t="s">
        <v>47</v>
      </c>
      <c r="G1265" s="1">
        <f t="shared" si="95"/>
        <v>1</v>
      </c>
      <c r="H1265" s="1" t="s">
        <v>86</v>
      </c>
      <c r="I1265" s="1" t="s">
        <v>49</v>
      </c>
      <c r="J1265" s="23" t="s">
        <v>50</v>
      </c>
      <c r="K1265" s="2" t="s">
        <v>51</v>
      </c>
      <c r="L1265" s="1">
        <v>380</v>
      </c>
      <c r="M1265" s="1">
        <v>21</v>
      </c>
      <c r="N1265" s="1" t="str">
        <f t="shared" si="98"/>
        <v>Published</v>
      </c>
      <c r="O1265" s="1">
        <f t="shared" si="96"/>
        <v>79.8</v>
      </c>
      <c r="P1265" s="1">
        <v>37</v>
      </c>
      <c r="Q1265" s="1">
        <v>927</v>
      </c>
      <c r="R1265" s="1" t="str">
        <f t="shared" si="99"/>
        <v>2</v>
      </c>
      <c r="S1265" s="1">
        <v>141</v>
      </c>
      <c r="T1265" s="1" t="str">
        <f t="shared" si="97"/>
        <v>3</v>
      </c>
      <c r="U1265" s="1">
        <v>-34.072299000000001</v>
      </c>
      <c r="V1265" s="3">
        <v>150.83175299999999</v>
      </c>
    </row>
    <row r="1266" spans="1:22" x14ac:dyDescent="0.35">
      <c r="A1266" s="22" t="s">
        <v>3802</v>
      </c>
      <c r="B1266" s="1" t="s">
        <v>3803</v>
      </c>
      <c r="C1266" s="1" t="s">
        <v>180</v>
      </c>
      <c r="D1266" s="1" t="s">
        <v>180</v>
      </c>
      <c r="E1266" s="1" t="s">
        <v>181</v>
      </c>
      <c r="F1266" s="1" t="s">
        <v>47</v>
      </c>
      <c r="G1266" s="1">
        <f t="shared" si="95"/>
        <v>1</v>
      </c>
      <c r="H1266" s="1" t="s">
        <v>182</v>
      </c>
      <c r="I1266" s="1" t="s">
        <v>49</v>
      </c>
      <c r="J1266" s="23" t="s">
        <v>50</v>
      </c>
      <c r="K1266" s="2" t="s">
        <v>51</v>
      </c>
      <c r="L1266" s="1">
        <v>726</v>
      </c>
      <c r="M1266" s="1"/>
      <c r="N1266" s="1" t="str">
        <f t="shared" si="98"/>
        <v>Suppressed</v>
      </c>
      <c r="O1266" s="1" t="str">
        <f t="shared" si="96"/>
        <v/>
      </c>
      <c r="P1266" s="1">
        <v>89</v>
      </c>
      <c r="Q1266" s="1">
        <v>977</v>
      </c>
      <c r="R1266" s="1" t="str">
        <f t="shared" si="99"/>
        <v>2</v>
      </c>
      <c r="S1266" s="1">
        <v>131</v>
      </c>
      <c r="T1266" s="1" t="str">
        <f t="shared" si="97"/>
        <v>4</v>
      </c>
      <c r="U1266" s="1">
        <v>-33.916491000000001</v>
      </c>
      <c r="V1266" s="3">
        <v>150.91284099999999</v>
      </c>
    </row>
    <row r="1267" spans="1:22" x14ac:dyDescent="0.35">
      <c r="A1267" s="22" t="s">
        <v>3804</v>
      </c>
      <c r="B1267" s="1" t="s">
        <v>3805</v>
      </c>
      <c r="C1267" s="1" t="s">
        <v>2483</v>
      </c>
      <c r="D1267" s="1" t="s">
        <v>1131</v>
      </c>
      <c r="E1267" s="1" t="s">
        <v>429</v>
      </c>
      <c r="F1267" s="1" t="s">
        <v>47</v>
      </c>
      <c r="G1267" s="1">
        <f t="shared" si="95"/>
        <v>1</v>
      </c>
      <c r="H1267" s="1" t="s">
        <v>182</v>
      </c>
      <c r="I1267" s="1" t="s">
        <v>49</v>
      </c>
      <c r="J1267" s="23" t="s">
        <v>50</v>
      </c>
      <c r="K1267" s="2" t="s">
        <v>51</v>
      </c>
      <c r="L1267" s="1">
        <v>319</v>
      </c>
      <c r="M1267" s="1">
        <v>8</v>
      </c>
      <c r="N1267" s="1" t="str">
        <f t="shared" si="98"/>
        <v>Published</v>
      </c>
      <c r="O1267" s="1">
        <f t="shared" si="96"/>
        <v>25.52</v>
      </c>
      <c r="P1267" s="1">
        <v>39</v>
      </c>
      <c r="Q1267" s="1">
        <v>945</v>
      </c>
      <c r="R1267" s="1" t="str">
        <f t="shared" si="99"/>
        <v>2</v>
      </c>
      <c r="S1267" s="1">
        <v>141</v>
      </c>
      <c r="T1267" s="1" t="str">
        <f t="shared" si="97"/>
        <v>3</v>
      </c>
      <c r="U1267" s="1">
        <v>-33.780051999999998</v>
      </c>
      <c r="V1267" s="3">
        <v>150.776385</v>
      </c>
    </row>
    <row r="1268" spans="1:22" x14ac:dyDescent="0.35">
      <c r="A1268" s="22" t="s">
        <v>3806</v>
      </c>
      <c r="B1268" s="1" t="s">
        <v>3807</v>
      </c>
      <c r="C1268" s="1" t="s">
        <v>1891</v>
      </c>
      <c r="D1268" s="1" t="s">
        <v>461</v>
      </c>
      <c r="E1268" s="1" t="s">
        <v>96</v>
      </c>
      <c r="F1268" s="1" t="s">
        <v>57</v>
      </c>
      <c r="G1268" s="1">
        <f t="shared" si="95"/>
        <v>2</v>
      </c>
      <c r="H1268" s="1" t="s">
        <v>70</v>
      </c>
      <c r="I1268" s="1" t="s">
        <v>49</v>
      </c>
      <c r="J1268" s="23" t="s">
        <v>50</v>
      </c>
      <c r="K1268" s="2" t="s">
        <v>51</v>
      </c>
      <c r="L1268" s="1">
        <v>164</v>
      </c>
      <c r="M1268" s="1">
        <v>9</v>
      </c>
      <c r="N1268" s="1" t="str">
        <f t="shared" si="98"/>
        <v>Published</v>
      </c>
      <c r="O1268" s="1">
        <f t="shared" si="96"/>
        <v>14.76</v>
      </c>
      <c r="P1268" s="1">
        <v>6</v>
      </c>
      <c r="Q1268" s="1">
        <v>992</v>
      </c>
      <c r="R1268" s="1" t="str">
        <f t="shared" si="99"/>
        <v>2</v>
      </c>
      <c r="S1268" s="1">
        <v>103</v>
      </c>
      <c r="T1268" s="1" t="str">
        <f t="shared" si="97"/>
        <v>2</v>
      </c>
      <c r="U1268" s="1">
        <v>-35.525163999999997</v>
      </c>
      <c r="V1268" s="3">
        <v>144.98166399999999</v>
      </c>
    </row>
    <row r="1269" spans="1:22" x14ac:dyDescent="0.35">
      <c r="A1269" s="22" t="s">
        <v>3808</v>
      </c>
      <c r="B1269" s="1" t="s">
        <v>3809</v>
      </c>
      <c r="C1269" s="1" t="s">
        <v>3810</v>
      </c>
      <c r="D1269" s="1" t="s">
        <v>837</v>
      </c>
      <c r="E1269" s="1" t="s">
        <v>838</v>
      </c>
      <c r="F1269" s="1" t="s">
        <v>47</v>
      </c>
      <c r="G1269" s="1">
        <f t="shared" si="95"/>
        <v>1</v>
      </c>
      <c r="H1269" s="1" t="s">
        <v>148</v>
      </c>
      <c r="I1269" s="1" t="s">
        <v>49</v>
      </c>
      <c r="J1269" s="23" t="s">
        <v>50</v>
      </c>
      <c r="K1269" s="2" t="s">
        <v>51</v>
      </c>
      <c r="L1269" s="1">
        <v>283</v>
      </c>
      <c r="M1269" s="1">
        <v>9</v>
      </c>
      <c r="N1269" s="1" t="str">
        <f t="shared" si="98"/>
        <v>Published</v>
      </c>
      <c r="O1269" s="1">
        <f t="shared" si="96"/>
        <v>25.47</v>
      </c>
      <c r="P1269" s="1">
        <v>48</v>
      </c>
      <c r="Q1269" s="1">
        <v>975</v>
      </c>
      <c r="R1269" s="1" t="str">
        <f t="shared" si="99"/>
        <v>2</v>
      </c>
      <c r="S1269" s="1">
        <v>106</v>
      </c>
      <c r="T1269" s="1" t="str">
        <f t="shared" si="97"/>
        <v>2</v>
      </c>
      <c r="U1269" s="1">
        <v>-33.742666999999997</v>
      </c>
      <c r="V1269" s="3">
        <v>150.89642499999999</v>
      </c>
    </row>
    <row r="1270" spans="1:22" x14ac:dyDescent="0.35">
      <c r="A1270" s="22" t="s">
        <v>3811</v>
      </c>
      <c r="B1270" s="1" t="s">
        <v>3812</v>
      </c>
      <c r="C1270" s="1" t="s">
        <v>3813</v>
      </c>
      <c r="D1270" s="1" t="s">
        <v>1776</v>
      </c>
      <c r="E1270" s="1" t="s">
        <v>147</v>
      </c>
      <c r="F1270" s="1" t="s">
        <v>47</v>
      </c>
      <c r="G1270" s="1">
        <f t="shared" si="95"/>
        <v>1</v>
      </c>
      <c r="H1270" s="1" t="s">
        <v>148</v>
      </c>
      <c r="I1270" s="1" t="s">
        <v>49</v>
      </c>
      <c r="J1270" s="23" t="s">
        <v>50</v>
      </c>
      <c r="K1270" s="2" t="s">
        <v>51</v>
      </c>
      <c r="L1270" s="1">
        <v>250</v>
      </c>
      <c r="M1270" s="1"/>
      <c r="N1270" s="1" t="str">
        <f t="shared" si="98"/>
        <v>Suppressed</v>
      </c>
      <c r="O1270" s="1" t="str">
        <f t="shared" si="96"/>
        <v/>
      </c>
      <c r="P1270" s="1">
        <v>28</v>
      </c>
      <c r="Q1270" s="1">
        <v>1173</v>
      </c>
      <c r="R1270" s="1" t="str">
        <f t="shared" si="99"/>
        <v>4</v>
      </c>
      <c r="S1270" s="1">
        <v>5</v>
      </c>
      <c r="T1270" s="1" t="str">
        <f t="shared" si="97"/>
        <v>2</v>
      </c>
      <c r="U1270" s="1">
        <v>-33.763936999999999</v>
      </c>
      <c r="V1270" s="3">
        <v>151.12440100000001</v>
      </c>
    </row>
    <row r="1271" spans="1:22" x14ac:dyDescent="0.35">
      <c r="A1271" s="22" t="s">
        <v>3814</v>
      </c>
      <c r="B1271" s="1" t="s">
        <v>3815</v>
      </c>
      <c r="C1271" s="1" t="s">
        <v>3816</v>
      </c>
      <c r="D1271" s="1" t="s">
        <v>1131</v>
      </c>
      <c r="E1271" s="1" t="s">
        <v>429</v>
      </c>
      <c r="F1271" s="1" t="s">
        <v>47</v>
      </c>
      <c r="G1271" s="1">
        <f t="shared" si="95"/>
        <v>1</v>
      </c>
      <c r="H1271" s="1" t="s">
        <v>182</v>
      </c>
      <c r="I1271" s="1" t="s">
        <v>49</v>
      </c>
      <c r="J1271" s="23" t="s">
        <v>50</v>
      </c>
      <c r="K1271" s="2" t="s">
        <v>51</v>
      </c>
      <c r="L1271" s="1">
        <v>646</v>
      </c>
      <c r="M1271" s="1">
        <v>19</v>
      </c>
      <c r="N1271" s="1" t="str">
        <f t="shared" si="98"/>
        <v>Published</v>
      </c>
      <c r="O1271" s="1">
        <f t="shared" si="96"/>
        <v>122.74</v>
      </c>
      <c r="P1271" s="1">
        <v>40</v>
      </c>
      <c r="Q1271" s="1">
        <v>912</v>
      </c>
      <c r="R1271" s="1" t="str">
        <f t="shared" si="99"/>
        <v>2</v>
      </c>
      <c r="S1271" s="1">
        <v>151</v>
      </c>
      <c r="T1271" s="1" t="str">
        <f t="shared" si="97"/>
        <v>4</v>
      </c>
      <c r="U1271" s="1">
        <v>-33.783498999999999</v>
      </c>
      <c r="V1271" s="3">
        <v>150.792462</v>
      </c>
    </row>
    <row r="1272" spans="1:22" x14ac:dyDescent="0.35">
      <c r="A1272" s="22" t="s">
        <v>3817</v>
      </c>
      <c r="B1272" s="1" t="s">
        <v>3818</v>
      </c>
      <c r="C1272" s="1" t="s">
        <v>678</v>
      </c>
      <c r="D1272" s="1" t="s">
        <v>678</v>
      </c>
      <c r="E1272" s="1" t="s">
        <v>122</v>
      </c>
      <c r="F1272" s="1" t="s">
        <v>47</v>
      </c>
      <c r="G1272" s="1">
        <f t="shared" si="95"/>
        <v>1</v>
      </c>
      <c r="H1272" s="1" t="s">
        <v>86</v>
      </c>
      <c r="I1272" s="1" t="s">
        <v>49</v>
      </c>
      <c r="J1272" s="23" t="s">
        <v>50</v>
      </c>
      <c r="K1272" s="2" t="s">
        <v>51</v>
      </c>
      <c r="L1272" s="1">
        <v>712</v>
      </c>
      <c r="M1272" s="1">
        <v>9</v>
      </c>
      <c r="N1272" s="1" t="str">
        <f t="shared" si="98"/>
        <v>Published</v>
      </c>
      <c r="O1272" s="1">
        <f t="shared" si="96"/>
        <v>64.08</v>
      </c>
      <c r="P1272" s="1">
        <v>11</v>
      </c>
      <c r="Q1272" s="1">
        <v>1021</v>
      </c>
      <c r="R1272" s="1" t="str">
        <f t="shared" si="99"/>
        <v>3</v>
      </c>
      <c r="S1272" s="1">
        <v>84</v>
      </c>
      <c r="T1272" s="1" t="str">
        <f t="shared" si="97"/>
        <v>4</v>
      </c>
      <c r="U1272" s="1">
        <v>-34.069741</v>
      </c>
      <c r="V1272" s="3">
        <v>150.69562999999999</v>
      </c>
    </row>
    <row r="1273" spans="1:22" x14ac:dyDescent="0.35">
      <c r="A1273" s="22" t="s">
        <v>3819</v>
      </c>
      <c r="B1273" s="1" t="s">
        <v>3820</v>
      </c>
      <c r="C1273" s="1" t="s">
        <v>3821</v>
      </c>
      <c r="D1273" s="1" t="s">
        <v>180</v>
      </c>
      <c r="E1273" s="1" t="s">
        <v>181</v>
      </c>
      <c r="F1273" s="1" t="s">
        <v>47</v>
      </c>
      <c r="G1273" s="1">
        <f t="shared" si="95"/>
        <v>1</v>
      </c>
      <c r="H1273" s="1" t="s">
        <v>182</v>
      </c>
      <c r="I1273" s="1" t="s">
        <v>49</v>
      </c>
      <c r="J1273" s="23" t="s">
        <v>50</v>
      </c>
      <c r="K1273" s="2" t="s">
        <v>51</v>
      </c>
      <c r="L1273" s="1">
        <v>563</v>
      </c>
      <c r="M1273" s="1">
        <v>3</v>
      </c>
      <c r="N1273" s="1" t="str">
        <f t="shared" si="98"/>
        <v>Published</v>
      </c>
      <c r="O1273" s="1">
        <f t="shared" si="96"/>
        <v>16.89</v>
      </c>
      <c r="P1273" s="1">
        <v>71</v>
      </c>
      <c r="Q1273" s="1">
        <v>1100</v>
      </c>
      <c r="R1273" s="1" t="str">
        <f t="shared" si="99"/>
        <v>4</v>
      </c>
      <c r="S1273" s="1">
        <v>39</v>
      </c>
      <c r="T1273" s="1" t="str">
        <f t="shared" si="97"/>
        <v>3</v>
      </c>
      <c r="U1273" s="1">
        <v>-33.956341999999999</v>
      </c>
      <c r="V1273" s="3">
        <v>150.95335299999999</v>
      </c>
    </row>
    <row r="1274" spans="1:22" x14ac:dyDescent="0.35">
      <c r="A1274" s="22" t="s">
        <v>3822</v>
      </c>
      <c r="B1274" s="1" t="s">
        <v>3823</v>
      </c>
      <c r="C1274" s="1" t="s">
        <v>3824</v>
      </c>
      <c r="D1274" s="1" t="s">
        <v>180</v>
      </c>
      <c r="E1274" s="1" t="s">
        <v>181</v>
      </c>
      <c r="F1274" s="1" t="s">
        <v>47</v>
      </c>
      <c r="G1274" s="1">
        <f t="shared" si="95"/>
        <v>1</v>
      </c>
      <c r="H1274" s="1" t="s">
        <v>182</v>
      </c>
      <c r="I1274" s="1" t="s">
        <v>49</v>
      </c>
      <c r="J1274" s="23" t="s">
        <v>50</v>
      </c>
      <c r="K1274" s="2" t="s">
        <v>51</v>
      </c>
      <c r="L1274" s="1">
        <v>440</v>
      </c>
      <c r="M1274" s="1">
        <v>6</v>
      </c>
      <c r="N1274" s="1" t="str">
        <f t="shared" si="98"/>
        <v>Published</v>
      </c>
      <c r="O1274" s="1">
        <f t="shared" si="96"/>
        <v>26.4</v>
      </c>
      <c r="P1274" s="1">
        <v>84</v>
      </c>
      <c r="Q1274" s="1">
        <v>906</v>
      </c>
      <c r="R1274" s="1" t="str">
        <f t="shared" si="99"/>
        <v>2</v>
      </c>
      <c r="S1274" s="1">
        <v>167</v>
      </c>
      <c r="T1274" s="1" t="str">
        <f t="shared" si="97"/>
        <v>3</v>
      </c>
      <c r="U1274" s="1">
        <v>-33.932082000000001</v>
      </c>
      <c r="V1274" s="3">
        <v>150.89192499999999</v>
      </c>
    </row>
    <row r="1275" spans="1:22" x14ac:dyDescent="0.35">
      <c r="A1275" s="22" t="s">
        <v>3825</v>
      </c>
      <c r="B1275" s="1" t="s">
        <v>3826</v>
      </c>
      <c r="C1275" s="1" t="s">
        <v>3827</v>
      </c>
      <c r="D1275" s="1" t="s">
        <v>837</v>
      </c>
      <c r="E1275" s="1" t="s">
        <v>838</v>
      </c>
      <c r="F1275" s="1" t="s">
        <v>47</v>
      </c>
      <c r="G1275" s="1">
        <f t="shared" si="95"/>
        <v>1</v>
      </c>
      <c r="H1275" s="1" t="s">
        <v>182</v>
      </c>
      <c r="I1275" s="1" t="s">
        <v>49</v>
      </c>
      <c r="J1275" s="23" t="s">
        <v>50</v>
      </c>
      <c r="K1275" s="2" t="s">
        <v>51</v>
      </c>
      <c r="L1275" s="1">
        <v>565</v>
      </c>
      <c r="M1275" s="1">
        <v>6</v>
      </c>
      <c r="N1275" s="1" t="str">
        <f t="shared" si="98"/>
        <v>Published</v>
      </c>
      <c r="O1275" s="1">
        <f t="shared" si="96"/>
        <v>33.9</v>
      </c>
      <c r="P1275" s="1">
        <v>82</v>
      </c>
      <c r="Q1275" s="1">
        <v>961</v>
      </c>
      <c r="R1275" s="1" t="str">
        <f t="shared" si="99"/>
        <v>2</v>
      </c>
      <c r="S1275" s="1">
        <v>127</v>
      </c>
      <c r="T1275" s="1" t="str">
        <f t="shared" si="97"/>
        <v>3</v>
      </c>
      <c r="U1275" s="1">
        <v>-33.763984000000001</v>
      </c>
      <c r="V1275" s="3">
        <v>150.81250900000001</v>
      </c>
    </row>
    <row r="1276" spans="1:22" x14ac:dyDescent="0.35">
      <c r="A1276" s="22" t="s">
        <v>3828</v>
      </c>
      <c r="B1276" s="1" t="s">
        <v>3829</v>
      </c>
      <c r="C1276" s="1" t="s">
        <v>3214</v>
      </c>
      <c r="D1276" s="1" t="s">
        <v>84</v>
      </c>
      <c r="E1276" s="1" t="s">
        <v>85</v>
      </c>
      <c r="F1276" s="1" t="s">
        <v>47</v>
      </c>
      <c r="G1276" s="1">
        <f t="shared" si="95"/>
        <v>1</v>
      </c>
      <c r="H1276" s="1" t="s">
        <v>86</v>
      </c>
      <c r="I1276" s="1" t="s">
        <v>49</v>
      </c>
      <c r="J1276" s="23" t="s">
        <v>50</v>
      </c>
      <c r="K1276" s="2" t="s">
        <v>51</v>
      </c>
      <c r="L1276" s="1">
        <v>268</v>
      </c>
      <c r="M1276" s="1">
        <v>16</v>
      </c>
      <c r="N1276" s="1" t="str">
        <f t="shared" si="98"/>
        <v>Published</v>
      </c>
      <c r="O1276" s="1">
        <f t="shared" si="96"/>
        <v>42.88</v>
      </c>
      <c r="P1276" s="1">
        <v>11</v>
      </c>
      <c r="Q1276" s="1">
        <v>974</v>
      </c>
      <c r="R1276" s="1" t="str">
        <f t="shared" si="99"/>
        <v>2</v>
      </c>
      <c r="S1276" s="1">
        <v>100</v>
      </c>
      <c r="T1276" s="1" t="str">
        <f t="shared" si="97"/>
        <v>2</v>
      </c>
      <c r="U1276" s="1">
        <v>-34.559759999999997</v>
      </c>
      <c r="V1276" s="3">
        <v>150.83111500000001</v>
      </c>
    </row>
    <row r="1277" spans="1:22" x14ac:dyDescent="0.35">
      <c r="A1277" s="22" t="s">
        <v>3830</v>
      </c>
      <c r="B1277" s="1" t="s">
        <v>3831</v>
      </c>
      <c r="C1277" s="1" t="s">
        <v>1137</v>
      </c>
      <c r="D1277" s="1" t="s">
        <v>737</v>
      </c>
      <c r="E1277" s="1" t="s">
        <v>738</v>
      </c>
      <c r="F1277" s="1" t="s">
        <v>47</v>
      </c>
      <c r="G1277" s="1">
        <f t="shared" si="95"/>
        <v>1</v>
      </c>
      <c r="H1277" s="1" t="s">
        <v>182</v>
      </c>
      <c r="I1277" s="1" t="s">
        <v>49</v>
      </c>
      <c r="J1277" s="23" t="s">
        <v>50</v>
      </c>
      <c r="K1277" s="2" t="s">
        <v>51</v>
      </c>
      <c r="L1277" s="1">
        <v>541</v>
      </c>
      <c r="M1277" s="1">
        <v>3</v>
      </c>
      <c r="N1277" s="1" t="str">
        <f t="shared" si="98"/>
        <v>Published</v>
      </c>
      <c r="O1277" s="1">
        <f t="shared" si="96"/>
        <v>16.23</v>
      </c>
      <c r="P1277" s="1">
        <v>8</v>
      </c>
      <c r="Q1277" s="1">
        <v>1057</v>
      </c>
      <c r="R1277" s="1" t="str">
        <f t="shared" si="99"/>
        <v>3</v>
      </c>
      <c r="S1277" s="1">
        <v>60</v>
      </c>
      <c r="T1277" s="1" t="str">
        <f t="shared" si="97"/>
        <v>3</v>
      </c>
      <c r="U1277" s="1">
        <v>-34.059519000000002</v>
      </c>
      <c r="V1277" s="3">
        <v>151.002566</v>
      </c>
    </row>
    <row r="1278" spans="1:22" x14ac:dyDescent="0.35">
      <c r="A1278" s="22" t="s">
        <v>3832</v>
      </c>
      <c r="B1278" s="1" t="s">
        <v>3833</v>
      </c>
      <c r="C1278" s="1" t="s">
        <v>3834</v>
      </c>
      <c r="D1278" s="1" t="s">
        <v>1776</v>
      </c>
      <c r="E1278" s="1" t="s">
        <v>147</v>
      </c>
      <c r="F1278" s="1" t="s">
        <v>47</v>
      </c>
      <c r="G1278" s="1">
        <f t="shared" si="95"/>
        <v>1</v>
      </c>
      <c r="H1278" s="1" t="s">
        <v>148</v>
      </c>
      <c r="I1278" s="1" t="s">
        <v>49</v>
      </c>
      <c r="J1278" s="23" t="s">
        <v>50</v>
      </c>
      <c r="K1278" s="2" t="s">
        <v>51</v>
      </c>
      <c r="L1278" s="1">
        <v>846</v>
      </c>
      <c r="M1278" s="1">
        <v>0</v>
      </c>
      <c r="N1278" s="1" t="str">
        <f t="shared" si="98"/>
        <v>Published</v>
      </c>
      <c r="O1278" s="1">
        <f t="shared" si="96"/>
        <v>0</v>
      </c>
      <c r="P1278" s="1">
        <v>77</v>
      </c>
      <c r="Q1278" s="1">
        <v>1164</v>
      </c>
      <c r="R1278" s="1" t="str">
        <f t="shared" si="99"/>
        <v>4</v>
      </c>
      <c r="S1278" s="1">
        <v>0</v>
      </c>
      <c r="T1278" s="1" t="str">
        <f t="shared" si="97"/>
        <v>4</v>
      </c>
      <c r="U1278" s="1">
        <v>-33.718671999999998</v>
      </c>
      <c r="V1278" s="3">
        <v>151.163635</v>
      </c>
    </row>
    <row r="1279" spans="1:22" x14ac:dyDescent="0.35">
      <c r="A1279" s="22" t="s">
        <v>3835</v>
      </c>
      <c r="B1279" s="1" t="s">
        <v>3836</v>
      </c>
      <c r="C1279" s="1" t="s">
        <v>3837</v>
      </c>
      <c r="D1279" s="1" t="s">
        <v>642</v>
      </c>
      <c r="E1279" s="1" t="s">
        <v>170</v>
      </c>
      <c r="F1279" s="1" t="s">
        <v>47</v>
      </c>
      <c r="G1279" s="1">
        <f t="shared" si="95"/>
        <v>1</v>
      </c>
      <c r="H1279" s="1" t="s">
        <v>148</v>
      </c>
      <c r="I1279" s="1" t="s">
        <v>49</v>
      </c>
      <c r="J1279" s="23" t="s">
        <v>50</v>
      </c>
      <c r="K1279" s="2" t="s">
        <v>51</v>
      </c>
      <c r="L1279" s="1">
        <v>306</v>
      </c>
      <c r="M1279" s="1">
        <v>2</v>
      </c>
      <c r="N1279" s="1" t="str">
        <f t="shared" si="98"/>
        <v>Published</v>
      </c>
      <c r="O1279" s="1">
        <f t="shared" si="96"/>
        <v>6.12</v>
      </c>
      <c r="P1279" s="1">
        <v>73</v>
      </c>
      <c r="Q1279" s="1">
        <v>1112</v>
      </c>
      <c r="R1279" s="1" t="str">
        <f t="shared" si="99"/>
        <v>4</v>
      </c>
      <c r="S1279" s="1">
        <v>29</v>
      </c>
      <c r="T1279" s="1" t="str">
        <f t="shared" si="97"/>
        <v>3</v>
      </c>
      <c r="U1279" s="1">
        <v>-33.765259</v>
      </c>
      <c r="V1279" s="3">
        <v>151.05251999999999</v>
      </c>
    </row>
    <row r="1280" spans="1:22" x14ac:dyDescent="0.35">
      <c r="A1280" s="22" t="s">
        <v>3838</v>
      </c>
      <c r="B1280" s="1" t="s">
        <v>3839</v>
      </c>
      <c r="C1280" s="1" t="s">
        <v>3001</v>
      </c>
      <c r="D1280" s="1" t="s">
        <v>176</v>
      </c>
      <c r="E1280" s="1" t="s">
        <v>85</v>
      </c>
      <c r="F1280" s="1" t="s">
        <v>47</v>
      </c>
      <c r="G1280" s="1">
        <f t="shared" si="95"/>
        <v>1</v>
      </c>
      <c r="H1280" s="1" t="s">
        <v>86</v>
      </c>
      <c r="I1280" s="1" t="s">
        <v>49</v>
      </c>
      <c r="J1280" s="23" t="s">
        <v>50</v>
      </c>
      <c r="K1280" s="2" t="s">
        <v>51</v>
      </c>
      <c r="L1280" s="1">
        <v>200</v>
      </c>
      <c r="M1280" s="1">
        <v>16</v>
      </c>
      <c r="N1280" s="1" t="str">
        <f t="shared" si="98"/>
        <v>Published</v>
      </c>
      <c r="O1280" s="1">
        <f t="shared" si="96"/>
        <v>32</v>
      </c>
      <c r="P1280" s="1">
        <v>10</v>
      </c>
      <c r="Q1280" s="1">
        <v>1037</v>
      </c>
      <c r="R1280" s="1" t="str">
        <f t="shared" si="99"/>
        <v>3</v>
      </c>
      <c r="S1280" s="1">
        <v>71</v>
      </c>
      <c r="T1280" s="1" t="str">
        <f t="shared" si="97"/>
        <v>2</v>
      </c>
      <c r="U1280" s="1">
        <v>-34.352260999999999</v>
      </c>
      <c r="V1280" s="3">
        <v>150.91545300000001</v>
      </c>
    </row>
    <row r="1281" spans="1:22" x14ac:dyDescent="0.35">
      <c r="A1281" s="22" t="s">
        <v>3840</v>
      </c>
      <c r="B1281" s="1" t="s">
        <v>3841</v>
      </c>
      <c r="C1281" s="1" t="s">
        <v>1137</v>
      </c>
      <c r="D1281" s="1" t="s">
        <v>737</v>
      </c>
      <c r="E1281" s="1" t="s">
        <v>738</v>
      </c>
      <c r="F1281" s="1" t="s">
        <v>47</v>
      </c>
      <c r="G1281" s="1">
        <f t="shared" si="95"/>
        <v>1</v>
      </c>
      <c r="H1281" s="1" t="s">
        <v>182</v>
      </c>
      <c r="I1281" s="1" t="s">
        <v>49</v>
      </c>
      <c r="J1281" s="23" t="s">
        <v>50</v>
      </c>
      <c r="K1281" s="2" t="s">
        <v>51</v>
      </c>
      <c r="L1281" s="1">
        <v>249</v>
      </c>
      <c r="M1281" s="1">
        <v>3</v>
      </c>
      <c r="N1281" s="1" t="str">
        <f t="shared" si="98"/>
        <v>Published</v>
      </c>
      <c r="O1281" s="1">
        <f t="shared" si="96"/>
        <v>7.47</v>
      </c>
      <c r="P1281" s="1">
        <v>12</v>
      </c>
      <c r="Q1281" s="1">
        <v>1081</v>
      </c>
      <c r="R1281" s="1" t="str">
        <f t="shared" si="99"/>
        <v>3</v>
      </c>
      <c r="S1281" s="1">
        <v>54</v>
      </c>
      <c r="T1281" s="1" t="str">
        <f t="shared" si="97"/>
        <v>2</v>
      </c>
      <c r="U1281" s="1">
        <v>-34.056573999999998</v>
      </c>
      <c r="V1281" s="3">
        <v>151.02613700000001</v>
      </c>
    </row>
    <row r="1282" spans="1:22" x14ac:dyDescent="0.35">
      <c r="A1282" s="22" t="s">
        <v>3842</v>
      </c>
      <c r="B1282" s="1" t="s">
        <v>3843</v>
      </c>
      <c r="C1282" s="1" t="s">
        <v>3844</v>
      </c>
      <c r="D1282" s="1" t="s">
        <v>876</v>
      </c>
      <c r="E1282" s="1" t="s">
        <v>330</v>
      </c>
      <c r="F1282" s="1" t="s">
        <v>47</v>
      </c>
      <c r="G1282" s="1">
        <f t="shared" ref="G1282:G1345" si="100">IF(F1282="Major Cities of Australia",1,IF(F1282="Inner Regional Australia",2,IF(F1282="Outer Regional Australia",3,IF(F1282="Remote Australia",4,IF(F1282="Very Remote Australia",5,6)))))</f>
        <v>1</v>
      </c>
      <c r="H1282" s="1" t="s">
        <v>48</v>
      </c>
      <c r="I1282" s="1" t="s">
        <v>49</v>
      </c>
      <c r="J1282" s="23" t="s">
        <v>50</v>
      </c>
      <c r="K1282" s="2" t="s">
        <v>51</v>
      </c>
      <c r="L1282" s="1">
        <v>227</v>
      </c>
      <c r="M1282" s="1">
        <v>38</v>
      </c>
      <c r="N1282" s="1" t="str">
        <f t="shared" si="98"/>
        <v>Published</v>
      </c>
      <c r="O1282" s="1">
        <f t="shared" ref="O1282:O1345" si="101">IF(OR(M1282="",L1282=""),"",M1282/100*L1282)</f>
        <v>86.26</v>
      </c>
      <c r="P1282" s="1">
        <v>34</v>
      </c>
      <c r="Q1282" s="1">
        <v>954</v>
      </c>
      <c r="R1282" s="1" t="str">
        <f t="shared" si="99"/>
        <v>2</v>
      </c>
      <c r="S1282" s="1">
        <v>101</v>
      </c>
      <c r="T1282" s="1" t="str">
        <f t="shared" ref="T1282:T1345" si="102">IF(L1282="","No enrolment",IF(L1282&lt;100,"1",IF(L1282&lt;300,"2",IF(L1282&lt;600,"3",IF(L1282&lt;1000,"4","5")))))</f>
        <v>2</v>
      </c>
      <c r="U1282" s="1">
        <v>-33.965829999999997</v>
      </c>
      <c r="V1282" s="3">
        <v>151.24215799999999</v>
      </c>
    </row>
    <row r="1283" spans="1:22" x14ac:dyDescent="0.35">
      <c r="A1283" s="22" t="s">
        <v>3845</v>
      </c>
      <c r="B1283" s="1" t="s">
        <v>3846</v>
      </c>
      <c r="C1283" s="1" t="s">
        <v>3847</v>
      </c>
      <c r="D1283" s="1" t="s">
        <v>574</v>
      </c>
      <c r="E1283" s="1" t="s">
        <v>102</v>
      </c>
      <c r="F1283" s="1" t="s">
        <v>544</v>
      </c>
      <c r="G1283" s="1">
        <f t="shared" si="100"/>
        <v>5</v>
      </c>
      <c r="H1283" s="1" t="s">
        <v>92</v>
      </c>
      <c r="I1283" s="1" t="s">
        <v>49</v>
      </c>
      <c r="J1283" s="23" t="s">
        <v>50</v>
      </c>
      <c r="K1283" s="2" t="s">
        <v>51</v>
      </c>
      <c r="L1283" s="1">
        <v>5</v>
      </c>
      <c r="M1283" s="1"/>
      <c r="N1283" s="1" t="str">
        <f t="shared" ref="N1283:N1346" si="103">IF(M1283="","Suppressed","Published")</f>
        <v>Suppressed</v>
      </c>
      <c r="O1283" s="1" t="str">
        <f t="shared" si="101"/>
        <v/>
      </c>
      <c r="P1283" s="1"/>
      <c r="Q1283" s="1"/>
      <c r="R1283" s="1" t="str">
        <f t="shared" ref="R1283:R1346" si="104">IF(Q1283="","No ICSEA",IF(Q1283&lt;900,"1",IF(Q1283&lt;1000,"2",IF(Q1283&lt;1100,"3","4"))))</f>
        <v>No ICSEA</v>
      </c>
      <c r="S1283" s="1">
        <v>195</v>
      </c>
      <c r="T1283" s="1" t="str">
        <f t="shared" si="102"/>
        <v>1</v>
      </c>
      <c r="U1283" s="1">
        <v>-29.238786000000001</v>
      </c>
      <c r="V1283" s="3">
        <v>146.918094</v>
      </c>
    </row>
    <row r="1284" spans="1:22" x14ac:dyDescent="0.35">
      <c r="A1284" s="22" t="s">
        <v>3848</v>
      </c>
      <c r="B1284" s="1" t="s">
        <v>3849</v>
      </c>
      <c r="C1284" s="1" t="s">
        <v>837</v>
      </c>
      <c r="D1284" s="1" t="s">
        <v>837</v>
      </c>
      <c r="E1284" s="1" t="s">
        <v>838</v>
      </c>
      <c r="F1284" s="1" t="s">
        <v>47</v>
      </c>
      <c r="G1284" s="1">
        <f t="shared" si="100"/>
        <v>1</v>
      </c>
      <c r="H1284" s="1" t="s">
        <v>182</v>
      </c>
      <c r="I1284" s="1" t="s">
        <v>49</v>
      </c>
      <c r="J1284" s="23" t="s">
        <v>50</v>
      </c>
      <c r="K1284" s="2" t="s">
        <v>51</v>
      </c>
      <c r="L1284" s="1">
        <v>523</v>
      </c>
      <c r="M1284" s="1">
        <v>5</v>
      </c>
      <c r="N1284" s="1" t="str">
        <f t="shared" si="103"/>
        <v>Published</v>
      </c>
      <c r="O1284" s="1">
        <f t="shared" si="101"/>
        <v>26.150000000000002</v>
      </c>
      <c r="P1284" s="1">
        <v>68</v>
      </c>
      <c r="Q1284" s="1">
        <v>997</v>
      </c>
      <c r="R1284" s="1" t="str">
        <f t="shared" si="104"/>
        <v>2</v>
      </c>
      <c r="S1284" s="1">
        <v>96</v>
      </c>
      <c r="T1284" s="1" t="str">
        <f t="shared" si="102"/>
        <v>3</v>
      </c>
      <c r="U1284" s="1">
        <v>-33.784757999999997</v>
      </c>
      <c r="V1284" s="3">
        <v>150.89214799999999</v>
      </c>
    </row>
    <row r="1285" spans="1:22" x14ac:dyDescent="0.35">
      <c r="A1285" s="22" t="s">
        <v>3850</v>
      </c>
      <c r="B1285" s="1" t="s">
        <v>3851</v>
      </c>
      <c r="C1285" s="1"/>
      <c r="D1285" s="1" t="s">
        <v>689</v>
      </c>
      <c r="E1285" s="1" t="s">
        <v>122</v>
      </c>
      <c r="F1285" s="1" t="s">
        <v>47</v>
      </c>
      <c r="G1285" s="1">
        <f t="shared" si="100"/>
        <v>1</v>
      </c>
      <c r="H1285" s="1" t="s">
        <v>182</v>
      </c>
      <c r="I1285" s="1" t="s">
        <v>49</v>
      </c>
      <c r="J1285" s="23" t="s">
        <v>50</v>
      </c>
      <c r="K1285" s="2" t="s">
        <v>51</v>
      </c>
      <c r="L1285" s="1">
        <v>953</v>
      </c>
      <c r="M1285" s="1">
        <v>3</v>
      </c>
      <c r="N1285" s="1" t="str">
        <f t="shared" si="103"/>
        <v>Published</v>
      </c>
      <c r="O1285" s="1">
        <f t="shared" si="101"/>
        <v>28.59</v>
      </c>
      <c r="P1285" s="1">
        <v>81</v>
      </c>
      <c r="Q1285" s="1">
        <v>1070</v>
      </c>
      <c r="R1285" s="1" t="str">
        <f t="shared" si="104"/>
        <v>3</v>
      </c>
      <c r="S1285" s="1">
        <v>47</v>
      </c>
      <c r="T1285" s="1" t="str">
        <f t="shared" si="102"/>
        <v>4</v>
      </c>
      <c r="U1285" s="1">
        <v>-33.975279999999998</v>
      </c>
      <c r="V1285" s="3">
        <v>150.857923</v>
      </c>
    </row>
    <row r="1286" spans="1:22" x14ac:dyDescent="0.35">
      <c r="A1286" s="22" t="s">
        <v>3852</v>
      </c>
      <c r="B1286" s="1" t="s">
        <v>3853</v>
      </c>
      <c r="C1286" s="1" t="s">
        <v>1388</v>
      </c>
      <c r="D1286" s="1" t="s">
        <v>169</v>
      </c>
      <c r="E1286" s="1" t="s">
        <v>170</v>
      </c>
      <c r="F1286" s="1" t="s">
        <v>47</v>
      </c>
      <c r="G1286" s="1">
        <f t="shared" si="100"/>
        <v>1</v>
      </c>
      <c r="H1286" s="1" t="s">
        <v>48</v>
      </c>
      <c r="I1286" s="1" t="s">
        <v>49</v>
      </c>
      <c r="J1286" s="23" t="s">
        <v>50</v>
      </c>
      <c r="K1286" s="2" t="s">
        <v>51</v>
      </c>
      <c r="L1286" s="1">
        <v>339</v>
      </c>
      <c r="M1286" s="1">
        <v>2</v>
      </c>
      <c r="N1286" s="1" t="str">
        <f t="shared" si="103"/>
        <v>Published</v>
      </c>
      <c r="O1286" s="1">
        <f t="shared" si="101"/>
        <v>6.78</v>
      </c>
      <c r="P1286" s="1">
        <v>71</v>
      </c>
      <c r="Q1286" s="1">
        <v>1002</v>
      </c>
      <c r="R1286" s="1" t="str">
        <f t="shared" si="104"/>
        <v>3</v>
      </c>
      <c r="S1286" s="1">
        <v>90</v>
      </c>
      <c r="T1286" s="1" t="str">
        <f t="shared" si="102"/>
        <v>3</v>
      </c>
      <c r="U1286" s="1">
        <v>-33.820180999999998</v>
      </c>
      <c r="V1286" s="3">
        <v>150.95939899999999</v>
      </c>
    </row>
    <row r="1287" spans="1:22" x14ac:dyDescent="0.35">
      <c r="A1287" s="22" t="s">
        <v>3854</v>
      </c>
      <c r="B1287" s="1" t="s">
        <v>3855</v>
      </c>
      <c r="C1287" s="1" t="s">
        <v>454</v>
      </c>
      <c r="D1287" s="1" t="s">
        <v>428</v>
      </c>
      <c r="E1287" s="1" t="s">
        <v>429</v>
      </c>
      <c r="F1287" s="1" t="s">
        <v>47</v>
      </c>
      <c r="G1287" s="1">
        <f t="shared" si="100"/>
        <v>1</v>
      </c>
      <c r="H1287" s="1" t="s">
        <v>63</v>
      </c>
      <c r="I1287" s="1" t="s">
        <v>49</v>
      </c>
      <c r="J1287" s="23" t="s">
        <v>50</v>
      </c>
      <c r="K1287" s="2" t="s">
        <v>51</v>
      </c>
      <c r="L1287" s="1">
        <v>379</v>
      </c>
      <c r="M1287" s="1">
        <v>9</v>
      </c>
      <c r="N1287" s="1" t="str">
        <f t="shared" si="103"/>
        <v>Published</v>
      </c>
      <c r="O1287" s="1">
        <f t="shared" si="101"/>
        <v>34.11</v>
      </c>
      <c r="P1287" s="1">
        <v>12</v>
      </c>
      <c r="Q1287" s="1">
        <v>1068</v>
      </c>
      <c r="R1287" s="1" t="str">
        <f t="shared" si="104"/>
        <v>3</v>
      </c>
      <c r="S1287" s="1">
        <v>49</v>
      </c>
      <c r="T1287" s="1" t="str">
        <f t="shared" si="102"/>
        <v>3</v>
      </c>
      <c r="U1287" s="1">
        <v>-33.746937000000003</v>
      </c>
      <c r="V1287" s="3">
        <v>150.62363199999999</v>
      </c>
    </row>
    <row r="1288" spans="1:22" x14ac:dyDescent="0.35">
      <c r="A1288" s="22" t="s">
        <v>3856</v>
      </c>
      <c r="B1288" s="1" t="s">
        <v>3857</v>
      </c>
      <c r="C1288" s="1" t="s">
        <v>671</v>
      </c>
      <c r="D1288" s="1" t="s">
        <v>537</v>
      </c>
      <c r="E1288" s="1" t="s">
        <v>181</v>
      </c>
      <c r="F1288" s="1" t="s">
        <v>47</v>
      </c>
      <c r="G1288" s="1">
        <f t="shared" si="100"/>
        <v>1</v>
      </c>
      <c r="H1288" s="1" t="s">
        <v>182</v>
      </c>
      <c r="I1288" s="1" t="s">
        <v>49</v>
      </c>
      <c r="J1288" s="23" t="s">
        <v>50</v>
      </c>
      <c r="K1288" s="2" t="s">
        <v>51</v>
      </c>
      <c r="L1288" s="1">
        <v>740</v>
      </c>
      <c r="M1288" s="1"/>
      <c r="N1288" s="1" t="str">
        <f t="shared" si="103"/>
        <v>Suppressed</v>
      </c>
      <c r="O1288" s="1" t="str">
        <f t="shared" si="101"/>
        <v/>
      </c>
      <c r="P1288" s="1">
        <v>98</v>
      </c>
      <c r="Q1288" s="1">
        <v>1000</v>
      </c>
      <c r="R1288" s="1" t="str">
        <f t="shared" si="104"/>
        <v>3</v>
      </c>
      <c r="S1288" s="1">
        <v>109</v>
      </c>
      <c r="T1288" s="1" t="str">
        <f t="shared" si="102"/>
        <v>4</v>
      </c>
      <c r="U1288" s="1">
        <v>-33.888595000000002</v>
      </c>
      <c r="V1288" s="3">
        <v>150.908725</v>
      </c>
    </row>
    <row r="1289" spans="1:22" x14ac:dyDescent="0.35">
      <c r="A1289" s="22" t="s">
        <v>3858</v>
      </c>
      <c r="B1289" s="1" t="s">
        <v>3859</v>
      </c>
      <c r="C1289" s="1" t="s">
        <v>3860</v>
      </c>
      <c r="D1289" s="1" t="s">
        <v>186</v>
      </c>
      <c r="E1289" s="1" t="s">
        <v>187</v>
      </c>
      <c r="F1289" s="1" t="s">
        <v>47</v>
      </c>
      <c r="G1289" s="1">
        <f t="shared" si="100"/>
        <v>1</v>
      </c>
      <c r="H1289" s="1" t="s">
        <v>63</v>
      </c>
      <c r="I1289" s="1" t="s">
        <v>49</v>
      </c>
      <c r="J1289" s="23" t="s">
        <v>50</v>
      </c>
      <c r="K1289" s="2" t="s">
        <v>51</v>
      </c>
      <c r="L1289" s="1">
        <v>193</v>
      </c>
      <c r="M1289" s="1">
        <v>19</v>
      </c>
      <c r="N1289" s="1" t="str">
        <f t="shared" si="103"/>
        <v>Published</v>
      </c>
      <c r="O1289" s="1">
        <f t="shared" si="101"/>
        <v>36.67</v>
      </c>
      <c r="P1289" s="1">
        <v>11</v>
      </c>
      <c r="Q1289" s="1">
        <v>945</v>
      </c>
      <c r="R1289" s="1" t="str">
        <f t="shared" si="104"/>
        <v>2</v>
      </c>
      <c r="S1289" s="1">
        <v>123</v>
      </c>
      <c r="T1289" s="1" t="str">
        <f t="shared" si="102"/>
        <v>2</v>
      </c>
      <c r="U1289" s="1">
        <v>-33.150793999999998</v>
      </c>
      <c r="V1289" s="3">
        <v>151.53678500000001</v>
      </c>
    </row>
    <row r="1290" spans="1:22" x14ac:dyDescent="0.35">
      <c r="A1290" s="22" t="s">
        <v>3861</v>
      </c>
      <c r="B1290" s="1" t="s">
        <v>3862</v>
      </c>
      <c r="C1290" s="1" t="s">
        <v>3863</v>
      </c>
      <c r="D1290" s="1" t="s">
        <v>191</v>
      </c>
      <c r="E1290" s="1" t="s">
        <v>75</v>
      </c>
      <c r="F1290" s="1" t="s">
        <v>47</v>
      </c>
      <c r="G1290" s="1">
        <f t="shared" si="100"/>
        <v>1</v>
      </c>
      <c r="H1290" s="1" t="s">
        <v>63</v>
      </c>
      <c r="I1290" s="1" t="s">
        <v>49</v>
      </c>
      <c r="J1290" s="23" t="s">
        <v>50</v>
      </c>
      <c r="K1290" s="2" t="s">
        <v>51</v>
      </c>
      <c r="L1290" s="1">
        <v>164</v>
      </c>
      <c r="M1290" s="1">
        <v>14</v>
      </c>
      <c r="N1290" s="1" t="str">
        <f t="shared" si="103"/>
        <v>Published</v>
      </c>
      <c r="O1290" s="1">
        <f t="shared" si="101"/>
        <v>22.96</v>
      </c>
      <c r="P1290" s="1">
        <v>18</v>
      </c>
      <c r="Q1290" s="1">
        <v>1020</v>
      </c>
      <c r="R1290" s="1" t="str">
        <f t="shared" si="104"/>
        <v>3</v>
      </c>
      <c r="S1290" s="1">
        <v>70</v>
      </c>
      <c r="T1290" s="1" t="str">
        <f t="shared" si="102"/>
        <v>2</v>
      </c>
      <c r="U1290" s="1">
        <v>-32.959966000000001</v>
      </c>
      <c r="V1290" s="3">
        <v>151.68002999999999</v>
      </c>
    </row>
    <row r="1291" spans="1:22" x14ac:dyDescent="0.35">
      <c r="A1291" s="22" t="s">
        <v>3864</v>
      </c>
      <c r="B1291" s="1" t="s">
        <v>3865</v>
      </c>
      <c r="C1291" s="1" t="s">
        <v>3866</v>
      </c>
      <c r="D1291" s="1" t="s">
        <v>180</v>
      </c>
      <c r="E1291" s="1" t="s">
        <v>181</v>
      </c>
      <c r="F1291" s="1" t="s">
        <v>47</v>
      </c>
      <c r="G1291" s="1">
        <f t="shared" si="100"/>
        <v>1</v>
      </c>
      <c r="H1291" s="1" t="s">
        <v>182</v>
      </c>
      <c r="I1291" s="1" t="s">
        <v>49</v>
      </c>
      <c r="J1291" s="23" t="s">
        <v>50</v>
      </c>
      <c r="K1291" s="2" t="s">
        <v>51</v>
      </c>
      <c r="L1291" s="1">
        <v>351</v>
      </c>
      <c r="M1291" s="1">
        <v>10</v>
      </c>
      <c r="N1291" s="1" t="str">
        <f t="shared" si="103"/>
        <v>Published</v>
      </c>
      <c r="O1291" s="1">
        <f t="shared" si="101"/>
        <v>35.1</v>
      </c>
      <c r="P1291" s="1">
        <v>81</v>
      </c>
      <c r="Q1291" s="1">
        <v>883</v>
      </c>
      <c r="R1291" s="1" t="str">
        <f t="shared" si="104"/>
        <v>1</v>
      </c>
      <c r="S1291" s="1">
        <v>183</v>
      </c>
      <c r="T1291" s="1" t="str">
        <f t="shared" si="102"/>
        <v>3</v>
      </c>
      <c r="U1291" s="1">
        <v>-33.915843000000002</v>
      </c>
      <c r="V1291" s="3">
        <v>150.891029</v>
      </c>
    </row>
    <row r="1292" spans="1:22" x14ac:dyDescent="0.35">
      <c r="A1292" s="22" t="s">
        <v>3867</v>
      </c>
      <c r="B1292" s="1" t="s">
        <v>3868</v>
      </c>
      <c r="C1292" s="1" t="s">
        <v>3869</v>
      </c>
      <c r="D1292" s="1" t="s">
        <v>186</v>
      </c>
      <c r="E1292" s="1" t="s">
        <v>187</v>
      </c>
      <c r="F1292" s="1" t="s">
        <v>47</v>
      </c>
      <c r="G1292" s="1">
        <f t="shared" si="100"/>
        <v>1</v>
      </c>
      <c r="H1292" s="1" t="s">
        <v>63</v>
      </c>
      <c r="I1292" s="1" t="s">
        <v>49</v>
      </c>
      <c r="J1292" s="23" t="s">
        <v>50</v>
      </c>
      <c r="K1292" s="2" t="s">
        <v>51</v>
      </c>
      <c r="L1292" s="1">
        <v>351</v>
      </c>
      <c r="M1292" s="1">
        <v>20</v>
      </c>
      <c r="N1292" s="1" t="str">
        <f t="shared" si="103"/>
        <v>Published</v>
      </c>
      <c r="O1292" s="1">
        <f t="shared" si="101"/>
        <v>70.2</v>
      </c>
      <c r="P1292" s="1">
        <v>6</v>
      </c>
      <c r="Q1292" s="1">
        <v>953</v>
      </c>
      <c r="R1292" s="1" t="str">
        <f t="shared" si="104"/>
        <v>2</v>
      </c>
      <c r="S1292" s="1">
        <v>113</v>
      </c>
      <c r="T1292" s="1" t="str">
        <f t="shared" si="102"/>
        <v>3</v>
      </c>
      <c r="U1292" s="1">
        <v>-33.135468000000003</v>
      </c>
      <c r="V1292" s="3">
        <v>151.58244400000001</v>
      </c>
    </row>
    <row r="1293" spans="1:22" x14ac:dyDescent="0.35">
      <c r="A1293" s="22" t="s">
        <v>3870</v>
      </c>
      <c r="B1293" s="1" t="s">
        <v>3871</v>
      </c>
      <c r="C1293" s="1" t="s">
        <v>3872</v>
      </c>
      <c r="D1293" s="1" t="s">
        <v>386</v>
      </c>
      <c r="E1293" s="1" t="s">
        <v>229</v>
      </c>
      <c r="F1293" s="1" t="s">
        <v>47</v>
      </c>
      <c r="G1293" s="1">
        <f t="shared" si="100"/>
        <v>1</v>
      </c>
      <c r="H1293" s="1" t="s">
        <v>48</v>
      </c>
      <c r="I1293" s="1" t="s">
        <v>49</v>
      </c>
      <c r="J1293" s="23" t="s">
        <v>50</v>
      </c>
      <c r="K1293" s="2" t="s">
        <v>51</v>
      </c>
      <c r="L1293" s="1">
        <v>313</v>
      </c>
      <c r="M1293" s="1"/>
      <c r="N1293" s="1" t="str">
        <f t="shared" si="103"/>
        <v>Suppressed</v>
      </c>
      <c r="O1293" s="1" t="str">
        <f t="shared" si="101"/>
        <v/>
      </c>
      <c r="P1293" s="1">
        <v>45</v>
      </c>
      <c r="Q1293" s="1">
        <v>1061</v>
      </c>
      <c r="R1293" s="1" t="str">
        <f t="shared" si="104"/>
        <v>3</v>
      </c>
      <c r="S1293" s="1">
        <v>48</v>
      </c>
      <c r="T1293" s="1" t="str">
        <f t="shared" si="102"/>
        <v>3</v>
      </c>
      <c r="U1293" s="1">
        <v>-33.972923000000002</v>
      </c>
      <c r="V1293" s="3">
        <v>151.05598599999999</v>
      </c>
    </row>
    <row r="1294" spans="1:22" x14ac:dyDescent="0.35">
      <c r="A1294" s="22" t="s">
        <v>3873</v>
      </c>
      <c r="B1294" s="1" t="s">
        <v>3874</v>
      </c>
      <c r="C1294" s="1" t="s">
        <v>3863</v>
      </c>
      <c r="D1294" s="1" t="s">
        <v>191</v>
      </c>
      <c r="E1294" s="1" t="s">
        <v>75</v>
      </c>
      <c r="F1294" s="1" t="s">
        <v>47</v>
      </c>
      <c r="G1294" s="1">
        <f t="shared" si="100"/>
        <v>1</v>
      </c>
      <c r="H1294" s="1" t="s">
        <v>63</v>
      </c>
      <c r="I1294" s="1" t="s">
        <v>49</v>
      </c>
      <c r="J1294" s="23" t="s">
        <v>50</v>
      </c>
      <c r="K1294" s="2" t="s">
        <v>51</v>
      </c>
      <c r="L1294" s="1">
        <v>235</v>
      </c>
      <c r="M1294" s="1">
        <v>9</v>
      </c>
      <c r="N1294" s="1" t="str">
        <f t="shared" si="103"/>
        <v>Published</v>
      </c>
      <c r="O1294" s="1">
        <f t="shared" si="101"/>
        <v>21.15</v>
      </c>
      <c r="P1294" s="1">
        <v>15</v>
      </c>
      <c r="Q1294" s="1">
        <v>1075</v>
      </c>
      <c r="R1294" s="1" t="str">
        <f t="shared" si="104"/>
        <v>3</v>
      </c>
      <c r="S1294" s="1">
        <v>54</v>
      </c>
      <c r="T1294" s="1" t="str">
        <f t="shared" si="102"/>
        <v>2</v>
      </c>
      <c r="U1294" s="1">
        <v>-32.967649999999999</v>
      </c>
      <c r="V1294" s="3">
        <v>151.68818099999999</v>
      </c>
    </row>
    <row r="1295" spans="1:22" x14ac:dyDescent="0.35">
      <c r="A1295" s="22" t="s">
        <v>3875</v>
      </c>
      <c r="B1295" s="1" t="s">
        <v>3876</v>
      </c>
      <c r="C1295" s="1" t="s">
        <v>837</v>
      </c>
      <c r="D1295" s="1" t="s">
        <v>837</v>
      </c>
      <c r="E1295" s="1" t="s">
        <v>838</v>
      </c>
      <c r="F1295" s="1" t="s">
        <v>47</v>
      </c>
      <c r="G1295" s="1">
        <f t="shared" si="100"/>
        <v>1</v>
      </c>
      <c r="H1295" s="1" t="s">
        <v>148</v>
      </c>
      <c r="I1295" s="1" t="s">
        <v>49</v>
      </c>
      <c r="J1295" s="23" t="s">
        <v>50</v>
      </c>
      <c r="K1295" s="2" t="s">
        <v>51</v>
      </c>
      <c r="L1295" s="1">
        <v>286</v>
      </c>
      <c r="M1295" s="1">
        <v>9</v>
      </c>
      <c r="N1295" s="1" t="str">
        <f t="shared" si="103"/>
        <v>Published</v>
      </c>
      <c r="O1295" s="1">
        <f t="shared" si="101"/>
        <v>25.74</v>
      </c>
      <c r="P1295" s="1">
        <v>66</v>
      </c>
      <c r="Q1295" s="1">
        <v>1010</v>
      </c>
      <c r="R1295" s="1" t="str">
        <f t="shared" si="104"/>
        <v>3</v>
      </c>
      <c r="S1295" s="1">
        <v>84</v>
      </c>
      <c r="T1295" s="1" t="str">
        <f t="shared" si="102"/>
        <v>2</v>
      </c>
      <c r="U1295" s="1">
        <v>-33.760128000000002</v>
      </c>
      <c r="V1295" s="3">
        <v>150.88523599999999</v>
      </c>
    </row>
    <row r="1296" spans="1:22" x14ac:dyDescent="0.35">
      <c r="A1296" s="22" t="s">
        <v>3877</v>
      </c>
      <c r="B1296" s="1" t="s">
        <v>3878</v>
      </c>
      <c r="C1296" s="1" t="s">
        <v>1927</v>
      </c>
      <c r="D1296" s="1" t="s">
        <v>169</v>
      </c>
      <c r="E1296" s="1" t="s">
        <v>170</v>
      </c>
      <c r="F1296" s="1" t="s">
        <v>47</v>
      </c>
      <c r="G1296" s="1">
        <f t="shared" si="100"/>
        <v>1</v>
      </c>
      <c r="H1296" s="1" t="s">
        <v>48</v>
      </c>
      <c r="I1296" s="1" t="s">
        <v>49</v>
      </c>
      <c r="J1296" s="23" t="s">
        <v>50</v>
      </c>
      <c r="K1296" s="2" t="s">
        <v>51</v>
      </c>
      <c r="L1296" s="1">
        <v>246</v>
      </c>
      <c r="M1296" s="1"/>
      <c r="N1296" s="1" t="str">
        <f t="shared" si="103"/>
        <v>Suppressed</v>
      </c>
      <c r="O1296" s="1" t="str">
        <f t="shared" si="101"/>
        <v/>
      </c>
      <c r="P1296" s="1">
        <v>67</v>
      </c>
      <c r="Q1296" s="1">
        <v>992</v>
      </c>
      <c r="R1296" s="1" t="str">
        <f t="shared" si="104"/>
        <v>2</v>
      </c>
      <c r="S1296" s="1">
        <v>116</v>
      </c>
      <c r="T1296" s="1" t="str">
        <f t="shared" si="102"/>
        <v>2</v>
      </c>
      <c r="U1296" s="1">
        <v>-33.836784000000002</v>
      </c>
      <c r="V1296" s="3">
        <v>150.960103</v>
      </c>
    </row>
    <row r="1297" spans="1:22" x14ac:dyDescent="0.35">
      <c r="A1297" s="22" t="s">
        <v>3879</v>
      </c>
      <c r="B1297" s="1" t="s">
        <v>3880</v>
      </c>
      <c r="C1297" s="1" t="s">
        <v>3881</v>
      </c>
      <c r="D1297" s="1" t="s">
        <v>186</v>
      </c>
      <c r="E1297" s="1" t="s">
        <v>187</v>
      </c>
      <c r="F1297" s="1" t="s">
        <v>47</v>
      </c>
      <c r="G1297" s="1">
        <f t="shared" si="100"/>
        <v>1</v>
      </c>
      <c r="H1297" s="1" t="s">
        <v>63</v>
      </c>
      <c r="I1297" s="1" t="s">
        <v>49</v>
      </c>
      <c r="J1297" s="23" t="s">
        <v>50</v>
      </c>
      <c r="K1297" s="2" t="s">
        <v>51</v>
      </c>
      <c r="L1297" s="1">
        <v>648</v>
      </c>
      <c r="M1297" s="1">
        <v>10</v>
      </c>
      <c r="N1297" s="1" t="str">
        <f t="shared" si="103"/>
        <v>Published</v>
      </c>
      <c r="O1297" s="1">
        <f t="shared" si="101"/>
        <v>64.8</v>
      </c>
      <c r="P1297" s="1">
        <v>13</v>
      </c>
      <c r="Q1297" s="1">
        <v>996</v>
      </c>
      <c r="R1297" s="1" t="str">
        <f t="shared" si="104"/>
        <v>2</v>
      </c>
      <c r="S1297" s="1">
        <v>106</v>
      </c>
      <c r="T1297" s="1" t="str">
        <f t="shared" si="102"/>
        <v>4</v>
      </c>
      <c r="U1297" s="1">
        <v>-33.503577</v>
      </c>
      <c r="V1297" s="3">
        <v>151.32142899999999</v>
      </c>
    </row>
    <row r="1298" spans="1:22" x14ac:dyDescent="0.35">
      <c r="A1298" s="22" t="s">
        <v>3882</v>
      </c>
      <c r="B1298" s="1" t="s">
        <v>3883</v>
      </c>
      <c r="C1298" s="1" t="s">
        <v>3834</v>
      </c>
      <c r="D1298" s="1" t="s">
        <v>1776</v>
      </c>
      <c r="E1298" s="1" t="s">
        <v>147</v>
      </c>
      <c r="F1298" s="1" t="s">
        <v>47</v>
      </c>
      <c r="G1298" s="1">
        <f t="shared" si="100"/>
        <v>1</v>
      </c>
      <c r="H1298" s="1" t="s">
        <v>148</v>
      </c>
      <c r="I1298" s="1" t="s">
        <v>49</v>
      </c>
      <c r="J1298" s="23" t="s">
        <v>50</v>
      </c>
      <c r="K1298" s="2" t="s">
        <v>51</v>
      </c>
      <c r="L1298" s="1">
        <v>465</v>
      </c>
      <c r="M1298" s="1">
        <v>0</v>
      </c>
      <c r="N1298" s="1" t="str">
        <f t="shared" si="103"/>
        <v>Published</v>
      </c>
      <c r="O1298" s="1">
        <f t="shared" si="101"/>
        <v>0</v>
      </c>
      <c r="P1298" s="1">
        <v>48</v>
      </c>
      <c r="Q1298" s="1">
        <v>1155</v>
      </c>
      <c r="R1298" s="1" t="str">
        <f t="shared" si="104"/>
        <v>4</v>
      </c>
      <c r="S1298" s="1">
        <v>3</v>
      </c>
      <c r="T1298" s="1" t="str">
        <f t="shared" si="102"/>
        <v>3</v>
      </c>
      <c r="U1298" s="1">
        <v>-33.738199000000002</v>
      </c>
      <c r="V1298" s="3">
        <v>151.16650000000001</v>
      </c>
    </row>
    <row r="1299" spans="1:22" x14ac:dyDescent="0.35">
      <c r="A1299" s="22" t="s">
        <v>3884</v>
      </c>
      <c r="B1299" s="1" t="s">
        <v>3885</v>
      </c>
      <c r="C1299" s="1" t="s">
        <v>3446</v>
      </c>
      <c r="D1299" s="1" t="s">
        <v>84</v>
      </c>
      <c r="E1299" s="1" t="s">
        <v>85</v>
      </c>
      <c r="F1299" s="1" t="s">
        <v>47</v>
      </c>
      <c r="G1299" s="1">
        <f t="shared" si="100"/>
        <v>1</v>
      </c>
      <c r="H1299" s="1" t="s">
        <v>86</v>
      </c>
      <c r="I1299" s="1" t="s">
        <v>49</v>
      </c>
      <c r="J1299" s="23" t="s">
        <v>50</v>
      </c>
      <c r="K1299" s="2" t="s">
        <v>51</v>
      </c>
      <c r="L1299" s="1">
        <v>167</v>
      </c>
      <c r="M1299" s="1">
        <v>29</v>
      </c>
      <c r="N1299" s="1" t="str">
        <f t="shared" si="103"/>
        <v>Published</v>
      </c>
      <c r="O1299" s="1">
        <f t="shared" si="101"/>
        <v>48.43</v>
      </c>
      <c r="P1299" s="1">
        <v>8</v>
      </c>
      <c r="Q1299" s="1">
        <v>872</v>
      </c>
      <c r="R1299" s="1" t="str">
        <f t="shared" si="104"/>
        <v>1</v>
      </c>
      <c r="S1299" s="1">
        <v>162</v>
      </c>
      <c r="T1299" s="1" t="str">
        <f t="shared" si="102"/>
        <v>2</v>
      </c>
      <c r="U1299" s="1">
        <v>-34.546621000000002</v>
      </c>
      <c r="V1299" s="3">
        <v>150.85283000000001</v>
      </c>
    </row>
    <row r="1300" spans="1:22" x14ac:dyDescent="0.35">
      <c r="A1300" s="22" t="s">
        <v>3886</v>
      </c>
      <c r="B1300" s="1" t="s">
        <v>3887</v>
      </c>
      <c r="C1300" s="1" t="s">
        <v>3888</v>
      </c>
      <c r="D1300" s="1" t="s">
        <v>180</v>
      </c>
      <c r="E1300" s="1" t="s">
        <v>181</v>
      </c>
      <c r="F1300" s="1" t="s">
        <v>47</v>
      </c>
      <c r="G1300" s="1">
        <f t="shared" si="100"/>
        <v>1</v>
      </c>
      <c r="H1300" s="1" t="s">
        <v>182</v>
      </c>
      <c r="I1300" s="1" t="s">
        <v>49</v>
      </c>
      <c r="J1300" s="23" t="s">
        <v>50</v>
      </c>
      <c r="K1300" s="2" t="s">
        <v>51</v>
      </c>
      <c r="L1300" s="1">
        <v>209</v>
      </c>
      <c r="M1300" s="1">
        <v>17</v>
      </c>
      <c r="N1300" s="1" t="str">
        <f t="shared" si="103"/>
        <v>Published</v>
      </c>
      <c r="O1300" s="1">
        <f t="shared" si="101"/>
        <v>35.53</v>
      </c>
      <c r="P1300" s="1">
        <v>65</v>
      </c>
      <c r="Q1300" s="1">
        <v>848</v>
      </c>
      <c r="R1300" s="1" t="str">
        <f t="shared" si="104"/>
        <v>1</v>
      </c>
      <c r="S1300" s="1">
        <v>197</v>
      </c>
      <c r="T1300" s="1" t="str">
        <f t="shared" si="102"/>
        <v>2</v>
      </c>
      <c r="U1300" s="1">
        <v>-33.908783999999997</v>
      </c>
      <c r="V1300" s="3">
        <v>150.89054300000001</v>
      </c>
    </row>
    <row r="1301" spans="1:22" x14ac:dyDescent="0.35">
      <c r="A1301" s="22" t="s">
        <v>3889</v>
      </c>
      <c r="B1301" s="1" t="s">
        <v>3890</v>
      </c>
      <c r="C1301" s="1" t="s">
        <v>3891</v>
      </c>
      <c r="D1301" s="1" t="s">
        <v>180</v>
      </c>
      <c r="E1301" s="1" t="s">
        <v>181</v>
      </c>
      <c r="F1301" s="1" t="s">
        <v>47</v>
      </c>
      <c r="G1301" s="1">
        <f t="shared" si="100"/>
        <v>1</v>
      </c>
      <c r="H1301" s="1" t="s">
        <v>182</v>
      </c>
      <c r="I1301" s="1" t="s">
        <v>49</v>
      </c>
      <c r="J1301" s="23" t="s">
        <v>50</v>
      </c>
      <c r="K1301" s="2" t="s">
        <v>51</v>
      </c>
      <c r="L1301" s="1">
        <v>243</v>
      </c>
      <c r="M1301" s="1">
        <v>16</v>
      </c>
      <c r="N1301" s="1" t="str">
        <f t="shared" si="103"/>
        <v>Published</v>
      </c>
      <c r="O1301" s="1">
        <f t="shared" si="101"/>
        <v>38.880000000000003</v>
      </c>
      <c r="P1301" s="1">
        <v>88</v>
      </c>
      <c r="Q1301" s="1">
        <v>892</v>
      </c>
      <c r="R1301" s="1" t="str">
        <f t="shared" si="104"/>
        <v>1</v>
      </c>
      <c r="S1301" s="1">
        <v>167</v>
      </c>
      <c r="T1301" s="1" t="str">
        <f t="shared" si="102"/>
        <v>2</v>
      </c>
      <c r="U1301" s="1">
        <v>-33.911560999999999</v>
      </c>
      <c r="V1301" s="3">
        <v>150.88131300000001</v>
      </c>
    </row>
    <row r="1302" spans="1:22" x14ac:dyDescent="0.35">
      <c r="A1302" s="22" t="s">
        <v>3892</v>
      </c>
      <c r="B1302" s="1" t="s">
        <v>3893</v>
      </c>
      <c r="C1302" s="1" t="s">
        <v>3894</v>
      </c>
      <c r="D1302" s="1" t="s">
        <v>180</v>
      </c>
      <c r="E1302" s="1" t="s">
        <v>181</v>
      </c>
      <c r="F1302" s="1" t="s">
        <v>47</v>
      </c>
      <c r="G1302" s="1">
        <f t="shared" si="100"/>
        <v>1</v>
      </c>
      <c r="H1302" s="1" t="s">
        <v>182</v>
      </c>
      <c r="I1302" s="1" t="s">
        <v>49</v>
      </c>
      <c r="J1302" s="23" t="s">
        <v>50</v>
      </c>
      <c r="K1302" s="2" t="s">
        <v>51</v>
      </c>
      <c r="L1302" s="1">
        <v>266</v>
      </c>
      <c r="M1302" s="1">
        <v>15</v>
      </c>
      <c r="N1302" s="1" t="str">
        <f t="shared" si="103"/>
        <v>Published</v>
      </c>
      <c r="O1302" s="1">
        <f t="shared" si="101"/>
        <v>39.9</v>
      </c>
      <c r="P1302" s="1">
        <v>67</v>
      </c>
      <c r="Q1302" s="1">
        <v>880</v>
      </c>
      <c r="R1302" s="1" t="str">
        <f t="shared" si="104"/>
        <v>1</v>
      </c>
      <c r="S1302" s="1">
        <v>174</v>
      </c>
      <c r="T1302" s="1" t="str">
        <f t="shared" si="102"/>
        <v>2</v>
      </c>
      <c r="U1302" s="1">
        <v>-33.921453999999997</v>
      </c>
      <c r="V1302" s="3">
        <v>150.876881</v>
      </c>
    </row>
    <row r="1303" spans="1:22" x14ac:dyDescent="0.35">
      <c r="A1303" s="22" t="s">
        <v>3895</v>
      </c>
      <c r="B1303" s="1" t="s">
        <v>3896</v>
      </c>
      <c r="C1303" s="1" t="s">
        <v>1667</v>
      </c>
      <c r="D1303" s="1" t="s">
        <v>1131</v>
      </c>
      <c r="E1303" s="1" t="s">
        <v>429</v>
      </c>
      <c r="F1303" s="1" t="s">
        <v>47</v>
      </c>
      <c r="G1303" s="1">
        <f t="shared" si="100"/>
        <v>1</v>
      </c>
      <c r="H1303" s="1" t="s">
        <v>182</v>
      </c>
      <c r="I1303" s="1" t="s">
        <v>49</v>
      </c>
      <c r="J1303" s="23" t="s">
        <v>50</v>
      </c>
      <c r="K1303" s="2" t="s">
        <v>51</v>
      </c>
      <c r="L1303" s="1">
        <v>304</v>
      </c>
      <c r="M1303" s="1">
        <v>18</v>
      </c>
      <c r="N1303" s="1" t="str">
        <f t="shared" si="103"/>
        <v>Published</v>
      </c>
      <c r="O1303" s="1">
        <f t="shared" si="101"/>
        <v>54.72</v>
      </c>
      <c r="P1303" s="1">
        <v>33</v>
      </c>
      <c r="Q1303" s="1">
        <v>956</v>
      </c>
      <c r="R1303" s="1" t="str">
        <f t="shared" si="104"/>
        <v>2</v>
      </c>
      <c r="S1303" s="1">
        <v>113</v>
      </c>
      <c r="T1303" s="1" t="str">
        <f t="shared" si="102"/>
        <v>3</v>
      </c>
      <c r="U1303" s="1">
        <v>-33.769286999999998</v>
      </c>
      <c r="V1303" s="3">
        <v>150.711849</v>
      </c>
    </row>
    <row r="1304" spans="1:22" x14ac:dyDescent="0.35">
      <c r="A1304" s="22" t="s">
        <v>3897</v>
      </c>
      <c r="B1304" s="1" t="s">
        <v>3898</v>
      </c>
      <c r="C1304" s="1" t="s">
        <v>3899</v>
      </c>
      <c r="D1304" s="1" t="s">
        <v>152</v>
      </c>
      <c r="E1304" s="1" t="s">
        <v>229</v>
      </c>
      <c r="F1304" s="1" t="s">
        <v>47</v>
      </c>
      <c r="G1304" s="1">
        <f t="shared" si="100"/>
        <v>1</v>
      </c>
      <c r="H1304" s="1" t="s">
        <v>182</v>
      </c>
      <c r="I1304" s="1" t="s">
        <v>49</v>
      </c>
      <c r="J1304" s="23" t="s">
        <v>50</v>
      </c>
      <c r="K1304" s="2" t="s">
        <v>51</v>
      </c>
      <c r="L1304" s="1">
        <v>360</v>
      </c>
      <c r="M1304" s="1">
        <v>2</v>
      </c>
      <c r="N1304" s="1" t="str">
        <f t="shared" si="103"/>
        <v>Published</v>
      </c>
      <c r="O1304" s="1">
        <f t="shared" si="101"/>
        <v>7.2</v>
      </c>
      <c r="P1304" s="1">
        <v>67</v>
      </c>
      <c r="Q1304" s="1">
        <v>1101</v>
      </c>
      <c r="R1304" s="1" t="str">
        <f t="shared" si="104"/>
        <v>4</v>
      </c>
      <c r="S1304" s="1">
        <v>38</v>
      </c>
      <c r="T1304" s="1" t="str">
        <f t="shared" si="102"/>
        <v>3</v>
      </c>
      <c r="U1304" s="1">
        <v>-33.969118999999999</v>
      </c>
      <c r="V1304" s="3">
        <v>151.010243</v>
      </c>
    </row>
    <row r="1305" spans="1:22" x14ac:dyDescent="0.35">
      <c r="A1305" s="22" t="s">
        <v>3900</v>
      </c>
      <c r="B1305" s="1" t="s">
        <v>3901</v>
      </c>
      <c r="C1305" s="1" t="s">
        <v>3902</v>
      </c>
      <c r="D1305" s="1" t="s">
        <v>180</v>
      </c>
      <c r="E1305" s="1" t="s">
        <v>181</v>
      </c>
      <c r="F1305" s="1" t="s">
        <v>47</v>
      </c>
      <c r="G1305" s="1">
        <f t="shared" si="100"/>
        <v>1</v>
      </c>
      <c r="H1305" s="1" t="s">
        <v>182</v>
      </c>
      <c r="I1305" s="1" t="s">
        <v>49</v>
      </c>
      <c r="J1305" s="23" t="s">
        <v>50</v>
      </c>
      <c r="K1305" s="2" t="s">
        <v>51</v>
      </c>
      <c r="L1305" s="1">
        <v>284</v>
      </c>
      <c r="M1305" s="1">
        <v>14</v>
      </c>
      <c r="N1305" s="1" t="str">
        <f t="shared" si="103"/>
        <v>Published</v>
      </c>
      <c r="O1305" s="1">
        <f t="shared" si="101"/>
        <v>39.760000000000005</v>
      </c>
      <c r="P1305" s="1">
        <v>71</v>
      </c>
      <c r="Q1305" s="1">
        <v>887</v>
      </c>
      <c r="R1305" s="1" t="str">
        <f t="shared" si="104"/>
        <v>1</v>
      </c>
      <c r="S1305" s="1">
        <v>173</v>
      </c>
      <c r="T1305" s="1" t="str">
        <f t="shared" si="102"/>
        <v>2</v>
      </c>
      <c r="U1305" s="1">
        <v>-33.916395000000001</v>
      </c>
      <c r="V1305" s="3">
        <v>150.89839000000001</v>
      </c>
    </row>
    <row r="1306" spans="1:22" x14ac:dyDescent="0.35">
      <c r="A1306" s="22" t="s">
        <v>3903</v>
      </c>
      <c r="B1306" s="1" t="s">
        <v>3904</v>
      </c>
      <c r="C1306" s="1" t="s">
        <v>1131</v>
      </c>
      <c r="D1306" s="1" t="s">
        <v>1131</v>
      </c>
      <c r="E1306" s="1" t="s">
        <v>429</v>
      </c>
      <c r="F1306" s="1" t="s">
        <v>47</v>
      </c>
      <c r="G1306" s="1">
        <f t="shared" si="100"/>
        <v>1</v>
      </c>
      <c r="H1306" s="1" t="s">
        <v>148</v>
      </c>
      <c r="I1306" s="1" t="s">
        <v>49</v>
      </c>
      <c r="J1306" s="23" t="s">
        <v>50</v>
      </c>
      <c r="K1306" s="2" t="s">
        <v>51</v>
      </c>
      <c r="L1306" s="1">
        <v>166</v>
      </c>
      <c r="M1306" s="1">
        <v>48</v>
      </c>
      <c r="N1306" s="1" t="str">
        <f t="shared" si="103"/>
        <v>Published</v>
      </c>
      <c r="O1306" s="1">
        <f t="shared" si="101"/>
        <v>79.679999999999993</v>
      </c>
      <c r="P1306" s="1">
        <v>13</v>
      </c>
      <c r="Q1306" s="1">
        <v>810</v>
      </c>
      <c r="R1306" s="1" t="str">
        <f t="shared" si="104"/>
        <v>1</v>
      </c>
      <c r="S1306" s="1">
        <v>177</v>
      </c>
      <c r="T1306" s="1" t="str">
        <f t="shared" si="102"/>
        <v>2</v>
      </c>
      <c r="U1306" s="1">
        <v>-33.741191000000001</v>
      </c>
      <c r="V1306" s="3">
        <v>150.711457</v>
      </c>
    </row>
    <row r="1307" spans="1:22" x14ac:dyDescent="0.35">
      <c r="A1307" s="22" t="s">
        <v>3905</v>
      </c>
      <c r="B1307" s="1" t="s">
        <v>3906</v>
      </c>
      <c r="C1307" s="1" t="s">
        <v>3907</v>
      </c>
      <c r="D1307" s="1" t="s">
        <v>1007</v>
      </c>
      <c r="E1307" s="1" t="s">
        <v>80</v>
      </c>
      <c r="F1307" s="1" t="s">
        <v>69</v>
      </c>
      <c r="G1307" s="1">
        <f t="shared" si="100"/>
        <v>3</v>
      </c>
      <c r="H1307" s="1" t="s">
        <v>70</v>
      </c>
      <c r="I1307" s="1" t="s">
        <v>132</v>
      </c>
      <c r="J1307" s="23" t="s">
        <v>50</v>
      </c>
      <c r="K1307" s="2" t="s">
        <v>51</v>
      </c>
      <c r="L1307" s="1">
        <v>142.80000000000001</v>
      </c>
      <c r="M1307" s="1">
        <v>18</v>
      </c>
      <c r="N1307" s="1" t="str">
        <f t="shared" si="103"/>
        <v>Published</v>
      </c>
      <c r="O1307" s="1">
        <f t="shared" si="101"/>
        <v>25.704000000000001</v>
      </c>
      <c r="P1307" s="1">
        <v>13</v>
      </c>
      <c r="Q1307" s="1">
        <v>931</v>
      </c>
      <c r="R1307" s="1" t="str">
        <f t="shared" si="104"/>
        <v>2</v>
      </c>
      <c r="S1307" s="1">
        <v>114</v>
      </c>
      <c r="T1307" s="1" t="str">
        <f t="shared" si="102"/>
        <v>2</v>
      </c>
      <c r="U1307" s="1">
        <v>-34.804177000000003</v>
      </c>
      <c r="V1307" s="3">
        <v>145.88440700000001</v>
      </c>
    </row>
    <row r="1308" spans="1:22" x14ac:dyDescent="0.35">
      <c r="A1308" s="22" t="s">
        <v>3908</v>
      </c>
      <c r="B1308" s="1" t="s">
        <v>3909</v>
      </c>
      <c r="C1308" s="1" t="s">
        <v>3910</v>
      </c>
      <c r="D1308" s="1" t="s">
        <v>428</v>
      </c>
      <c r="E1308" s="1" t="s">
        <v>429</v>
      </c>
      <c r="F1308" s="1" t="s">
        <v>47</v>
      </c>
      <c r="G1308" s="1">
        <f t="shared" si="100"/>
        <v>1</v>
      </c>
      <c r="H1308" s="1" t="s">
        <v>63</v>
      </c>
      <c r="I1308" s="1" t="s">
        <v>49</v>
      </c>
      <c r="J1308" s="23" t="s">
        <v>50</v>
      </c>
      <c r="K1308" s="2" t="s">
        <v>51</v>
      </c>
      <c r="L1308" s="1">
        <v>368</v>
      </c>
      <c r="M1308" s="1">
        <v>7</v>
      </c>
      <c r="N1308" s="1" t="str">
        <f t="shared" si="103"/>
        <v>Published</v>
      </c>
      <c r="O1308" s="1">
        <f t="shared" si="101"/>
        <v>25.76</v>
      </c>
      <c r="P1308" s="1">
        <v>7</v>
      </c>
      <c r="Q1308" s="1">
        <v>1063</v>
      </c>
      <c r="R1308" s="1" t="str">
        <f t="shared" si="104"/>
        <v>3</v>
      </c>
      <c r="S1308" s="1">
        <v>58</v>
      </c>
      <c r="T1308" s="1" t="str">
        <f t="shared" si="102"/>
        <v>3</v>
      </c>
      <c r="U1308" s="1">
        <v>-33.691021999999997</v>
      </c>
      <c r="V1308" s="3">
        <v>150.544693</v>
      </c>
    </row>
    <row r="1309" spans="1:22" x14ac:dyDescent="0.35">
      <c r="A1309" s="22" t="s">
        <v>3911</v>
      </c>
      <c r="B1309" s="1" t="s">
        <v>3912</v>
      </c>
      <c r="C1309" s="1" t="s">
        <v>3913</v>
      </c>
      <c r="D1309" s="1" t="s">
        <v>537</v>
      </c>
      <c r="E1309" s="1" t="s">
        <v>181</v>
      </c>
      <c r="F1309" s="1" t="s">
        <v>47</v>
      </c>
      <c r="G1309" s="1">
        <f t="shared" si="100"/>
        <v>1</v>
      </c>
      <c r="H1309" s="1" t="s">
        <v>182</v>
      </c>
      <c r="I1309" s="1" t="s">
        <v>49</v>
      </c>
      <c r="J1309" s="23" t="s">
        <v>50</v>
      </c>
      <c r="K1309" s="2" t="s">
        <v>51</v>
      </c>
      <c r="L1309" s="1">
        <v>300</v>
      </c>
      <c r="M1309" s="1">
        <v>4</v>
      </c>
      <c r="N1309" s="1" t="str">
        <f t="shared" si="103"/>
        <v>Published</v>
      </c>
      <c r="O1309" s="1">
        <f t="shared" si="101"/>
        <v>12</v>
      </c>
      <c r="P1309" s="1">
        <v>80</v>
      </c>
      <c r="Q1309" s="1">
        <v>900</v>
      </c>
      <c r="R1309" s="1" t="str">
        <f t="shared" si="104"/>
        <v>2</v>
      </c>
      <c r="S1309" s="1">
        <v>182</v>
      </c>
      <c r="T1309" s="1" t="str">
        <f t="shared" si="102"/>
        <v>3</v>
      </c>
      <c r="U1309" s="1">
        <v>-33.857607999999999</v>
      </c>
      <c r="V1309" s="3">
        <v>150.91788</v>
      </c>
    </row>
    <row r="1310" spans="1:22" x14ac:dyDescent="0.35">
      <c r="A1310" s="22" t="s">
        <v>3914</v>
      </c>
      <c r="B1310" s="1" t="s">
        <v>3915</v>
      </c>
      <c r="C1310" s="1" t="s">
        <v>3916</v>
      </c>
      <c r="D1310" s="1" t="s">
        <v>176</v>
      </c>
      <c r="E1310" s="1" t="s">
        <v>85</v>
      </c>
      <c r="F1310" s="1" t="s">
        <v>47</v>
      </c>
      <c r="G1310" s="1">
        <f t="shared" si="100"/>
        <v>1</v>
      </c>
      <c r="H1310" s="1" t="s">
        <v>86</v>
      </c>
      <c r="I1310" s="1" t="s">
        <v>49</v>
      </c>
      <c r="J1310" s="23" t="s">
        <v>50</v>
      </c>
      <c r="K1310" s="2" t="s">
        <v>51</v>
      </c>
      <c r="L1310" s="1">
        <v>241</v>
      </c>
      <c r="M1310" s="1"/>
      <c r="N1310" s="1" t="str">
        <f t="shared" si="103"/>
        <v>Suppressed</v>
      </c>
      <c r="O1310" s="1" t="str">
        <f t="shared" si="101"/>
        <v/>
      </c>
      <c r="P1310" s="1">
        <v>13</v>
      </c>
      <c r="Q1310" s="1">
        <v>1126</v>
      </c>
      <c r="R1310" s="1" t="str">
        <f t="shared" si="104"/>
        <v>4</v>
      </c>
      <c r="S1310" s="1">
        <v>23</v>
      </c>
      <c r="T1310" s="1" t="str">
        <f t="shared" si="102"/>
        <v>2</v>
      </c>
      <c r="U1310" s="1">
        <v>-34.396188000000002</v>
      </c>
      <c r="V1310" s="3">
        <v>150.873289</v>
      </c>
    </row>
    <row r="1311" spans="1:22" x14ac:dyDescent="0.35">
      <c r="A1311" s="22" t="s">
        <v>3917</v>
      </c>
      <c r="B1311" s="1" t="s">
        <v>3918</v>
      </c>
      <c r="C1311" s="1" t="s">
        <v>3919</v>
      </c>
      <c r="D1311" s="1" t="s">
        <v>203</v>
      </c>
      <c r="E1311" s="1" t="s">
        <v>204</v>
      </c>
      <c r="F1311" s="1" t="s">
        <v>47</v>
      </c>
      <c r="G1311" s="1">
        <f t="shared" si="100"/>
        <v>1</v>
      </c>
      <c r="H1311" s="1" t="s">
        <v>148</v>
      </c>
      <c r="I1311" s="1" t="s">
        <v>49</v>
      </c>
      <c r="J1311" s="23" t="s">
        <v>50</v>
      </c>
      <c r="K1311" s="2" t="s">
        <v>51</v>
      </c>
      <c r="L1311" s="1">
        <v>344</v>
      </c>
      <c r="M1311" s="1">
        <v>0</v>
      </c>
      <c r="N1311" s="1" t="str">
        <f t="shared" si="103"/>
        <v>Published</v>
      </c>
      <c r="O1311" s="1">
        <f t="shared" si="101"/>
        <v>0</v>
      </c>
      <c r="P1311" s="1">
        <v>11</v>
      </c>
      <c r="Q1311" s="1">
        <v>1121</v>
      </c>
      <c r="R1311" s="1" t="str">
        <f t="shared" si="104"/>
        <v>4</v>
      </c>
      <c r="S1311" s="1">
        <v>25</v>
      </c>
      <c r="T1311" s="1" t="str">
        <f t="shared" si="102"/>
        <v>3</v>
      </c>
      <c r="U1311" s="1">
        <v>-33.644021000000002</v>
      </c>
      <c r="V1311" s="3">
        <v>151.31340599999999</v>
      </c>
    </row>
    <row r="1312" spans="1:22" x14ac:dyDescent="0.35">
      <c r="A1312" s="22" t="s">
        <v>3920</v>
      </c>
      <c r="B1312" s="1" t="s">
        <v>3921</v>
      </c>
      <c r="C1312" s="1" t="s">
        <v>3922</v>
      </c>
      <c r="D1312" s="1" t="s">
        <v>180</v>
      </c>
      <c r="E1312" s="1" t="s">
        <v>181</v>
      </c>
      <c r="F1312" s="1" t="s">
        <v>47</v>
      </c>
      <c r="G1312" s="1">
        <f t="shared" si="100"/>
        <v>1</v>
      </c>
      <c r="H1312" s="1" t="s">
        <v>182</v>
      </c>
      <c r="I1312" s="1" t="s">
        <v>49</v>
      </c>
      <c r="J1312" s="23" t="s">
        <v>50</v>
      </c>
      <c r="K1312" s="2" t="s">
        <v>51</v>
      </c>
      <c r="L1312" s="1">
        <v>241</v>
      </c>
      <c r="M1312" s="1">
        <v>8</v>
      </c>
      <c r="N1312" s="1" t="str">
        <f t="shared" si="103"/>
        <v>Published</v>
      </c>
      <c r="O1312" s="1">
        <f t="shared" si="101"/>
        <v>19.28</v>
      </c>
      <c r="P1312" s="1">
        <v>77</v>
      </c>
      <c r="Q1312" s="1">
        <v>920</v>
      </c>
      <c r="R1312" s="1" t="str">
        <f t="shared" si="104"/>
        <v>2</v>
      </c>
      <c r="S1312" s="1">
        <v>174</v>
      </c>
      <c r="T1312" s="1" t="str">
        <f t="shared" si="102"/>
        <v>2</v>
      </c>
      <c r="U1312" s="1">
        <v>-33.925283999999998</v>
      </c>
      <c r="V1312" s="3">
        <v>150.89094299999999</v>
      </c>
    </row>
    <row r="1313" spans="1:22" x14ac:dyDescent="0.35">
      <c r="A1313" s="22" t="s">
        <v>3923</v>
      </c>
      <c r="B1313" s="1" t="s">
        <v>3924</v>
      </c>
      <c r="C1313" s="1" t="s">
        <v>2714</v>
      </c>
      <c r="D1313" s="1" t="s">
        <v>642</v>
      </c>
      <c r="E1313" s="1" t="s">
        <v>170</v>
      </c>
      <c r="F1313" s="1" t="s">
        <v>47</v>
      </c>
      <c r="G1313" s="1">
        <f t="shared" si="100"/>
        <v>1</v>
      </c>
      <c r="H1313" s="1" t="s">
        <v>48</v>
      </c>
      <c r="I1313" s="1" t="s">
        <v>49</v>
      </c>
      <c r="J1313" s="23" t="s">
        <v>50</v>
      </c>
      <c r="K1313" s="2" t="s">
        <v>51</v>
      </c>
      <c r="L1313" s="1">
        <v>268</v>
      </c>
      <c r="M1313" s="1">
        <v>5</v>
      </c>
      <c r="N1313" s="1" t="str">
        <f t="shared" si="103"/>
        <v>Published</v>
      </c>
      <c r="O1313" s="1">
        <f t="shared" si="101"/>
        <v>13.4</v>
      </c>
      <c r="P1313" s="1">
        <v>75</v>
      </c>
      <c r="Q1313" s="1">
        <v>1046</v>
      </c>
      <c r="R1313" s="1" t="str">
        <f t="shared" si="104"/>
        <v>3</v>
      </c>
      <c r="S1313" s="1">
        <v>58</v>
      </c>
      <c r="T1313" s="1" t="str">
        <f t="shared" si="102"/>
        <v>2</v>
      </c>
      <c r="U1313" s="1">
        <v>-33.792592999999997</v>
      </c>
      <c r="V1313" s="3">
        <v>150.95723799999999</v>
      </c>
    </row>
    <row r="1314" spans="1:22" x14ac:dyDescent="0.35">
      <c r="A1314" s="22" t="s">
        <v>3925</v>
      </c>
      <c r="B1314" s="1" t="s">
        <v>3926</v>
      </c>
      <c r="C1314" s="1" t="s">
        <v>126</v>
      </c>
      <c r="D1314" s="1" t="s">
        <v>126</v>
      </c>
      <c r="E1314" s="1" t="s">
        <v>147</v>
      </c>
      <c r="F1314" s="1" t="s">
        <v>47</v>
      </c>
      <c r="G1314" s="1">
        <f t="shared" si="100"/>
        <v>1</v>
      </c>
      <c r="H1314" s="1" t="s">
        <v>148</v>
      </c>
      <c r="I1314" s="1" t="s">
        <v>49</v>
      </c>
      <c r="J1314" s="23" t="s">
        <v>50</v>
      </c>
      <c r="K1314" s="2" t="s">
        <v>51</v>
      </c>
      <c r="L1314" s="1">
        <v>937</v>
      </c>
      <c r="M1314" s="1">
        <v>1</v>
      </c>
      <c r="N1314" s="1" t="str">
        <f t="shared" si="103"/>
        <v>Published</v>
      </c>
      <c r="O1314" s="1">
        <f t="shared" si="101"/>
        <v>9.370000000000001</v>
      </c>
      <c r="P1314" s="1">
        <v>81</v>
      </c>
      <c r="Q1314" s="1">
        <v>1148</v>
      </c>
      <c r="R1314" s="1" t="str">
        <f t="shared" si="104"/>
        <v>4</v>
      </c>
      <c r="S1314" s="1">
        <v>7</v>
      </c>
      <c r="T1314" s="1" t="str">
        <f t="shared" si="102"/>
        <v>4</v>
      </c>
      <c r="U1314" s="1">
        <v>-33.682645999999998</v>
      </c>
      <c r="V1314" s="3">
        <v>151.09886499999999</v>
      </c>
    </row>
    <row r="1315" spans="1:22" x14ac:dyDescent="0.35">
      <c r="A1315" s="22" t="s">
        <v>3927</v>
      </c>
      <c r="B1315" s="1" t="s">
        <v>3928</v>
      </c>
      <c r="C1315" s="1" t="s">
        <v>3929</v>
      </c>
      <c r="D1315" s="1" t="s">
        <v>642</v>
      </c>
      <c r="E1315" s="1" t="s">
        <v>170</v>
      </c>
      <c r="F1315" s="1" t="s">
        <v>47</v>
      </c>
      <c r="G1315" s="1">
        <f t="shared" si="100"/>
        <v>1</v>
      </c>
      <c r="H1315" s="1" t="s">
        <v>48</v>
      </c>
      <c r="I1315" s="1" t="s">
        <v>49</v>
      </c>
      <c r="J1315" s="23" t="s">
        <v>50</v>
      </c>
      <c r="K1315" s="2" t="s">
        <v>51</v>
      </c>
      <c r="L1315" s="1">
        <v>107</v>
      </c>
      <c r="M1315" s="1">
        <v>32</v>
      </c>
      <c r="N1315" s="1" t="str">
        <f t="shared" si="103"/>
        <v>Published</v>
      </c>
      <c r="O1315" s="1">
        <f t="shared" si="101"/>
        <v>34.24</v>
      </c>
      <c r="P1315" s="1">
        <v>54</v>
      </c>
      <c r="Q1315" s="1">
        <v>898</v>
      </c>
      <c r="R1315" s="1" t="str">
        <f t="shared" si="104"/>
        <v>1</v>
      </c>
      <c r="S1315" s="1">
        <v>140</v>
      </c>
      <c r="T1315" s="1" t="str">
        <f t="shared" si="102"/>
        <v>2</v>
      </c>
      <c r="U1315" s="1">
        <v>-33.797274000000002</v>
      </c>
      <c r="V1315" s="3">
        <v>150.98027400000001</v>
      </c>
    </row>
    <row r="1316" spans="1:22" x14ac:dyDescent="0.35">
      <c r="A1316" s="22" t="s">
        <v>3930</v>
      </c>
      <c r="B1316" s="1" t="s">
        <v>3931</v>
      </c>
      <c r="C1316" s="1" t="s">
        <v>3932</v>
      </c>
      <c r="D1316" s="1" t="s">
        <v>191</v>
      </c>
      <c r="E1316" s="1" t="s">
        <v>75</v>
      </c>
      <c r="F1316" s="1" t="s">
        <v>47</v>
      </c>
      <c r="G1316" s="1">
        <f t="shared" si="100"/>
        <v>1</v>
      </c>
      <c r="H1316" s="1" t="s">
        <v>63</v>
      </c>
      <c r="I1316" s="1" t="s">
        <v>49</v>
      </c>
      <c r="J1316" s="23" t="s">
        <v>50</v>
      </c>
      <c r="K1316" s="2" t="s">
        <v>51</v>
      </c>
      <c r="L1316" s="1">
        <v>349</v>
      </c>
      <c r="M1316" s="1">
        <v>11</v>
      </c>
      <c r="N1316" s="1" t="str">
        <f t="shared" si="103"/>
        <v>Published</v>
      </c>
      <c r="O1316" s="1">
        <f t="shared" si="101"/>
        <v>38.39</v>
      </c>
      <c r="P1316" s="1">
        <v>5</v>
      </c>
      <c r="Q1316" s="1">
        <v>1019</v>
      </c>
      <c r="R1316" s="1" t="str">
        <f t="shared" si="104"/>
        <v>3</v>
      </c>
      <c r="S1316" s="1">
        <v>79</v>
      </c>
      <c r="T1316" s="1" t="str">
        <f t="shared" si="102"/>
        <v>3</v>
      </c>
      <c r="U1316" s="1">
        <v>-33.103178</v>
      </c>
      <c r="V1316" s="3">
        <v>151.638184</v>
      </c>
    </row>
    <row r="1317" spans="1:22" x14ac:dyDescent="0.35">
      <c r="A1317" s="22" t="s">
        <v>3933</v>
      </c>
      <c r="B1317" s="1" t="s">
        <v>3934</v>
      </c>
      <c r="C1317" s="1" t="s">
        <v>3138</v>
      </c>
      <c r="D1317" s="1" t="s">
        <v>203</v>
      </c>
      <c r="E1317" s="1" t="s">
        <v>204</v>
      </c>
      <c r="F1317" s="1" t="s">
        <v>47</v>
      </c>
      <c r="G1317" s="1">
        <f t="shared" si="100"/>
        <v>1</v>
      </c>
      <c r="H1317" s="1" t="s">
        <v>148</v>
      </c>
      <c r="I1317" s="1" t="s">
        <v>49</v>
      </c>
      <c r="J1317" s="23" t="s">
        <v>50</v>
      </c>
      <c r="K1317" s="2" t="s">
        <v>51</v>
      </c>
      <c r="L1317" s="1">
        <v>407</v>
      </c>
      <c r="M1317" s="1">
        <v>0</v>
      </c>
      <c r="N1317" s="1" t="str">
        <f t="shared" si="103"/>
        <v>Published</v>
      </c>
      <c r="O1317" s="1">
        <f t="shared" si="101"/>
        <v>0</v>
      </c>
      <c r="P1317" s="1">
        <v>18</v>
      </c>
      <c r="Q1317" s="1">
        <v>1126</v>
      </c>
      <c r="R1317" s="1" t="str">
        <f t="shared" si="104"/>
        <v>4</v>
      </c>
      <c r="S1317" s="1">
        <v>30</v>
      </c>
      <c r="T1317" s="1" t="str">
        <f t="shared" si="102"/>
        <v>3</v>
      </c>
      <c r="U1317" s="1">
        <v>-33.738526999999998</v>
      </c>
      <c r="V1317" s="3">
        <v>151.21810099999999</v>
      </c>
    </row>
    <row r="1318" spans="1:22" x14ac:dyDescent="0.35">
      <c r="A1318" s="22" t="s">
        <v>3935</v>
      </c>
      <c r="B1318" s="1" t="s">
        <v>3936</v>
      </c>
      <c r="C1318" s="1" t="s">
        <v>3937</v>
      </c>
      <c r="D1318" s="1" t="s">
        <v>115</v>
      </c>
      <c r="E1318" s="1" t="s">
        <v>46</v>
      </c>
      <c r="F1318" s="1" t="s">
        <v>47</v>
      </c>
      <c r="G1318" s="1">
        <f t="shared" si="100"/>
        <v>1</v>
      </c>
      <c r="H1318" s="1" t="s">
        <v>48</v>
      </c>
      <c r="I1318" s="1" t="s">
        <v>49</v>
      </c>
      <c r="J1318" s="23" t="s">
        <v>50</v>
      </c>
      <c r="K1318" s="2" t="s">
        <v>51</v>
      </c>
      <c r="L1318" s="1">
        <v>198</v>
      </c>
      <c r="M1318" s="1">
        <v>4</v>
      </c>
      <c r="N1318" s="1" t="str">
        <f t="shared" si="103"/>
        <v>Published</v>
      </c>
      <c r="O1318" s="1">
        <f t="shared" si="101"/>
        <v>7.92</v>
      </c>
      <c r="P1318" s="1">
        <v>37</v>
      </c>
      <c r="Q1318" s="1">
        <v>1121</v>
      </c>
      <c r="R1318" s="1" t="str">
        <f t="shared" si="104"/>
        <v>4</v>
      </c>
      <c r="S1318" s="1">
        <v>24</v>
      </c>
      <c r="T1318" s="1" t="str">
        <f t="shared" si="102"/>
        <v>2</v>
      </c>
      <c r="U1318" s="1">
        <v>-33.897745999999998</v>
      </c>
      <c r="V1318" s="3">
        <v>151.14607599999999</v>
      </c>
    </row>
    <row r="1319" spans="1:22" x14ac:dyDescent="0.35">
      <c r="A1319" s="22" t="s">
        <v>3938</v>
      </c>
      <c r="B1319" s="1" t="s">
        <v>3939</v>
      </c>
      <c r="C1319" s="1" t="s">
        <v>73</v>
      </c>
      <c r="D1319" s="1" t="s">
        <v>74</v>
      </c>
      <c r="E1319" s="1" t="s">
        <v>75</v>
      </c>
      <c r="F1319" s="1" t="s">
        <v>47</v>
      </c>
      <c r="G1319" s="1">
        <f t="shared" si="100"/>
        <v>1</v>
      </c>
      <c r="H1319" s="1" t="s">
        <v>63</v>
      </c>
      <c r="I1319" s="1" t="s">
        <v>49</v>
      </c>
      <c r="J1319" s="23" t="s">
        <v>50</v>
      </c>
      <c r="K1319" s="2" t="s">
        <v>51</v>
      </c>
      <c r="L1319" s="1">
        <v>409</v>
      </c>
      <c r="M1319" s="1">
        <v>8</v>
      </c>
      <c r="N1319" s="1" t="str">
        <f t="shared" si="103"/>
        <v>Published</v>
      </c>
      <c r="O1319" s="1">
        <f t="shared" si="101"/>
        <v>32.72</v>
      </c>
      <c r="P1319" s="1">
        <v>14</v>
      </c>
      <c r="Q1319" s="1">
        <v>1103</v>
      </c>
      <c r="R1319" s="1" t="str">
        <f t="shared" si="104"/>
        <v>4</v>
      </c>
      <c r="S1319" s="1">
        <v>29</v>
      </c>
      <c r="T1319" s="1" t="str">
        <f t="shared" si="102"/>
        <v>3</v>
      </c>
      <c r="U1319" s="1">
        <v>-32.946196999999998</v>
      </c>
      <c r="V1319" s="3">
        <v>151.71176600000001</v>
      </c>
    </row>
    <row r="1320" spans="1:22" x14ac:dyDescent="0.35">
      <c r="A1320" s="22" t="s">
        <v>3940</v>
      </c>
      <c r="B1320" s="1" t="s">
        <v>3941</v>
      </c>
      <c r="C1320" s="1" t="s">
        <v>2371</v>
      </c>
      <c r="D1320" s="1" t="s">
        <v>558</v>
      </c>
      <c r="E1320" s="1" t="s">
        <v>68</v>
      </c>
      <c r="F1320" s="1" t="s">
        <v>47</v>
      </c>
      <c r="G1320" s="1">
        <f t="shared" si="100"/>
        <v>1</v>
      </c>
      <c r="H1320" s="1" t="s">
        <v>70</v>
      </c>
      <c r="I1320" s="1" t="s">
        <v>49</v>
      </c>
      <c r="J1320" s="23" t="s">
        <v>50</v>
      </c>
      <c r="K1320" s="2" t="s">
        <v>51</v>
      </c>
      <c r="L1320" s="1">
        <v>280</v>
      </c>
      <c r="M1320" s="1">
        <v>8</v>
      </c>
      <c r="N1320" s="1" t="str">
        <f t="shared" si="103"/>
        <v>Published</v>
      </c>
      <c r="O1320" s="1">
        <f t="shared" si="101"/>
        <v>22.400000000000002</v>
      </c>
      <c r="P1320" s="1">
        <v>35</v>
      </c>
      <c r="Q1320" s="1">
        <v>1031</v>
      </c>
      <c r="R1320" s="1" t="str">
        <f t="shared" si="104"/>
        <v>3</v>
      </c>
      <c r="S1320" s="1">
        <v>74</v>
      </c>
      <c r="T1320" s="1" t="str">
        <f t="shared" si="102"/>
        <v>2</v>
      </c>
      <c r="U1320" s="1">
        <v>-35.345419999999997</v>
      </c>
      <c r="V1320" s="3">
        <v>149.24612999999999</v>
      </c>
    </row>
    <row r="1321" spans="1:22" x14ac:dyDescent="0.35">
      <c r="A1321" s="22" t="s">
        <v>3942</v>
      </c>
      <c r="B1321" s="1" t="s">
        <v>3943</v>
      </c>
      <c r="C1321" s="1" t="s">
        <v>2395</v>
      </c>
      <c r="D1321" s="1" t="s">
        <v>111</v>
      </c>
      <c r="E1321" s="1" t="s">
        <v>56</v>
      </c>
      <c r="F1321" s="1" t="s">
        <v>47</v>
      </c>
      <c r="G1321" s="1">
        <f t="shared" si="100"/>
        <v>1</v>
      </c>
      <c r="H1321" s="1" t="s">
        <v>63</v>
      </c>
      <c r="I1321" s="1" t="s">
        <v>49</v>
      </c>
      <c r="J1321" s="23" t="s">
        <v>50</v>
      </c>
      <c r="K1321" s="2" t="s">
        <v>51</v>
      </c>
      <c r="L1321" s="1">
        <v>304</v>
      </c>
      <c r="M1321" s="1">
        <v>37</v>
      </c>
      <c r="N1321" s="1" t="str">
        <f t="shared" si="103"/>
        <v>Published</v>
      </c>
      <c r="O1321" s="1">
        <f t="shared" si="101"/>
        <v>112.48</v>
      </c>
      <c r="P1321" s="1">
        <v>7</v>
      </c>
      <c r="Q1321" s="1">
        <v>863</v>
      </c>
      <c r="R1321" s="1" t="str">
        <f t="shared" si="104"/>
        <v>1</v>
      </c>
      <c r="S1321" s="1">
        <v>162</v>
      </c>
      <c r="T1321" s="1" t="str">
        <f t="shared" si="102"/>
        <v>3</v>
      </c>
      <c r="U1321" s="1">
        <v>-32.758623999999998</v>
      </c>
      <c r="V1321" s="3">
        <v>151.756776</v>
      </c>
    </row>
    <row r="1322" spans="1:22" x14ac:dyDescent="0.35">
      <c r="A1322" s="22" t="s">
        <v>3944</v>
      </c>
      <c r="B1322" s="1" t="s">
        <v>3945</v>
      </c>
      <c r="C1322" s="1" t="s">
        <v>3946</v>
      </c>
      <c r="D1322" s="1" t="s">
        <v>79</v>
      </c>
      <c r="E1322" s="1" t="s">
        <v>80</v>
      </c>
      <c r="F1322" s="1" t="s">
        <v>69</v>
      </c>
      <c r="G1322" s="1">
        <f t="shared" si="100"/>
        <v>3</v>
      </c>
      <c r="H1322" s="1" t="s">
        <v>70</v>
      </c>
      <c r="I1322" s="1" t="s">
        <v>49</v>
      </c>
      <c r="J1322" s="23" t="s">
        <v>50</v>
      </c>
      <c r="K1322" s="2" t="s">
        <v>51</v>
      </c>
      <c r="L1322" s="1">
        <v>5</v>
      </c>
      <c r="M1322" s="1"/>
      <c r="N1322" s="1" t="str">
        <f t="shared" si="103"/>
        <v>Suppressed</v>
      </c>
      <c r="O1322" s="1" t="str">
        <f t="shared" si="101"/>
        <v/>
      </c>
      <c r="P1322" s="1"/>
      <c r="Q1322" s="1"/>
      <c r="R1322" s="1" t="str">
        <f t="shared" si="104"/>
        <v>No ICSEA</v>
      </c>
      <c r="S1322" s="1">
        <v>174</v>
      </c>
      <c r="T1322" s="1" t="str">
        <f t="shared" si="102"/>
        <v>1</v>
      </c>
      <c r="U1322" s="1">
        <v>-35.580022999999997</v>
      </c>
      <c r="V1322" s="3">
        <v>148.300454</v>
      </c>
    </row>
    <row r="1323" spans="1:22" x14ac:dyDescent="0.35">
      <c r="A1323" s="22" t="s">
        <v>3947</v>
      </c>
      <c r="B1323" s="1" t="s">
        <v>3948</v>
      </c>
      <c r="C1323" s="1" t="s">
        <v>713</v>
      </c>
      <c r="D1323" s="1" t="s">
        <v>713</v>
      </c>
      <c r="E1323" s="1" t="s">
        <v>80</v>
      </c>
      <c r="F1323" s="1" t="s">
        <v>57</v>
      </c>
      <c r="G1323" s="1">
        <f t="shared" si="100"/>
        <v>2</v>
      </c>
      <c r="H1323" s="1" t="s">
        <v>70</v>
      </c>
      <c r="I1323" s="1" t="s">
        <v>49</v>
      </c>
      <c r="J1323" s="23" t="s">
        <v>50</v>
      </c>
      <c r="K1323" s="2" t="s">
        <v>51</v>
      </c>
      <c r="L1323" s="1">
        <v>300</v>
      </c>
      <c r="M1323" s="1">
        <v>59</v>
      </c>
      <c r="N1323" s="1" t="str">
        <f t="shared" si="103"/>
        <v>Published</v>
      </c>
      <c r="O1323" s="1">
        <f t="shared" si="101"/>
        <v>177</v>
      </c>
      <c r="P1323" s="1">
        <v>12</v>
      </c>
      <c r="Q1323" s="1">
        <v>766</v>
      </c>
      <c r="R1323" s="1" t="str">
        <f t="shared" si="104"/>
        <v>1</v>
      </c>
      <c r="S1323" s="1">
        <v>195</v>
      </c>
      <c r="T1323" s="1" t="str">
        <f t="shared" si="102"/>
        <v>3</v>
      </c>
      <c r="U1323" s="1">
        <v>-35.124467000000003</v>
      </c>
      <c r="V1323" s="3">
        <v>147.33281500000001</v>
      </c>
    </row>
    <row r="1324" spans="1:22" x14ac:dyDescent="0.35">
      <c r="A1324" s="22" t="s">
        <v>3949</v>
      </c>
      <c r="B1324" s="1" t="s">
        <v>3950</v>
      </c>
      <c r="C1324" s="1" t="s">
        <v>3951</v>
      </c>
      <c r="D1324" s="1" t="s">
        <v>761</v>
      </c>
      <c r="E1324" s="1" t="s">
        <v>127</v>
      </c>
      <c r="F1324" s="1" t="s">
        <v>47</v>
      </c>
      <c r="G1324" s="1">
        <f t="shared" si="100"/>
        <v>1</v>
      </c>
      <c r="H1324" s="1" t="s">
        <v>148</v>
      </c>
      <c r="I1324" s="1" t="s">
        <v>49</v>
      </c>
      <c r="J1324" s="23" t="s">
        <v>50</v>
      </c>
      <c r="K1324" s="2" t="s">
        <v>51</v>
      </c>
      <c r="L1324" s="1">
        <v>876</v>
      </c>
      <c r="M1324" s="1"/>
      <c r="N1324" s="1" t="str">
        <f t="shared" si="103"/>
        <v>Suppressed</v>
      </c>
      <c r="O1324" s="1" t="str">
        <f t="shared" si="101"/>
        <v/>
      </c>
      <c r="P1324" s="1">
        <v>68</v>
      </c>
      <c r="Q1324" s="1">
        <v>1130</v>
      </c>
      <c r="R1324" s="1" t="str">
        <f t="shared" si="104"/>
        <v>4</v>
      </c>
      <c r="S1324" s="1">
        <v>15</v>
      </c>
      <c r="T1324" s="1" t="str">
        <f t="shared" si="102"/>
        <v>4</v>
      </c>
      <c r="U1324" s="1">
        <v>-33.751927000000002</v>
      </c>
      <c r="V1324" s="3">
        <v>150.99995699999999</v>
      </c>
    </row>
    <row r="1325" spans="1:22" x14ac:dyDescent="0.35">
      <c r="A1325" s="22" t="s">
        <v>3952</v>
      </c>
      <c r="B1325" s="1" t="s">
        <v>3953</v>
      </c>
      <c r="C1325" s="1" t="s">
        <v>3954</v>
      </c>
      <c r="D1325" s="1" t="s">
        <v>837</v>
      </c>
      <c r="E1325" s="1" t="s">
        <v>838</v>
      </c>
      <c r="F1325" s="1" t="s">
        <v>47</v>
      </c>
      <c r="G1325" s="1">
        <f t="shared" si="100"/>
        <v>1</v>
      </c>
      <c r="H1325" s="1" t="s">
        <v>148</v>
      </c>
      <c r="I1325" s="1" t="s">
        <v>49</v>
      </c>
      <c r="J1325" s="23" t="s">
        <v>50</v>
      </c>
      <c r="K1325" s="2" t="s">
        <v>51</v>
      </c>
      <c r="L1325" s="1">
        <v>340</v>
      </c>
      <c r="M1325" s="1">
        <v>38</v>
      </c>
      <c r="N1325" s="1" t="str">
        <f t="shared" si="103"/>
        <v>Published</v>
      </c>
      <c r="O1325" s="1">
        <f t="shared" si="101"/>
        <v>129.19999999999999</v>
      </c>
      <c r="P1325" s="1">
        <v>40</v>
      </c>
      <c r="Q1325" s="1">
        <v>870</v>
      </c>
      <c r="R1325" s="1" t="str">
        <f t="shared" si="104"/>
        <v>1</v>
      </c>
      <c r="S1325" s="1">
        <v>162</v>
      </c>
      <c r="T1325" s="1" t="str">
        <f t="shared" si="102"/>
        <v>3</v>
      </c>
      <c r="U1325" s="1">
        <v>-33.752916999999997</v>
      </c>
      <c r="V1325" s="3">
        <v>150.809664</v>
      </c>
    </row>
    <row r="1326" spans="1:22" x14ac:dyDescent="0.35">
      <c r="A1326" s="22" t="s">
        <v>3955</v>
      </c>
      <c r="B1326" s="1" t="s">
        <v>3956</v>
      </c>
      <c r="C1326" s="1" t="s">
        <v>3957</v>
      </c>
      <c r="D1326" s="1" t="s">
        <v>191</v>
      </c>
      <c r="E1326" s="1" t="s">
        <v>75</v>
      </c>
      <c r="F1326" s="1" t="s">
        <v>47</v>
      </c>
      <c r="G1326" s="1">
        <f t="shared" si="100"/>
        <v>1</v>
      </c>
      <c r="H1326" s="1" t="s">
        <v>63</v>
      </c>
      <c r="I1326" s="1" t="s">
        <v>49</v>
      </c>
      <c r="J1326" s="23" t="s">
        <v>50</v>
      </c>
      <c r="K1326" s="2" t="s">
        <v>51</v>
      </c>
      <c r="L1326" s="1">
        <v>488</v>
      </c>
      <c r="M1326" s="1">
        <v>12</v>
      </c>
      <c r="N1326" s="1" t="str">
        <f t="shared" si="103"/>
        <v>Published</v>
      </c>
      <c r="O1326" s="1">
        <f t="shared" si="101"/>
        <v>58.559999999999995</v>
      </c>
      <c r="P1326" s="1">
        <v>7</v>
      </c>
      <c r="Q1326" s="1">
        <v>1026</v>
      </c>
      <c r="R1326" s="1" t="str">
        <f t="shared" si="104"/>
        <v>3</v>
      </c>
      <c r="S1326" s="1">
        <v>81</v>
      </c>
      <c r="T1326" s="1" t="str">
        <f t="shared" si="102"/>
        <v>3</v>
      </c>
      <c r="U1326" s="1">
        <v>-33.014211000000003</v>
      </c>
      <c r="V1326" s="3">
        <v>151.66383500000001</v>
      </c>
    </row>
    <row r="1327" spans="1:22" x14ac:dyDescent="0.35">
      <c r="A1327" s="22" t="s">
        <v>3958</v>
      </c>
      <c r="B1327" s="1" t="s">
        <v>3959</v>
      </c>
      <c r="C1327" s="1" t="s">
        <v>3960</v>
      </c>
      <c r="D1327" s="1" t="s">
        <v>703</v>
      </c>
      <c r="E1327" s="1" t="s">
        <v>261</v>
      </c>
      <c r="F1327" s="1" t="s">
        <v>57</v>
      </c>
      <c r="G1327" s="1">
        <f t="shared" si="100"/>
        <v>2</v>
      </c>
      <c r="H1327" s="1" t="s">
        <v>70</v>
      </c>
      <c r="I1327" s="1" t="s">
        <v>49</v>
      </c>
      <c r="J1327" s="23" t="s">
        <v>50</v>
      </c>
      <c r="K1327" s="2" t="s">
        <v>51</v>
      </c>
      <c r="L1327" s="1">
        <v>566</v>
      </c>
      <c r="M1327" s="1">
        <v>16</v>
      </c>
      <c r="N1327" s="1" t="str">
        <f t="shared" si="103"/>
        <v>Published</v>
      </c>
      <c r="O1327" s="1">
        <f t="shared" si="101"/>
        <v>90.56</v>
      </c>
      <c r="P1327" s="1">
        <v>8</v>
      </c>
      <c r="Q1327" s="1">
        <v>964</v>
      </c>
      <c r="R1327" s="1" t="str">
        <f t="shared" si="104"/>
        <v>2</v>
      </c>
      <c r="S1327" s="1">
        <v>104</v>
      </c>
      <c r="T1327" s="1" t="str">
        <f t="shared" si="102"/>
        <v>3</v>
      </c>
      <c r="U1327" s="1">
        <v>-33.286946999999998</v>
      </c>
      <c r="V1327" s="3">
        <v>149.07935800000001</v>
      </c>
    </row>
    <row r="1328" spans="1:22" x14ac:dyDescent="0.35">
      <c r="A1328" s="22" t="s">
        <v>3961</v>
      </c>
      <c r="B1328" s="1" t="s">
        <v>3962</v>
      </c>
      <c r="C1328" s="1" t="s">
        <v>837</v>
      </c>
      <c r="D1328" s="1" t="s">
        <v>837</v>
      </c>
      <c r="E1328" s="1" t="s">
        <v>838</v>
      </c>
      <c r="F1328" s="1" t="s">
        <v>47</v>
      </c>
      <c r="G1328" s="1">
        <f t="shared" si="100"/>
        <v>1</v>
      </c>
      <c r="H1328" s="1" t="s">
        <v>182</v>
      </c>
      <c r="I1328" s="1" t="s">
        <v>49</v>
      </c>
      <c r="J1328" s="23" t="s">
        <v>50</v>
      </c>
      <c r="K1328" s="2" t="s">
        <v>51</v>
      </c>
      <c r="L1328" s="1">
        <v>435</v>
      </c>
      <c r="M1328" s="1">
        <v>2</v>
      </c>
      <c r="N1328" s="1" t="str">
        <f t="shared" si="103"/>
        <v>Published</v>
      </c>
      <c r="O1328" s="1">
        <f t="shared" si="101"/>
        <v>8.7000000000000011</v>
      </c>
      <c r="P1328" s="1">
        <v>58</v>
      </c>
      <c r="Q1328" s="1">
        <v>1001</v>
      </c>
      <c r="R1328" s="1" t="str">
        <f t="shared" si="104"/>
        <v>3</v>
      </c>
      <c r="S1328" s="1">
        <v>100</v>
      </c>
      <c r="T1328" s="1" t="str">
        <f t="shared" si="102"/>
        <v>3</v>
      </c>
      <c r="U1328" s="1">
        <v>-33.789161</v>
      </c>
      <c r="V1328" s="3">
        <v>150.91786300000001</v>
      </c>
    </row>
    <row r="1329" spans="1:22" x14ac:dyDescent="0.35">
      <c r="A1329" s="22" t="s">
        <v>3963</v>
      </c>
      <c r="B1329" s="1" t="s">
        <v>3964</v>
      </c>
      <c r="C1329" s="1" t="s">
        <v>3951</v>
      </c>
      <c r="D1329" s="1" t="s">
        <v>761</v>
      </c>
      <c r="E1329" s="1" t="s">
        <v>127</v>
      </c>
      <c r="F1329" s="1" t="s">
        <v>47</v>
      </c>
      <c r="G1329" s="1">
        <f t="shared" si="100"/>
        <v>1</v>
      </c>
      <c r="H1329" s="1" t="s">
        <v>148</v>
      </c>
      <c r="I1329" s="1" t="s">
        <v>49</v>
      </c>
      <c r="J1329" s="23" t="s">
        <v>50</v>
      </c>
      <c r="K1329" s="2" t="s">
        <v>51</v>
      </c>
      <c r="L1329" s="1">
        <v>803</v>
      </c>
      <c r="M1329" s="1"/>
      <c r="N1329" s="1" t="str">
        <f t="shared" si="103"/>
        <v>Suppressed</v>
      </c>
      <c r="O1329" s="1" t="str">
        <f t="shared" si="101"/>
        <v/>
      </c>
      <c r="P1329" s="1">
        <v>73</v>
      </c>
      <c r="Q1329" s="1">
        <v>1132</v>
      </c>
      <c r="R1329" s="1" t="str">
        <f t="shared" si="104"/>
        <v>4</v>
      </c>
      <c r="S1329" s="1">
        <v>15</v>
      </c>
      <c r="T1329" s="1" t="str">
        <f t="shared" si="102"/>
        <v>4</v>
      </c>
      <c r="U1329" s="1">
        <v>-33.761316000000001</v>
      </c>
      <c r="V1329" s="3">
        <v>150.982269</v>
      </c>
    </row>
    <row r="1330" spans="1:22" x14ac:dyDescent="0.35">
      <c r="A1330" s="22" t="s">
        <v>3965</v>
      </c>
      <c r="B1330" s="1" t="s">
        <v>3966</v>
      </c>
      <c r="C1330" s="1" t="s">
        <v>909</v>
      </c>
      <c r="D1330" s="1" t="s">
        <v>506</v>
      </c>
      <c r="E1330" s="1" t="s">
        <v>80</v>
      </c>
      <c r="F1330" s="1" t="s">
        <v>57</v>
      </c>
      <c r="G1330" s="1">
        <f t="shared" si="100"/>
        <v>2</v>
      </c>
      <c r="H1330" s="1" t="s">
        <v>70</v>
      </c>
      <c r="I1330" s="1" t="s">
        <v>49</v>
      </c>
      <c r="J1330" s="23" t="s">
        <v>50</v>
      </c>
      <c r="K1330" s="2" t="s">
        <v>51</v>
      </c>
      <c r="L1330" s="1">
        <v>74</v>
      </c>
      <c r="M1330" s="1">
        <v>36</v>
      </c>
      <c r="N1330" s="1" t="str">
        <f t="shared" si="103"/>
        <v>Published</v>
      </c>
      <c r="O1330" s="1">
        <f t="shared" si="101"/>
        <v>26.64</v>
      </c>
      <c r="P1330" s="1"/>
      <c r="Q1330" s="1">
        <v>840</v>
      </c>
      <c r="R1330" s="1" t="str">
        <f t="shared" si="104"/>
        <v>1</v>
      </c>
      <c r="S1330" s="1">
        <v>176</v>
      </c>
      <c r="T1330" s="1" t="str">
        <f t="shared" si="102"/>
        <v>1</v>
      </c>
      <c r="U1330" s="1">
        <v>-34.641820000000003</v>
      </c>
      <c r="V1330" s="3">
        <v>148.01487800000001</v>
      </c>
    </row>
    <row r="1331" spans="1:22" x14ac:dyDescent="0.35">
      <c r="A1331" s="22" t="s">
        <v>3967</v>
      </c>
      <c r="B1331" s="1" t="s">
        <v>3968</v>
      </c>
      <c r="C1331" s="1" t="s">
        <v>3969</v>
      </c>
      <c r="D1331" s="1" t="s">
        <v>203</v>
      </c>
      <c r="E1331" s="1" t="s">
        <v>204</v>
      </c>
      <c r="F1331" s="1" t="s">
        <v>47</v>
      </c>
      <c r="G1331" s="1">
        <f t="shared" si="100"/>
        <v>1</v>
      </c>
      <c r="H1331" s="1" t="s">
        <v>148</v>
      </c>
      <c r="I1331" s="1" t="s">
        <v>49</v>
      </c>
      <c r="J1331" s="23" t="s">
        <v>50</v>
      </c>
      <c r="K1331" s="2" t="s">
        <v>51</v>
      </c>
      <c r="L1331" s="1">
        <v>661</v>
      </c>
      <c r="M1331" s="1"/>
      <c r="N1331" s="1" t="str">
        <f t="shared" si="103"/>
        <v>Suppressed</v>
      </c>
      <c r="O1331" s="1" t="str">
        <f t="shared" si="101"/>
        <v/>
      </c>
      <c r="P1331" s="1">
        <v>69</v>
      </c>
      <c r="Q1331" s="1">
        <v>1150</v>
      </c>
      <c r="R1331" s="1" t="str">
        <f t="shared" si="104"/>
        <v>4</v>
      </c>
      <c r="S1331" s="1">
        <v>3</v>
      </c>
      <c r="T1331" s="1" t="str">
        <f t="shared" si="102"/>
        <v>4</v>
      </c>
      <c r="U1331" s="1">
        <v>-33.774942000000003</v>
      </c>
      <c r="V1331" s="3">
        <v>151.216151</v>
      </c>
    </row>
    <row r="1332" spans="1:22" x14ac:dyDescent="0.35">
      <c r="A1332" s="22" t="s">
        <v>3970</v>
      </c>
      <c r="B1332" s="1" t="s">
        <v>3971</v>
      </c>
      <c r="C1332" s="1" t="s">
        <v>3972</v>
      </c>
      <c r="D1332" s="1" t="s">
        <v>737</v>
      </c>
      <c r="E1332" s="1" t="s">
        <v>738</v>
      </c>
      <c r="F1332" s="1" t="s">
        <v>47</v>
      </c>
      <c r="G1332" s="1">
        <f t="shared" si="100"/>
        <v>1</v>
      </c>
      <c r="H1332" s="1" t="s">
        <v>182</v>
      </c>
      <c r="I1332" s="1" t="s">
        <v>49</v>
      </c>
      <c r="J1332" s="23" t="s">
        <v>50</v>
      </c>
      <c r="K1332" s="2" t="s">
        <v>51</v>
      </c>
      <c r="L1332" s="1">
        <v>362</v>
      </c>
      <c r="M1332" s="1">
        <v>2</v>
      </c>
      <c r="N1332" s="1" t="str">
        <f t="shared" si="103"/>
        <v>Published</v>
      </c>
      <c r="O1332" s="1">
        <f t="shared" si="101"/>
        <v>7.24</v>
      </c>
      <c r="P1332" s="1">
        <v>20</v>
      </c>
      <c r="Q1332" s="1">
        <v>1075</v>
      </c>
      <c r="R1332" s="1" t="str">
        <f t="shared" si="104"/>
        <v>3</v>
      </c>
      <c r="S1332" s="1">
        <v>53</v>
      </c>
      <c r="T1332" s="1" t="str">
        <f t="shared" si="102"/>
        <v>3</v>
      </c>
      <c r="U1332" s="1">
        <v>-34.026457000000001</v>
      </c>
      <c r="V1332" s="3">
        <v>151.08832100000001</v>
      </c>
    </row>
    <row r="1333" spans="1:22" x14ac:dyDescent="0.35">
      <c r="A1333" s="22" t="s">
        <v>3973</v>
      </c>
      <c r="B1333" s="1" t="s">
        <v>3974</v>
      </c>
      <c r="C1333" s="1" t="s">
        <v>671</v>
      </c>
      <c r="D1333" s="1" t="s">
        <v>537</v>
      </c>
      <c r="E1333" s="1" t="s">
        <v>181</v>
      </c>
      <c r="F1333" s="1" t="s">
        <v>47</v>
      </c>
      <c r="G1333" s="1">
        <f t="shared" si="100"/>
        <v>1</v>
      </c>
      <c r="H1333" s="1" t="s">
        <v>182</v>
      </c>
      <c r="I1333" s="1" t="s">
        <v>49</v>
      </c>
      <c r="J1333" s="23" t="s">
        <v>50</v>
      </c>
      <c r="K1333" s="2" t="s">
        <v>51</v>
      </c>
      <c r="L1333" s="1">
        <v>117</v>
      </c>
      <c r="M1333" s="1">
        <v>0</v>
      </c>
      <c r="N1333" s="1" t="str">
        <f t="shared" si="103"/>
        <v>Published</v>
      </c>
      <c r="O1333" s="1">
        <f t="shared" si="101"/>
        <v>0</v>
      </c>
      <c r="P1333" s="1">
        <v>92</v>
      </c>
      <c r="Q1333" s="1">
        <v>969</v>
      </c>
      <c r="R1333" s="1" t="str">
        <f t="shared" si="104"/>
        <v>2</v>
      </c>
      <c r="S1333" s="1">
        <v>138</v>
      </c>
      <c r="T1333" s="1" t="str">
        <f t="shared" si="102"/>
        <v>2</v>
      </c>
      <c r="U1333" s="1">
        <v>-33.897993</v>
      </c>
      <c r="V1333" s="3">
        <v>150.96410900000001</v>
      </c>
    </row>
    <row r="1334" spans="1:22" x14ac:dyDescent="0.35">
      <c r="A1334" s="22" t="s">
        <v>3975</v>
      </c>
      <c r="B1334" s="1" t="s">
        <v>3976</v>
      </c>
      <c r="C1334" s="1" t="s">
        <v>3977</v>
      </c>
      <c r="D1334" s="1" t="s">
        <v>642</v>
      </c>
      <c r="E1334" s="1" t="s">
        <v>170</v>
      </c>
      <c r="F1334" s="1" t="s">
        <v>47</v>
      </c>
      <c r="G1334" s="1">
        <f t="shared" si="100"/>
        <v>1</v>
      </c>
      <c r="H1334" s="1" t="s">
        <v>148</v>
      </c>
      <c r="I1334" s="1" t="s">
        <v>49</v>
      </c>
      <c r="J1334" s="23" t="s">
        <v>50</v>
      </c>
      <c r="K1334" s="2" t="s">
        <v>51</v>
      </c>
      <c r="L1334" s="1">
        <v>1636</v>
      </c>
      <c r="M1334" s="1"/>
      <c r="N1334" s="1" t="str">
        <f t="shared" si="103"/>
        <v>Suppressed</v>
      </c>
      <c r="O1334" s="1" t="str">
        <f t="shared" si="101"/>
        <v/>
      </c>
      <c r="P1334" s="1">
        <v>96</v>
      </c>
      <c r="Q1334" s="1">
        <v>1119</v>
      </c>
      <c r="R1334" s="1" t="str">
        <f t="shared" si="104"/>
        <v>4</v>
      </c>
      <c r="S1334" s="1">
        <v>18</v>
      </c>
      <c r="T1334" s="1" t="str">
        <f t="shared" si="102"/>
        <v>5</v>
      </c>
      <c r="U1334" s="1">
        <v>-33.78237</v>
      </c>
      <c r="V1334" s="3">
        <v>151.03717</v>
      </c>
    </row>
    <row r="1335" spans="1:22" x14ac:dyDescent="0.35">
      <c r="A1335" s="22" t="s">
        <v>3978</v>
      </c>
      <c r="B1335" s="1" t="s">
        <v>3979</v>
      </c>
      <c r="C1335" s="1" t="s">
        <v>2371</v>
      </c>
      <c r="D1335" s="1" t="s">
        <v>558</v>
      </c>
      <c r="E1335" s="1" t="s">
        <v>68</v>
      </c>
      <c r="F1335" s="1" t="s">
        <v>47</v>
      </c>
      <c r="G1335" s="1">
        <f t="shared" si="100"/>
        <v>1</v>
      </c>
      <c r="H1335" s="1" t="s">
        <v>70</v>
      </c>
      <c r="I1335" s="1" t="s">
        <v>49</v>
      </c>
      <c r="J1335" s="23" t="s">
        <v>50</v>
      </c>
      <c r="K1335" s="2" t="s">
        <v>51</v>
      </c>
      <c r="L1335" s="1">
        <v>419</v>
      </c>
      <c r="M1335" s="1">
        <v>26</v>
      </c>
      <c r="N1335" s="1" t="str">
        <f t="shared" si="103"/>
        <v>Published</v>
      </c>
      <c r="O1335" s="1">
        <f t="shared" si="101"/>
        <v>108.94</v>
      </c>
      <c r="P1335" s="1">
        <v>22</v>
      </c>
      <c r="Q1335" s="1">
        <v>939</v>
      </c>
      <c r="R1335" s="1" t="str">
        <f t="shared" si="104"/>
        <v>2</v>
      </c>
      <c r="S1335" s="1">
        <v>128</v>
      </c>
      <c r="T1335" s="1" t="str">
        <f t="shared" si="102"/>
        <v>3</v>
      </c>
      <c r="U1335" s="1">
        <v>-35.365541</v>
      </c>
      <c r="V1335" s="3">
        <v>149.22819200000001</v>
      </c>
    </row>
    <row r="1336" spans="1:22" x14ac:dyDescent="0.35">
      <c r="A1336" s="22" t="s">
        <v>3980</v>
      </c>
      <c r="B1336" s="1" t="s">
        <v>3981</v>
      </c>
      <c r="C1336" s="1" t="s">
        <v>3446</v>
      </c>
      <c r="D1336" s="1" t="s">
        <v>84</v>
      </c>
      <c r="E1336" s="1" t="s">
        <v>85</v>
      </c>
      <c r="F1336" s="1" t="s">
        <v>47</v>
      </c>
      <c r="G1336" s="1">
        <f t="shared" si="100"/>
        <v>1</v>
      </c>
      <c r="H1336" s="1" t="s">
        <v>86</v>
      </c>
      <c r="I1336" s="1" t="s">
        <v>49</v>
      </c>
      <c r="J1336" s="23" t="s">
        <v>50</v>
      </c>
      <c r="K1336" s="2" t="s">
        <v>51</v>
      </c>
      <c r="L1336" s="1">
        <v>185</v>
      </c>
      <c r="M1336" s="1">
        <v>28</v>
      </c>
      <c r="N1336" s="1" t="str">
        <f t="shared" si="103"/>
        <v>Published</v>
      </c>
      <c r="O1336" s="1">
        <f t="shared" si="101"/>
        <v>51.800000000000004</v>
      </c>
      <c r="P1336" s="1">
        <v>8</v>
      </c>
      <c r="Q1336" s="1">
        <v>885</v>
      </c>
      <c r="R1336" s="1" t="str">
        <f t="shared" si="104"/>
        <v>1</v>
      </c>
      <c r="S1336" s="1">
        <v>163</v>
      </c>
      <c r="T1336" s="1" t="str">
        <f t="shared" si="102"/>
        <v>2</v>
      </c>
      <c r="U1336" s="1">
        <v>-34.553787999999997</v>
      </c>
      <c r="V1336" s="3">
        <v>150.84460999999999</v>
      </c>
    </row>
    <row r="1337" spans="1:22" x14ac:dyDescent="0.35">
      <c r="A1337" s="22" t="s">
        <v>3982</v>
      </c>
      <c r="B1337" s="1" t="s">
        <v>3983</v>
      </c>
      <c r="C1337" s="1" t="s">
        <v>1372</v>
      </c>
      <c r="D1337" s="1" t="s">
        <v>180</v>
      </c>
      <c r="E1337" s="1" t="s">
        <v>181</v>
      </c>
      <c r="F1337" s="1" t="s">
        <v>47</v>
      </c>
      <c r="G1337" s="1">
        <f t="shared" si="100"/>
        <v>1</v>
      </c>
      <c r="H1337" s="1" t="s">
        <v>182</v>
      </c>
      <c r="I1337" s="1" t="s">
        <v>49</v>
      </c>
      <c r="J1337" s="23" t="s">
        <v>50</v>
      </c>
      <c r="K1337" s="2" t="s">
        <v>51</v>
      </c>
      <c r="L1337" s="1">
        <v>304</v>
      </c>
      <c r="M1337" s="1">
        <v>8</v>
      </c>
      <c r="N1337" s="1" t="str">
        <f t="shared" si="103"/>
        <v>Published</v>
      </c>
      <c r="O1337" s="1">
        <f t="shared" si="101"/>
        <v>24.32</v>
      </c>
      <c r="P1337" s="1">
        <v>75</v>
      </c>
      <c r="Q1337" s="1">
        <v>895</v>
      </c>
      <c r="R1337" s="1" t="str">
        <f t="shared" si="104"/>
        <v>1</v>
      </c>
      <c r="S1337" s="1">
        <v>162</v>
      </c>
      <c r="T1337" s="1" t="str">
        <f t="shared" si="102"/>
        <v>3</v>
      </c>
      <c r="U1337" s="1">
        <v>-33.906098999999998</v>
      </c>
      <c r="V1337" s="3">
        <v>150.87445</v>
      </c>
    </row>
    <row r="1338" spans="1:22" x14ac:dyDescent="0.35">
      <c r="A1338" s="22" t="s">
        <v>3984</v>
      </c>
      <c r="B1338" s="1" t="s">
        <v>3985</v>
      </c>
      <c r="C1338" s="1" t="s">
        <v>3986</v>
      </c>
      <c r="D1338" s="1" t="s">
        <v>186</v>
      </c>
      <c r="E1338" s="1" t="s">
        <v>187</v>
      </c>
      <c r="F1338" s="1" t="s">
        <v>47</v>
      </c>
      <c r="G1338" s="1">
        <f t="shared" si="100"/>
        <v>1</v>
      </c>
      <c r="H1338" s="1" t="s">
        <v>63</v>
      </c>
      <c r="I1338" s="1" t="s">
        <v>49</v>
      </c>
      <c r="J1338" s="23" t="s">
        <v>50</v>
      </c>
      <c r="K1338" s="2" t="s">
        <v>51</v>
      </c>
      <c r="L1338" s="1">
        <v>302</v>
      </c>
      <c r="M1338" s="1">
        <v>21</v>
      </c>
      <c r="N1338" s="1" t="str">
        <f t="shared" si="103"/>
        <v>Published</v>
      </c>
      <c r="O1338" s="1">
        <f t="shared" si="101"/>
        <v>63.419999999999995</v>
      </c>
      <c r="P1338" s="1">
        <v>20</v>
      </c>
      <c r="Q1338" s="1">
        <v>940</v>
      </c>
      <c r="R1338" s="1" t="str">
        <f t="shared" si="104"/>
        <v>2</v>
      </c>
      <c r="S1338" s="1">
        <v>129</v>
      </c>
      <c r="T1338" s="1" t="str">
        <f t="shared" si="102"/>
        <v>3</v>
      </c>
      <c r="U1338" s="1">
        <v>-33.408202000000003</v>
      </c>
      <c r="V1338" s="3">
        <v>151.355782</v>
      </c>
    </row>
    <row r="1339" spans="1:22" x14ac:dyDescent="0.35">
      <c r="A1339" s="22" t="s">
        <v>3987</v>
      </c>
      <c r="B1339" s="1" t="s">
        <v>3988</v>
      </c>
      <c r="C1339" s="1" t="s">
        <v>3989</v>
      </c>
      <c r="D1339" s="1" t="s">
        <v>186</v>
      </c>
      <c r="E1339" s="1" t="s">
        <v>187</v>
      </c>
      <c r="F1339" s="1" t="s">
        <v>47</v>
      </c>
      <c r="G1339" s="1">
        <f t="shared" si="100"/>
        <v>1</v>
      </c>
      <c r="H1339" s="1" t="s">
        <v>63</v>
      </c>
      <c r="I1339" s="1" t="s">
        <v>49</v>
      </c>
      <c r="J1339" s="23" t="s">
        <v>50</v>
      </c>
      <c r="K1339" s="2" t="s">
        <v>51</v>
      </c>
      <c r="L1339" s="1">
        <v>125</v>
      </c>
      <c r="M1339" s="1">
        <v>20</v>
      </c>
      <c r="N1339" s="1" t="str">
        <f t="shared" si="103"/>
        <v>Published</v>
      </c>
      <c r="O1339" s="1">
        <f t="shared" si="101"/>
        <v>25</v>
      </c>
      <c r="P1339" s="1">
        <v>27</v>
      </c>
      <c r="Q1339" s="1">
        <v>935</v>
      </c>
      <c r="R1339" s="1" t="str">
        <f t="shared" si="104"/>
        <v>2</v>
      </c>
      <c r="S1339" s="1">
        <v>130</v>
      </c>
      <c r="T1339" s="1" t="str">
        <f t="shared" si="102"/>
        <v>2</v>
      </c>
      <c r="U1339" s="1">
        <v>-33.429910999999997</v>
      </c>
      <c r="V1339" s="3">
        <v>151.36926700000001</v>
      </c>
    </row>
    <row r="1340" spans="1:22" x14ac:dyDescent="0.35">
      <c r="A1340" s="22" t="s">
        <v>3990</v>
      </c>
      <c r="B1340" s="1" t="s">
        <v>3991</v>
      </c>
      <c r="C1340" s="1" t="s">
        <v>3992</v>
      </c>
      <c r="D1340" s="1" t="s">
        <v>176</v>
      </c>
      <c r="E1340" s="1" t="s">
        <v>85</v>
      </c>
      <c r="F1340" s="1" t="s">
        <v>47</v>
      </c>
      <c r="G1340" s="1">
        <f t="shared" si="100"/>
        <v>1</v>
      </c>
      <c r="H1340" s="1" t="s">
        <v>86</v>
      </c>
      <c r="I1340" s="1" t="s">
        <v>49</v>
      </c>
      <c r="J1340" s="23" t="s">
        <v>50</v>
      </c>
      <c r="K1340" s="2" t="s">
        <v>51</v>
      </c>
      <c r="L1340" s="1">
        <v>601</v>
      </c>
      <c r="M1340" s="1">
        <v>13</v>
      </c>
      <c r="N1340" s="1" t="str">
        <f t="shared" si="103"/>
        <v>Published</v>
      </c>
      <c r="O1340" s="1">
        <f t="shared" si="101"/>
        <v>78.13000000000001</v>
      </c>
      <c r="P1340" s="1">
        <v>10</v>
      </c>
      <c r="Q1340" s="1">
        <v>972</v>
      </c>
      <c r="R1340" s="1" t="str">
        <f t="shared" si="104"/>
        <v>2</v>
      </c>
      <c r="S1340" s="1">
        <v>109</v>
      </c>
      <c r="T1340" s="1" t="str">
        <f t="shared" si="102"/>
        <v>4</v>
      </c>
      <c r="U1340" s="1">
        <v>-34.491584000000003</v>
      </c>
      <c r="V1340" s="3">
        <v>150.81632099999999</v>
      </c>
    </row>
    <row r="1341" spans="1:22" x14ac:dyDescent="0.35">
      <c r="A1341" s="22" t="s">
        <v>3993</v>
      </c>
      <c r="B1341" s="1" t="s">
        <v>3994</v>
      </c>
      <c r="C1341" s="1" t="s">
        <v>3834</v>
      </c>
      <c r="D1341" s="1" t="s">
        <v>1776</v>
      </c>
      <c r="E1341" s="1" t="s">
        <v>147</v>
      </c>
      <c r="F1341" s="1" t="s">
        <v>47</v>
      </c>
      <c r="G1341" s="1">
        <f t="shared" si="100"/>
        <v>1</v>
      </c>
      <c r="H1341" s="1" t="s">
        <v>148</v>
      </c>
      <c r="I1341" s="1" t="s">
        <v>49</v>
      </c>
      <c r="J1341" s="23" t="s">
        <v>50</v>
      </c>
      <c r="K1341" s="2" t="s">
        <v>51</v>
      </c>
      <c r="L1341" s="1">
        <v>143</v>
      </c>
      <c r="M1341" s="1"/>
      <c r="N1341" s="1" t="str">
        <f t="shared" si="103"/>
        <v>Suppressed</v>
      </c>
      <c r="O1341" s="1" t="str">
        <f t="shared" si="101"/>
        <v/>
      </c>
      <c r="P1341" s="1">
        <v>56</v>
      </c>
      <c r="Q1341" s="1">
        <v>1113</v>
      </c>
      <c r="R1341" s="1" t="str">
        <f t="shared" si="104"/>
        <v>4</v>
      </c>
      <c r="S1341" s="1">
        <v>19</v>
      </c>
      <c r="T1341" s="1" t="str">
        <f t="shared" si="102"/>
        <v>2</v>
      </c>
      <c r="U1341" s="1">
        <v>-33.724082000000003</v>
      </c>
      <c r="V1341" s="3">
        <v>151.178775</v>
      </c>
    </row>
    <row r="1342" spans="1:22" x14ac:dyDescent="0.35">
      <c r="A1342" s="22" t="s">
        <v>3995</v>
      </c>
      <c r="B1342" s="1" t="s">
        <v>3996</v>
      </c>
      <c r="C1342" s="1" t="s">
        <v>3977</v>
      </c>
      <c r="D1342" s="1" t="s">
        <v>642</v>
      </c>
      <c r="E1342" s="1" t="s">
        <v>170</v>
      </c>
      <c r="F1342" s="1" t="s">
        <v>47</v>
      </c>
      <c r="G1342" s="1">
        <f t="shared" si="100"/>
        <v>1</v>
      </c>
      <c r="H1342" s="1" t="s">
        <v>148</v>
      </c>
      <c r="I1342" s="1" t="s">
        <v>49</v>
      </c>
      <c r="J1342" s="23" t="s">
        <v>50</v>
      </c>
      <c r="K1342" s="2" t="s">
        <v>51</v>
      </c>
      <c r="L1342" s="1">
        <v>787</v>
      </c>
      <c r="M1342" s="1"/>
      <c r="N1342" s="1" t="str">
        <f t="shared" si="103"/>
        <v>Suppressed</v>
      </c>
      <c r="O1342" s="1" t="str">
        <f t="shared" si="101"/>
        <v/>
      </c>
      <c r="P1342" s="1">
        <v>86</v>
      </c>
      <c r="Q1342" s="1">
        <v>1142</v>
      </c>
      <c r="R1342" s="1" t="str">
        <f t="shared" si="104"/>
        <v>4</v>
      </c>
      <c r="S1342" s="1">
        <v>12</v>
      </c>
      <c r="T1342" s="1" t="str">
        <f t="shared" si="102"/>
        <v>4</v>
      </c>
      <c r="U1342" s="1">
        <v>-33.766119000000003</v>
      </c>
      <c r="V1342" s="3">
        <v>151.04017300000001</v>
      </c>
    </row>
    <row r="1343" spans="1:22" x14ac:dyDescent="0.35">
      <c r="A1343" s="22" t="s">
        <v>3997</v>
      </c>
      <c r="B1343" s="1" t="s">
        <v>3998</v>
      </c>
      <c r="C1343" s="1" t="s">
        <v>3999</v>
      </c>
      <c r="D1343" s="1" t="s">
        <v>837</v>
      </c>
      <c r="E1343" s="1" t="s">
        <v>838</v>
      </c>
      <c r="F1343" s="1" t="s">
        <v>47</v>
      </c>
      <c r="G1343" s="1">
        <f t="shared" si="100"/>
        <v>1</v>
      </c>
      <c r="H1343" s="1" t="s">
        <v>148</v>
      </c>
      <c r="I1343" s="1" t="s">
        <v>49</v>
      </c>
      <c r="J1343" s="23" t="s">
        <v>50</v>
      </c>
      <c r="K1343" s="2" t="s">
        <v>51</v>
      </c>
      <c r="L1343" s="1">
        <v>325</v>
      </c>
      <c r="M1343" s="1">
        <v>39</v>
      </c>
      <c r="N1343" s="1" t="str">
        <f t="shared" si="103"/>
        <v>Published</v>
      </c>
      <c r="O1343" s="1">
        <f t="shared" si="101"/>
        <v>126.75</v>
      </c>
      <c r="P1343" s="1">
        <v>25</v>
      </c>
      <c r="Q1343" s="1">
        <v>817</v>
      </c>
      <c r="R1343" s="1" t="str">
        <f t="shared" si="104"/>
        <v>1</v>
      </c>
      <c r="S1343" s="1">
        <v>204</v>
      </c>
      <c r="T1343" s="1" t="str">
        <f t="shared" si="102"/>
        <v>3</v>
      </c>
      <c r="U1343" s="1">
        <v>-33.745882999999999</v>
      </c>
      <c r="V1343" s="3">
        <v>150.794321</v>
      </c>
    </row>
    <row r="1344" spans="1:22" x14ac:dyDescent="0.35">
      <c r="A1344" s="22" t="s">
        <v>4000</v>
      </c>
      <c r="B1344" s="1" t="s">
        <v>4001</v>
      </c>
      <c r="C1344" s="1" t="s">
        <v>4002</v>
      </c>
      <c r="D1344" s="1" t="s">
        <v>689</v>
      </c>
      <c r="E1344" s="1" t="s">
        <v>122</v>
      </c>
      <c r="F1344" s="1" t="s">
        <v>47</v>
      </c>
      <c r="G1344" s="1">
        <f t="shared" si="100"/>
        <v>1</v>
      </c>
      <c r="H1344" s="1" t="s">
        <v>86</v>
      </c>
      <c r="I1344" s="1" t="s">
        <v>49</v>
      </c>
      <c r="J1344" s="23" t="s">
        <v>50</v>
      </c>
      <c r="K1344" s="2" t="s">
        <v>51</v>
      </c>
      <c r="L1344" s="1">
        <v>704</v>
      </c>
      <c r="M1344" s="1">
        <v>12</v>
      </c>
      <c r="N1344" s="1" t="str">
        <f t="shared" si="103"/>
        <v>Published</v>
      </c>
      <c r="O1344" s="1">
        <f t="shared" si="101"/>
        <v>84.47999999999999</v>
      </c>
      <c r="P1344" s="1">
        <v>47</v>
      </c>
      <c r="Q1344" s="1">
        <v>987</v>
      </c>
      <c r="R1344" s="1" t="str">
        <f t="shared" si="104"/>
        <v>2</v>
      </c>
      <c r="S1344" s="1">
        <v>108</v>
      </c>
      <c r="T1344" s="1" t="str">
        <f t="shared" si="102"/>
        <v>4</v>
      </c>
      <c r="U1344" s="1">
        <v>-34.085997999999996</v>
      </c>
      <c r="V1344" s="3">
        <v>150.81269</v>
      </c>
    </row>
    <row r="1345" spans="1:22" x14ac:dyDescent="0.35">
      <c r="A1345" s="22" t="s">
        <v>4003</v>
      </c>
      <c r="B1345" s="1" t="s">
        <v>4004</v>
      </c>
      <c r="C1345" s="1" t="s">
        <v>465</v>
      </c>
      <c r="D1345" s="1" t="s">
        <v>465</v>
      </c>
      <c r="E1345" s="1" t="s">
        <v>281</v>
      </c>
      <c r="F1345" s="1" t="s">
        <v>57</v>
      </c>
      <c r="G1345" s="1">
        <f t="shared" si="100"/>
        <v>2</v>
      </c>
      <c r="H1345" s="1" t="s">
        <v>58</v>
      </c>
      <c r="I1345" s="1" t="s">
        <v>49</v>
      </c>
      <c r="J1345" s="23" t="s">
        <v>50</v>
      </c>
      <c r="K1345" s="2" t="s">
        <v>51</v>
      </c>
      <c r="L1345" s="1">
        <v>669</v>
      </c>
      <c r="M1345" s="1">
        <v>18</v>
      </c>
      <c r="N1345" s="1" t="str">
        <f t="shared" si="103"/>
        <v>Published</v>
      </c>
      <c r="O1345" s="1">
        <f t="shared" si="101"/>
        <v>120.42</v>
      </c>
      <c r="P1345" s="1">
        <v>23</v>
      </c>
      <c r="Q1345" s="1">
        <v>948</v>
      </c>
      <c r="R1345" s="1" t="str">
        <f t="shared" si="104"/>
        <v>2</v>
      </c>
      <c r="S1345" s="1">
        <v>117</v>
      </c>
      <c r="T1345" s="1" t="str">
        <f t="shared" si="102"/>
        <v>4</v>
      </c>
      <c r="U1345" s="1">
        <v>-30.292216</v>
      </c>
      <c r="V1345" s="3">
        <v>153.10471999999999</v>
      </c>
    </row>
    <row r="1346" spans="1:22" x14ac:dyDescent="0.35">
      <c r="A1346" s="22" t="s">
        <v>4005</v>
      </c>
      <c r="B1346" s="1" t="s">
        <v>4006</v>
      </c>
      <c r="C1346" s="1" t="s">
        <v>1388</v>
      </c>
      <c r="D1346" s="1" t="s">
        <v>169</v>
      </c>
      <c r="E1346" s="1" t="s">
        <v>170</v>
      </c>
      <c r="F1346" s="1" t="s">
        <v>47</v>
      </c>
      <c r="G1346" s="1">
        <f t="shared" ref="G1346:G1409" si="105">IF(F1346="Major Cities of Australia",1,IF(F1346="Inner Regional Australia",2,IF(F1346="Outer Regional Australia",3,IF(F1346="Remote Australia",4,IF(F1346="Very Remote Australia",5,6)))))</f>
        <v>1</v>
      </c>
      <c r="H1346" s="1" t="s">
        <v>48</v>
      </c>
      <c r="I1346" s="1" t="s">
        <v>49</v>
      </c>
      <c r="J1346" s="23" t="s">
        <v>50</v>
      </c>
      <c r="K1346" s="2" t="s">
        <v>51</v>
      </c>
      <c r="L1346" s="1">
        <v>580</v>
      </c>
      <c r="M1346" s="1">
        <v>4</v>
      </c>
      <c r="N1346" s="1" t="str">
        <f t="shared" si="103"/>
        <v>Published</v>
      </c>
      <c r="O1346" s="1">
        <f t="shared" ref="O1346:O1409" si="106">IF(OR(M1346="",L1346=""),"",M1346/100*L1346)</f>
        <v>23.2</v>
      </c>
      <c r="P1346" s="1">
        <v>61</v>
      </c>
      <c r="Q1346" s="1">
        <v>1033</v>
      </c>
      <c r="R1346" s="1" t="str">
        <f t="shared" si="104"/>
        <v>3</v>
      </c>
      <c r="S1346" s="1">
        <v>77</v>
      </c>
      <c r="T1346" s="1" t="str">
        <f t="shared" ref="T1346:T1409" si="107">IF(L1346="","No enrolment",IF(L1346&lt;100,"1",IF(L1346&lt;300,"2",IF(L1346&lt;600,"3",IF(L1346&lt;1000,"4","5")))))</f>
        <v>3</v>
      </c>
      <c r="U1346" s="1">
        <v>-33.814864</v>
      </c>
      <c r="V1346" s="3">
        <v>150.94294500000001</v>
      </c>
    </row>
    <row r="1347" spans="1:22" x14ac:dyDescent="0.35">
      <c r="A1347" s="22" t="s">
        <v>4007</v>
      </c>
      <c r="B1347" s="1" t="s">
        <v>4008</v>
      </c>
      <c r="C1347" s="1" t="s">
        <v>4009</v>
      </c>
      <c r="D1347" s="1" t="s">
        <v>1342</v>
      </c>
      <c r="E1347" s="1" t="s">
        <v>68</v>
      </c>
      <c r="F1347" s="1" t="s">
        <v>57</v>
      </c>
      <c r="G1347" s="1">
        <f t="shared" si="105"/>
        <v>2</v>
      </c>
      <c r="H1347" s="1" t="s">
        <v>86</v>
      </c>
      <c r="I1347" s="1" t="s">
        <v>49</v>
      </c>
      <c r="J1347" s="23" t="s">
        <v>50</v>
      </c>
      <c r="K1347" s="2" t="s">
        <v>51</v>
      </c>
      <c r="L1347" s="1">
        <v>312</v>
      </c>
      <c r="M1347" s="1">
        <v>13</v>
      </c>
      <c r="N1347" s="1" t="str">
        <f t="shared" ref="N1347:N1410" si="108">IF(M1347="","Suppressed","Published")</f>
        <v>Published</v>
      </c>
      <c r="O1347" s="1">
        <f t="shared" si="106"/>
        <v>40.56</v>
      </c>
      <c r="P1347" s="1">
        <v>10</v>
      </c>
      <c r="Q1347" s="1">
        <v>951</v>
      </c>
      <c r="R1347" s="1" t="str">
        <f t="shared" ref="R1347:R1410" si="109">IF(Q1347="","No ICSEA",IF(Q1347&lt;900,"1",IF(Q1347&lt;1000,"2",IF(Q1347&lt;1100,"3","4"))))</f>
        <v>2</v>
      </c>
      <c r="S1347" s="1">
        <v>121</v>
      </c>
      <c r="T1347" s="1" t="str">
        <f t="shared" si="107"/>
        <v>3</v>
      </c>
      <c r="U1347" s="1">
        <v>-34.723022</v>
      </c>
      <c r="V1347" s="3">
        <v>149.739879</v>
      </c>
    </row>
    <row r="1348" spans="1:22" x14ac:dyDescent="0.35">
      <c r="A1348" s="22" t="s">
        <v>4010</v>
      </c>
      <c r="B1348" s="1" t="s">
        <v>4011</v>
      </c>
      <c r="C1348" s="1" t="s">
        <v>1754</v>
      </c>
      <c r="D1348" s="1" t="s">
        <v>95</v>
      </c>
      <c r="E1348" s="1" t="s">
        <v>96</v>
      </c>
      <c r="F1348" s="1" t="s">
        <v>57</v>
      </c>
      <c r="G1348" s="1">
        <f t="shared" si="105"/>
        <v>2</v>
      </c>
      <c r="H1348" s="1" t="s">
        <v>70</v>
      </c>
      <c r="I1348" s="1" t="s">
        <v>49</v>
      </c>
      <c r="J1348" s="23" t="s">
        <v>50</v>
      </c>
      <c r="K1348" s="2" t="s">
        <v>51</v>
      </c>
      <c r="L1348" s="1">
        <v>175</v>
      </c>
      <c r="M1348" s="1">
        <v>31</v>
      </c>
      <c r="N1348" s="1" t="str">
        <f t="shared" si="108"/>
        <v>Published</v>
      </c>
      <c r="O1348" s="1">
        <f t="shared" si="106"/>
        <v>54.25</v>
      </c>
      <c r="P1348" s="1">
        <v>18</v>
      </c>
      <c r="Q1348" s="1">
        <v>836</v>
      </c>
      <c r="R1348" s="1" t="str">
        <f t="shared" si="109"/>
        <v>1</v>
      </c>
      <c r="S1348" s="1">
        <v>172</v>
      </c>
      <c r="T1348" s="1" t="str">
        <f t="shared" si="107"/>
        <v>2</v>
      </c>
      <c r="U1348" s="1">
        <v>-36.050351999999997</v>
      </c>
      <c r="V1348" s="3">
        <v>146.94726800000001</v>
      </c>
    </row>
    <row r="1349" spans="1:22" x14ac:dyDescent="0.35">
      <c r="A1349" s="22" t="s">
        <v>4012</v>
      </c>
      <c r="B1349" s="1" t="s">
        <v>4013</v>
      </c>
      <c r="C1349" s="1" t="s">
        <v>4014</v>
      </c>
      <c r="D1349" s="1" t="s">
        <v>837</v>
      </c>
      <c r="E1349" s="1" t="s">
        <v>838</v>
      </c>
      <c r="F1349" s="1" t="s">
        <v>47</v>
      </c>
      <c r="G1349" s="1">
        <f t="shared" si="105"/>
        <v>1</v>
      </c>
      <c r="H1349" s="1" t="s">
        <v>86</v>
      </c>
      <c r="I1349" s="1" t="s">
        <v>49</v>
      </c>
      <c r="J1349" s="23" t="s">
        <v>50</v>
      </c>
      <c r="K1349" s="2" t="s">
        <v>51</v>
      </c>
      <c r="L1349" s="1">
        <v>437</v>
      </c>
      <c r="M1349" s="1">
        <v>36</v>
      </c>
      <c r="N1349" s="1" t="str">
        <f t="shared" si="108"/>
        <v>Published</v>
      </c>
      <c r="O1349" s="1">
        <f t="shared" si="106"/>
        <v>157.32</v>
      </c>
      <c r="P1349" s="1">
        <v>34</v>
      </c>
      <c r="Q1349" s="1">
        <v>855</v>
      </c>
      <c r="R1349" s="1" t="str">
        <f t="shared" si="109"/>
        <v>1</v>
      </c>
      <c r="S1349" s="1">
        <v>177</v>
      </c>
      <c r="T1349" s="1" t="str">
        <f t="shared" si="107"/>
        <v>3</v>
      </c>
      <c r="U1349" s="1">
        <v>-33.737963999999998</v>
      </c>
      <c r="V1349" s="3">
        <v>150.80010899999999</v>
      </c>
    </row>
    <row r="1350" spans="1:22" x14ac:dyDescent="0.35">
      <c r="A1350" s="22" t="s">
        <v>4015</v>
      </c>
      <c r="B1350" s="1" t="s">
        <v>4016</v>
      </c>
      <c r="C1350" s="1" t="s">
        <v>3787</v>
      </c>
      <c r="D1350" s="1" t="s">
        <v>176</v>
      </c>
      <c r="E1350" s="1" t="s">
        <v>85</v>
      </c>
      <c r="F1350" s="1" t="s">
        <v>47</v>
      </c>
      <c r="G1350" s="1">
        <f t="shared" si="105"/>
        <v>1</v>
      </c>
      <c r="H1350" s="1" t="s">
        <v>86</v>
      </c>
      <c r="I1350" s="1" t="s">
        <v>49</v>
      </c>
      <c r="J1350" s="23" t="s">
        <v>50</v>
      </c>
      <c r="K1350" s="2" t="s">
        <v>51</v>
      </c>
      <c r="L1350" s="1">
        <v>192</v>
      </c>
      <c r="M1350" s="1">
        <v>35</v>
      </c>
      <c r="N1350" s="1" t="str">
        <f t="shared" si="108"/>
        <v>Published</v>
      </c>
      <c r="O1350" s="1">
        <f t="shared" si="106"/>
        <v>67.199999999999989</v>
      </c>
      <c r="P1350" s="1">
        <v>16</v>
      </c>
      <c r="Q1350" s="1">
        <v>838</v>
      </c>
      <c r="R1350" s="1" t="str">
        <f t="shared" si="109"/>
        <v>1</v>
      </c>
      <c r="S1350" s="1">
        <v>167</v>
      </c>
      <c r="T1350" s="1" t="str">
        <f t="shared" si="107"/>
        <v>2</v>
      </c>
      <c r="U1350" s="1">
        <v>-34.501193000000001</v>
      </c>
      <c r="V1350" s="3">
        <v>150.807883</v>
      </c>
    </row>
    <row r="1351" spans="1:22" x14ac:dyDescent="0.35">
      <c r="A1351" s="22" t="s">
        <v>4017</v>
      </c>
      <c r="B1351" s="1" t="s">
        <v>4018</v>
      </c>
      <c r="C1351" s="1" t="s">
        <v>713</v>
      </c>
      <c r="D1351" s="1" t="s">
        <v>713</v>
      </c>
      <c r="E1351" s="1" t="s">
        <v>80</v>
      </c>
      <c r="F1351" s="1" t="s">
        <v>57</v>
      </c>
      <c r="G1351" s="1">
        <f t="shared" si="105"/>
        <v>2</v>
      </c>
      <c r="H1351" s="1" t="s">
        <v>70</v>
      </c>
      <c r="I1351" s="1" t="s">
        <v>49</v>
      </c>
      <c r="J1351" s="23" t="s">
        <v>50</v>
      </c>
      <c r="K1351" s="2" t="s">
        <v>51</v>
      </c>
      <c r="L1351" s="1">
        <v>325</v>
      </c>
      <c r="M1351" s="1">
        <v>37</v>
      </c>
      <c r="N1351" s="1" t="str">
        <f t="shared" si="108"/>
        <v>Published</v>
      </c>
      <c r="O1351" s="1">
        <f t="shared" si="106"/>
        <v>120.25</v>
      </c>
      <c r="P1351" s="1">
        <v>28</v>
      </c>
      <c r="Q1351" s="1">
        <v>831</v>
      </c>
      <c r="R1351" s="1" t="str">
        <f t="shared" si="109"/>
        <v>1</v>
      </c>
      <c r="S1351" s="1">
        <v>176</v>
      </c>
      <c r="T1351" s="1" t="str">
        <f t="shared" si="107"/>
        <v>3</v>
      </c>
      <c r="U1351" s="1">
        <v>-35.146431</v>
      </c>
      <c r="V1351" s="3">
        <v>147.34764100000001</v>
      </c>
    </row>
    <row r="1352" spans="1:22" x14ac:dyDescent="0.35">
      <c r="A1352" s="22" t="s">
        <v>4019</v>
      </c>
      <c r="B1352" s="1" t="s">
        <v>4020</v>
      </c>
      <c r="C1352" s="1" t="s">
        <v>4021</v>
      </c>
      <c r="D1352" s="1" t="s">
        <v>302</v>
      </c>
      <c r="E1352" s="1" t="s">
        <v>276</v>
      </c>
      <c r="F1352" s="1" t="s">
        <v>57</v>
      </c>
      <c r="G1352" s="1">
        <f t="shared" si="105"/>
        <v>2</v>
      </c>
      <c r="H1352" s="1" t="s">
        <v>58</v>
      </c>
      <c r="I1352" s="1" t="s">
        <v>49</v>
      </c>
      <c r="J1352" s="23" t="s">
        <v>50</v>
      </c>
      <c r="K1352" s="2" t="s">
        <v>51</v>
      </c>
      <c r="L1352" s="1">
        <v>365</v>
      </c>
      <c r="M1352" s="1">
        <v>33</v>
      </c>
      <c r="N1352" s="1" t="str">
        <f t="shared" si="108"/>
        <v>Published</v>
      </c>
      <c r="O1352" s="1">
        <f t="shared" si="106"/>
        <v>120.45</v>
      </c>
      <c r="P1352" s="1">
        <v>7</v>
      </c>
      <c r="Q1352" s="1">
        <v>888</v>
      </c>
      <c r="R1352" s="1" t="str">
        <f t="shared" si="109"/>
        <v>1</v>
      </c>
      <c r="S1352" s="1">
        <v>137</v>
      </c>
      <c r="T1352" s="1" t="str">
        <f t="shared" si="107"/>
        <v>3</v>
      </c>
      <c r="U1352" s="1">
        <v>-31.437349000000001</v>
      </c>
      <c r="V1352" s="3">
        <v>152.89303799999999</v>
      </c>
    </row>
    <row r="1353" spans="1:22" x14ac:dyDescent="0.35">
      <c r="A1353" s="22" t="s">
        <v>4022</v>
      </c>
      <c r="B1353" s="1" t="s">
        <v>4023</v>
      </c>
      <c r="C1353" s="1" t="s">
        <v>1763</v>
      </c>
      <c r="D1353" s="1" t="s">
        <v>1763</v>
      </c>
      <c r="E1353" s="1" t="s">
        <v>80</v>
      </c>
      <c r="F1353" s="1" t="s">
        <v>69</v>
      </c>
      <c r="G1353" s="1">
        <f t="shared" si="105"/>
        <v>3</v>
      </c>
      <c r="H1353" s="1" t="s">
        <v>70</v>
      </c>
      <c r="I1353" s="1" t="s">
        <v>49</v>
      </c>
      <c r="J1353" s="23" t="s">
        <v>50</v>
      </c>
      <c r="K1353" s="2" t="s">
        <v>51</v>
      </c>
      <c r="L1353" s="1">
        <v>373</v>
      </c>
      <c r="M1353" s="1">
        <v>25</v>
      </c>
      <c r="N1353" s="1" t="str">
        <f t="shared" si="108"/>
        <v>Published</v>
      </c>
      <c r="O1353" s="1">
        <f t="shared" si="106"/>
        <v>93.25</v>
      </c>
      <c r="P1353" s="1">
        <v>8</v>
      </c>
      <c r="Q1353" s="1">
        <v>900</v>
      </c>
      <c r="R1353" s="1" t="str">
        <f t="shared" si="109"/>
        <v>2</v>
      </c>
      <c r="S1353" s="1">
        <v>144</v>
      </c>
      <c r="T1353" s="1" t="str">
        <f t="shared" si="107"/>
        <v>3</v>
      </c>
      <c r="U1353" s="1">
        <v>-34.561818000000002</v>
      </c>
      <c r="V1353" s="3">
        <v>146.39581899999999</v>
      </c>
    </row>
    <row r="1354" spans="1:22" x14ac:dyDescent="0.35">
      <c r="A1354" s="22" t="s">
        <v>4024</v>
      </c>
      <c r="B1354" s="1" t="s">
        <v>4025</v>
      </c>
      <c r="C1354" s="1" t="s">
        <v>4026</v>
      </c>
      <c r="D1354" s="1" t="s">
        <v>74</v>
      </c>
      <c r="E1354" s="1" t="s">
        <v>75</v>
      </c>
      <c r="F1354" s="1" t="s">
        <v>47</v>
      </c>
      <c r="G1354" s="1">
        <f t="shared" si="105"/>
        <v>1</v>
      </c>
      <c r="H1354" s="1" t="s">
        <v>63</v>
      </c>
      <c r="I1354" s="1" t="s">
        <v>49</v>
      </c>
      <c r="J1354" s="23" t="s">
        <v>50</v>
      </c>
      <c r="K1354" s="2" t="s">
        <v>51</v>
      </c>
      <c r="L1354" s="1">
        <v>269</v>
      </c>
      <c r="M1354" s="1">
        <v>3</v>
      </c>
      <c r="N1354" s="1" t="str">
        <f t="shared" si="108"/>
        <v>Published</v>
      </c>
      <c r="O1354" s="1">
        <f t="shared" si="106"/>
        <v>8.07</v>
      </c>
      <c r="P1354" s="1">
        <v>10</v>
      </c>
      <c r="Q1354" s="1">
        <v>1129</v>
      </c>
      <c r="R1354" s="1" t="str">
        <f t="shared" si="109"/>
        <v>4</v>
      </c>
      <c r="S1354" s="1">
        <v>16</v>
      </c>
      <c r="T1354" s="1" t="str">
        <f t="shared" si="107"/>
        <v>2</v>
      </c>
      <c r="U1354" s="1">
        <v>-32.946716000000002</v>
      </c>
      <c r="V1354" s="3">
        <v>151.737458</v>
      </c>
    </row>
    <row r="1355" spans="1:22" x14ac:dyDescent="0.35">
      <c r="A1355" s="22" t="s">
        <v>4027</v>
      </c>
      <c r="B1355" s="1" t="s">
        <v>4028</v>
      </c>
      <c r="C1355" s="1" t="s">
        <v>4029</v>
      </c>
      <c r="D1355" s="1" t="s">
        <v>642</v>
      </c>
      <c r="E1355" s="1" t="s">
        <v>170</v>
      </c>
      <c r="F1355" s="1" t="s">
        <v>47</v>
      </c>
      <c r="G1355" s="1">
        <f t="shared" si="105"/>
        <v>1</v>
      </c>
      <c r="H1355" s="1" t="s">
        <v>148</v>
      </c>
      <c r="I1355" s="1" t="s">
        <v>49</v>
      </c>
      <c r="J1355" s="23" t="s">
        <v>50</v>
      </c>
      <c r="K1355" s="2" t="s">
        <v>51</v>
      </c>
      <c r="L1355" s="1">
        <v>636</v>
      </c>
      <c r="M1355" s="1">
        <v>1</v>
      </c>
      <c r="N1355" s="1" t="str">
        <f t="shared" si="108"/>
        <v>Published</v>
      </c>
      <c r="O1355" s="1">
        <f t="shared" si="106"/>
        <v>6.36</v>
      </c>
      <c r="P1355" s="1">
        <v>38</v>
      </c>
      <c r="Q1355" s="1">
        <v>1104</v>
      </c>
      <c r="R1355" s="1" t="str">
        <f t="shared" si="109"/>
        <v>4</v>
      </c>
      <c r="S1355" s="1">
        <v>32</v>
      </c>
      <c r="T1355" s="1" t="str">
        <f t="shared" si="107"/>
        <v>4</v>
      </c>
      <c r="U1355" s="1">
        <v>-33.773463999999997</v>
      </c>
      <c r="V1355" s="3">
        <v>150.98110600000001</v>
      </c>
    </row>
    <row r="1356" spans="1:22" x14ac:dyDescent="0.35">
      <c r="A1356" s="22" t="s">
        <v>4030</v>
      </c>
      <c r="B1356" s="1" t="s">
        <v>4031</v>
      </c>
      <c r="C1356" s="1" t="s">
        <v>1891</v>
      </c>
      <c r="D1356" s="1" t="s">
        <v>461</v>
      </c>
      <c r="E1356" s="1" t="s">
        <v>96</v>
      </c>
      <c r="F1356" s="1" t="s">
        <v>57</v>
      </c>
      <c r="G1356" s="1">
        <f t="shared" si="105"/>
        <v>2</v>
      </c>
      <c r="H1356" s="1" t="s">
        <v>70</v>
      </c>
      <c r="I1356" s="1" t="s">
        <v>49</v>
      </c>
      <c r="J1356" s="23" t="s">
        <v>50</v>
      </c>
      <c r="K1356" s="2" t="s">
        <v>51</v>
      </c>
      <c r="L1356" s="1">
        <v>105</v>
      </c>
      <c r="M1356" s="1">
        <v>27</v>
      </c>
      <c r="N1356" s="1" t="str">
        <f t="shared" si="108"/>
        <v>Published</v>
      </c>
      <c r="O1356" s="1">
        <f t="shared" si="106"/>
        <v>28.35</v>
      </c>
      <c r="P1356" s="1">
        <v>8</v>
      </c>
      <c r="Q1356" s="1">
        <v>872</v>
      </c>
      <c r="R1356" s="1" t="str">
        <f t="shared" si="109"/>
        <v>1</v>
      </c>
      <c r="S1356" s="1">
        <v>159</v>
      </c>
      <c r="T1356" s="1" t="str">
        <f t="shared" si="107"/>
        <v>2</v>
      </c>
      <c r="U1356" s="1">
        <v>-35.524355999999997</v>
      </c>
      <c r="V1356" s="3">
        <v>144.95056199999999</v>
      </c>
    </row>
    <row r="1357" spans="1:22" x14ac:dyDescent="0.35">
      <c r="A1357" s="22" t="s">
        <v>4032</v>
      </c>
      <c r="B1357" s="1" t="s">
        <v>4033</v>
      </c>
      <c r="C1357" s="1" t="s">
        <v>4034</v>
      </c>
      <c r="D1357" s="1" t="s">
        <v>180</v>
      </c>
      <c r="E1357" s="1" t="s">
        <v>181</v>
      </c>
      <c r="F1357" s="1" t="s">
        <v>47</v>
      </c>
      <c r="G1357" s="1">
        <f t="shared" si="105"/>
        <v>1</v>
      </c>
      <c r="H1357" s="1" t="s">
        <v>182</v>
      </c>
      <c r="I1357" s="1" t="s">
        <v>49</v>
      </c>
      <c r="J1357" s="23" t="s">
        <v>50</v>
      </c>
      <c r="K1357" s="2" t="s">
        <v>51</v>
      </c>
      <c r="L1357" s="1">
        <v>508</v>
      </c>
      <c r="M1357" s="1">
        <v>3</v>
      </c>
      <c r="N1357" s="1" t="str">
        <f t="shared" si="108"/>
        <v>Published</v>
      </c>
      <c r="O1357" s="1">
        <f t="shared" si="106"/>
        <v>15.24</v>
      </c>
      <c r="P1357" s="1">
        <v>62</v>
      </c>
      <c r="Q1357" s="1">
        <v>997</v>
      </c>
      <c r="R1357" s="1" t="str">
        <f t="shared" si="109"/>
        <v>2</v>
      </c>
      <c r="S1357" s="1">
        <v>106</v>
      </c>
      <c r="T1357" s="1" t="str">
        <f t="shared" si="107"/>
        <v>3</v>
      </c>
      <c r="U1357" s="1">
        <v>-33.933241000000002</v>
      </c>
      <c r="V1357" s="3">
        <v>150.95149900000001</v>
      </c>
    </row>
    <row r="1358" spans="1:22" x14ac:dyDescent="0.35">
      <c r="A1358" s="22" t="s">
        <v>4035</v>
      </c>
      <c r="B1358" s="1" t="s">
        <v>4036</v>
      </c>
      <c r="C1358" s="1" t="s">
        <v>1355</v>
      </c>
      <c r="D1358" s="1" t="s">
        <v>280</v>
      </c>
      <c r="E1358" s="1" t="s">
        <v>281</v>
      </c>
      <c r="F1358" s="1" t="s">
        <v>57</v>
      </c>
      <c r="G1358" s="1">
        <f t="shared" si="105"/>
        <v>2</v>
      </c>
      <c r="H1358" s="1" t="s">
        <v>92</v>
      </c>
      <c r="I1358" s="1" t="s">
        <v>49</v>
      </c>
      <c r="J1358" s="23" t="s">
        <v>50</v>
      </c>
      <c r="K1358" s="2" t="s">
        <v>51</v>
      </c>
      <c r="L1358" s="1">
        <v>129</v>
      </c>
      <c r="M1358" s="1">
        <v>63</v>
      </c>
      <c r="N1358" s="1" t="str">
        <f t="shared" si="108"/>
        <v>Published</v>
      </c>
      <c r="O1358" s="1">
        <f t="shared" si="106"/>
        <v>81.27</v>
      </c>
      <c r="P1358" s="1">
        <v>5</v>
      </c>
      <c r="Q1358" s="1">
        <v>774</v>
      </c>
      <c r="R1358" s="1" t="str">
        <f t="shared" si="109"/>
        <v>1</v>
      </c>
      <c r="S1358" s="1">
        <v>197</v>
      </c>
      <c r="T1358" s="1" t="str">
        <f t="shared" si="107"/>
        <v>2</v>
      </c>
      <c r="U1358" s="1">
        <v>-29.724385000000002</v>
      </c>
      <c r="V1358" s="3">
        <v>152.93382399999999</v>
      </c>
    </row>
    <row r="1359" spans="1:22" x14ac:dyDescent="0.35">
      <c r="A1359" s="22" t="s">
        <v>4037</v>
      </c>
      <c r="B1359" s="1" t="s">
        <v>4038</v>
      </c>
      <c r="C1359" s="1" t="s">
        <v>4039</v>
      </c>
      <c r="D1359" s="1" t="s">
        <v>837</v>
      </c>
      <c r="E1359" s="1" t="s">
        <v>838</v>
      </c>
      <c r="F1359" s="1" t="s">
        <v>47</v>
      </c>
      <c r="G1359" s="1">
        <f t="shared" si="105"/>
        <v>1</v>
      </c>
      <c r="H1359" s="1" t="s">
        <v>148</v>
      </c>
      <c r="I1359" s="1" t="s">
        <v>49</v>
      </c>
      <c r="J1359" s="23" t="s">
        <v>50</v>
      </c>
      <c r="K1359" s="2" t="s">
        <v>51</v>
      </c>
      <c r="L1359" s="1">
        <v>218</v>
      </c>
      <c r="M1359" s="1">
        <v>20</v>
      </c>
      <c r="N1359" s="1" t="str">
        <f t="shared" si="108"/>
        <v>Published</v>
      </c>
      <c r="O1359" s="1">
        <f t="shared" si="106"/>
        <v>43.6</v>
      </c>
      <c r="P1359" s="1">
        <v>50</v>
      </c>
      <c r="Q1359" s="1">
        <v>873</v>
      </c>
      <c r="R1359" s="1" t="str">
        <f t="shared" si="109"/>
        <v>1</v>
      </c>
      <c r="S1359" s="1">
        <v>180</v>
      </c>
      <c r="T1359" s="1" t="str">
        <f t="shared" si="107"/>
        <v>2</v>
      </c>
      <c r="U1359" s="1">
        <v>-33.744737999999998</v>
      </c>
      <c r="V1359" s="3">
        <v>150.80547799999999</v>
      </c>
    </row>
    <row r="1360" spans="1:22" x14ac:dyDescent="0.35">
      <c r="A1360" s="22" t="s">
        <v>4040</v>
      </c>
      <c r="B1360" s="1" t="s">
        <v>4041</v>
      </c>
      <c r="C1360" s="1" t="s">
        <v>3787</v>
      </c>
      <c r="D1360" s="1" t="s">
        <v>176</v>
      </c>
      <c r="E1360" s="1" t="s">
        <v>85</v>
      </c>
      <c r="F1360" s="1" t="s">
        <v>47</v>
      </c>
      <c r="G1360" s="1">
        <f t="shared" si="105"/>
        <v>1</v>
      </c>
      <c r="H1360" s="1" t="s">
        <v>86</v>
      </c>
      <c r="I1360" s="1" t="s">
        <v>49</v>
      </c>
      <c r="J1360" s="23" t="s">
        <v>50</v>
      </c>
      <c r="K1360" s="2" t="s">
        <v>51</v>
      </c>
      <c r="L1360" s="1">
        <v>346</v>
      </c>
      <c r="M1360" s="1">
        <v>11</v>
      </c>
      <c r="N1360" s="1" t="str">
        <f t="shared" si="108"/>
        <v>Published</v>
      </c>
      <c r="O1360" s="1">
        <f t="shared" si="106"/>
        <v>38.06</v>
      </c>
      <c r="P1360" s="1">
        <v>8</v>
      </c>
      <c r="Q1360" s="1">
        <v>975</v>
      </c>
      <c r="R1360" s="1" t="str">
        <f t="shared" si="109"/>
        <v>2</v>
      </c>
      <c r="S1360" s="1">
        <v>109</v>
      </c>
      <c r="T1360" s="1" t="str">
        <f t="shared" si="107"/>
        <v>3</v>
      </c>
      <c r="U1360" s="1">
        <v>-34.515884999999997</v>
      </c>
      <c r="V1360" s="3">
        <v>150.784817</v>
      </c>
    </row>
    <row r="1361" spans="1:22" x14ac:dyDescent="0.35">
      <c r="A1361" s="22" t="s">
        <v>4042</v>
      </c>
      <c r="B1361" s="1" t="s">
        <v>4043</v>
      </c>
      <c r="C1361" s="1" t="s">
        <v>1289</v>
      </c>
      <c r="D1361" s="1" t="s">
        <v>428</v>
      </c>
      <c r="E1361" s="1" t="s">
        <v>429</v>
      </c>
      <c r="F1361" s="1" t="s">
        <v>47</v>
      </c>
      <c r="G1361" s="1">
        <f t="shared" si="105"/>
        <v>1</v>
      </c>
      <c r="H1361" s="1" t="s">
        <v>182</v>
      </c>
      <c r="I1361" s="1" t="s">
        <v>49</v>
      </c>
      <c r="J1361" s="23" t="s">
        <v>50</v>
      </c>
      <c r="K1361" s="2" t="s">
        <v>51</v>
      </c>
      <c r="L1361" s="1">
        <v>158</v>
      </c>
      <c r="M1361" s="1"/>
      <c r="N1361" s="1" t="str">
        <f t="shared" si="108"/>
        <v>Suppressed</v>
      </c>
      <c r="O1361" s="1" t="str">
        <f t="shared" si="106"/>
        <v/>
      </c>
      <c r="P1361" s="1">
        <v>12</v>
      </c>
      <c r="Q1361" s="1">
        <v>1113</v>
      </c>
      <c r="R1361" s="1" t="str">
        <f t="shared" si="109"/>
        <v>4</v>
      </c>
      <c r="S1361" s="1">
        <v>32</v>
      </c>
      <c r="T1361" s="1" t="str">
        <f t="shared" si="107"/>
        <v>2</v>
      </c>
      <c r="U1361" s="1">
        <v>-33.772117000000001</v>
      </c>
      <c r="V1361" s="3">
        <v>150.631327</v>
      </c>
    </row>
    <row r="1362" spans="1:22" x14ac:dyDescent="0.35">
      <c r="A1362" s="22" t="s">
        <v>4044</v>
      </c>
      <c r="B1362" s="1" t="s">
        <v>4045</v>
      </c>
      <c r="C1362" s="1" t="s">
        <v>4046</v>
      </c>
      <c r="D1362" s="1" t="s">
        <v>186</v>
      </c>
      <c r="E1362" s="1" t="s">
        <v>187</v>
      </c>
      <c r="F1362" s="1" t="s">
        <v>47</v>
      </c>
      <c r="G1362" s="1">
        <f t="shared" si="105"/>
        <v>1</v>
      </c>
      <c r="H1362" s="1" t="s">
        <v>63</v>
      </c>
      <c r="I1362" s="1" t="s">
        <v>49</v>
      </c>
      <c r="J1362" s="23" t="s">
        <v>50</v>
      </c>
      <c r="K1362" s="2" t="s">
        <v>51</v>
      </c>
      <c r="L1362" s="1">
        <v>477</v>
      </c>
      <c r="M1362" s="1">
        <v>19</v>
      </c>
      <c r="N1362" s="1" t="str">
        <f t="shared" si="108"/>
        <v>Published</v>
      </c>
      <c r="O1362" s="1">
        <f t="shared" si="106"/>
        <v>90.63</v>
      </c>
      <c r="P1362" s="1">
        <v>8</v>
      </c>
      <c r="Q1362" s="1">
        <v>963</v>
      </c>
      <c r="R1362" s="1" t="str">
        <f t="shared" si="109"/>
        <v>2</v>
      </c>
      <c r="S1362" s="1">
        <v>111</v>
      </c>
      <c r="T1362" s="1" t="str">
        <f t="shared" si="107"/>
        <v>3</v>
      </c>
      <c r="U1362" s="1">
        <v>-33.365220999999998</v>
      </c>
      <c r="V1362" s="3">
        <v>151.45610300000001</v>
      </c>
    </row>
    <row r="1363" spans="1:22" x14ac:dyDescent="0.35">
      <c r="A1363" s="22" t="s">
        <v>4047</v>
      </c>
      <c r="B1363" s="1" t="s">
        <v>4048</v>
      </c>
      <c r="C1363" s="1" t="s">
        <v>4049</v>
      </c>
      <c r="D1363" s="1" t="s">
        <v>186</v>
      </c>
      <c r="E1363" s="1" t="s">
        <v>187</v>
      </c>
      <c r="F1363" s="1" t="s">
        <v>47</v>
      </c>
      <c r="G1363" s="1">
        <f t="shared" si="105"/>
        <v>1</v>
      </c>
      <c r="H1363" s="1" t="s">
        <v>63</v>
      </c>
      <c r="I1363" s="1" t="s">
        <v>49</v>
      </c>
      <c r="J1363" s="23" t="s">
        <v>50</v>
      </c>
      <c r="K1363" s="2" t="s">
        <v>51</v>
      </c>
      <c r="L1363" s="1">
        <v>412</v>
      </c>
      <c r="M1363" s="1">
        <v>13</v>
      </c>
      <c r="N1363" s="1" t="str">
        <f t="shared" si="108"/>
        <v>Published</v>
      </c>
      <c r="O1363" s="1">
        <f t="shared" si="106"/>
        <v>53.56</v>
      </c>
      <c r="P1363" s="1">
        <v>15</v>
      </c>
      <c r="Q1363" s="1">
        <v>1008</v>
      </c>
      <c r="R1363" s="1" t="str">
        <f t="shared" si="109"/>
        <v>3</v>
      </c>
      <c r="S1363" s="1">
        <v>78</v>
      </c>
      <c r="T1363" s="1" t="str">
        <f t="shared" si="107"/>
        <v>3</v>
      </c>
      <c r="U1363" s="1">
        <v>-33.384121999999998</v>
      </c>
      <c r="V1363" s="3">
        <v>151.35109600000001</v>
      </c>
    </row>
    <row r="1364" spans="1:22" x14ac:dyDescent="0.35">
      <c r="A1364" s="22" t="s">
        <v>4050</v>
      </c>
      <c r="B1364" s="1" t="s">
        <v>4051</v>
      </c>
      <c r="C1364" s="1" t="s">
        <v>4052</v>
      </c>
      <c r="D1364" s="1" t="s">
        <v>106</v>
      </c>
      <c r="E1364" s="1" t="s">
        <v>107</v>
      </c>
      <c r="F1364" s="1" t="s">
        <v>57</v>
      </c>
      <c r="G1364" s="1">
        <f t="shared" si="105"/>
        <v>2</v>
      </c>
      <c r="H1364" s="1" t="s">
        <v>92</v>
      </c>
      <c r="I1364" s="1" t="s">
        <v>49</v>
      </c>
      <c r="J1364" s="23" t="s">
        <v>50</v>
      </c>
      <c r="K1364" s="2" t="s">
        <v>51</v>
      </c>
      <c r="L1364" s="1">
        <v>388</v>
      </c>
      <c r="M1364" s="1">
        <v>6</v>
      </c>
      <c r="N1364" s="1" t="str">
        <f t="shared" si="108"/>
        <v>Published</v>
      </c>
      <c r="O1364" s="1">
        <f t="shared" si="106"/>
        <v>23.279999999999998</v>
      </c>
      <c r="P1364" s="1">
        <v>12</v>
      </c>
      <c r="Q1364" s="1">
        <v>1053</v>
      </c>
      <c r="R1364" s="1" t="str">
        <f t="shared" si="109"/>
        <v>3</v>
      </c>
      <c r="S1364" s="1">
        <v>67</v>
      </c>
      <c r="T1364" s="1" t="str">
        <f t="shared" si="107"/>
        <v>3</v>
      </c>
      <c r="U1364" s="1">
        <v>-28.851067</v>
      </c>
      <c r="V1364" s="3">
        <v>153.58566400000001</v>
      </c>
    </row>
    <row r="1365" spans="1:22" x14ac:dyDescent="0.35">
      <c r="A1365" s="22" t="s">
        <v>4053</v>
      </c>
      <c r="B1365" s="1" t="s">
        <v>4054</v>
      </c>
      <c r="C1365" s="1" t="s">
        <v>1137</v>
      </c>
      <c r="D1365" s="1" t="s">
        <v>737</v>
      </c>
      <c r="E1365" s="1" t="s">
        <v>738</v>
      </c>
      <c r="F1365" s="1" t="s">
        <v>47</v>
      </c>
      <c r="G1365" s="1">
        <f t="shared" si="105"/>
        <v>1</v>
      </c>
      <c r="H1365" s="1" t="s">
        <v>182</v>
      </c>
      <c r="I1365" s="1" t="s">
        <v>49</v>
      </c>
      <c r="J1365" s="23" t="s">
        <v>50</v>
      </c>
      <c r="K1365" s="2" t="s">
        <v>51</v>
      </c>
      <c r="L1365" s="1">
        <v>318</v>
      </c>
      <c r="M1365" s="1">
        <v>2</v>
      </c>
      <c r="N1365" s="1" t="str">
        <f t="shared" si="108"/>
        <v>Published</v>
      </c>
      <c r="O1365" s="1">
        <f t="shared" si="106"/>
        <v>6.36</v>
      </c>
      <c r="P1365" s="1">
        <v>7</v>
      </c>
      <c r="Q1365" s="1">
        <v>1063</v>
      </c>
      <c r="R1365" s="1" t="str">
        <f t="shared" si="109"/>
        <v>3</v>
      </c>
      <c r="S1365" s="1">
        <v>58</v>
      </c>
      <c r="T1365" s="1" t="str">
        <f t="shared" si="107"/>
        <v>3</v>
      </c>
      <c r="U1365" s="1">
        <v>-34.046492000000001</v>
      </c>
      <c r="V1365" s="3">
        <v>151.02423200000001</v>
      </c>
    </row>
    <row r="1366" spans="1:22" x14ac:dyDescent="0.35">
      <c r="A1366" s="22" t="s">
        <v>4055</v>
      </c>
      <c r="B1366" s="1" t="s">
        <v>4056</v>
      </c>
      <c r="C1366" s="1" t="s">
        <v>1239</v>
      </c>
      <c r="D1366" s="1" t="s">
        <v>203</v>
      </c>
      <c r="E1366" s="1" t="s">
        <v>204</v>
      </c>
      <c r="F1366" s="1" t="s">
        <v>47</v>
      </c>
      <c r="G1366" s="1">
        <f t="shared" si="105"/>
        <v>1</v>
      </c>
      <c r="H1366" s="1" t="s">
        <v>148</v>
      </c>
      <c r="I1366" s="1" t="s">
        <v>49</v>
      </c>
      <c r="J1366" s="23" t="s">
        <v>50</v>
      </c>
      <c r="K1366" s="2" t="s">
        <v>51</v>
      </c>
      <c r="L1366" s="1">
        <v>562</v>
      </c>
      <c r="M1366" s="1"/>
      <c r="N1366" s="1" t="str">
        <f t="shared" si="108"/>
        <v>Suppressed</v>
      </c>
      <c r="O1366" s="1" t="str">
        <f t="shared" si="106"/>
        <v/>
      </c>
      <c r="P1366" s="1">
        <v>16</v>
      </c>
      <c r="Q1366" s="1">
        <v>1119</v>
      </c>
      <c r="R1366" s="1" t="str">
        <f t="shared" si="109"/>
        <v>4</v>
      </c>
      <c r="S1366" s="1">
        <v>29</v>
      </c>
      <c r="T1366" s="1" t="str">
        <f t="shared" si="107"/>
        <v>3</v>
      </c>
      <c r="U1366" s="1">
        <v>-33.743343000000003</v>
      </c>
      <c r="V1366" s="3">
        <v>151.20590899999999</v>
      </c>
    </row>
    <row r="1367" spans="1:22" x14ac:dyDescent="0.35">
      <c r="A1367" s="22" t="s">
        <v>4057</v>
      </c>
      <c r="B1367" s="1" t="s">
        <v>4058</v>
      </c>
      <c r="C1367" s="1" t="s">
        <v>4059</v>
      </c>
      <c r="D1367" s="1" t="s">
        <v>126</v>
      </c>
      <c r="E1367" s="1" t="s">
        <v>147</v>
      </c>
      <c r="F1367" s="1" t="s">
        <v>47</v>
      </c>
      <c r="G1367" s="1">
        <f t="shared" si="105"/>
        <v>1</v>
      </c>
      <c r="H1367" s="1" t="s">
        <v>63</v>
      </c>
      <c r="I1367" s="1" t="s">
        <v>49</v>
      </c>
      <c r="J1367" s="23" t="s">
        <v>50</v>
      </c>
      <c r="K1367" s="2" t="s">
        <v>51</v>
      </c>
      <c r="L1367" s="1">
        <v>321</v>
      </c>
      <c r="M1367" s="1"/>
      <c r="N1367" s="1" t="str">
        <f t="shared" si="108"/>
        <v>Suppressed</v>
      </c>
      <c r="O1367" s="1" t="str">
        <f t="shared" si="106"/>
        <v/>
      </c>
      <c r="P1367" s="1">
        <v>21</v>
      </c>
      <c r="Q1367" s="1">
        <v>1102</v>
      </c>
      <c r="R1367" s="1" t="str">
        <f t="shared" si="109"/>
        <v>4</v>
      </c>
      <c r="S1367" s="1">
        <v>35</v>
      </c>
      <c r="T1367" s="1" t="str">
        <f t="shared" si="107"/>
        <v>3</v>
      </c>
      <c r="U1367" s="1">
        <v>-33.608499000000002</v>
      </c>
      <c r="V1367" s="3">
        <v>151.14151000000001</v>
      </c>
    </row>
    <row r="1368" spans="1:22" x14ac:dyDescent="0.35">
      <c r="A1368" s="22" t="s">
        <v>4060</v>
      </c>
      <c r="B1368" s="1" t="s">
        <v>4061</v>
      </c>
      <c r="C1368" s="1" t="s">
        <v>4062</v>
      </c>
      <c r="D1368" s="1" t="s">
        <v>428</v>
      </c>
      <c r="E1368" s="1" t="s">
        <v>429</v>
      </c>
      <c r="F1368" s="1" t="s">
        <v>47</v>
      </c>
      <c r="G1368" s="1">
        <f t="shared" si="105"/>
        <v>1</v>
      </c>
      <c r="H1368" s="1" t="s">
        <v>63</v>
      </c>
      <c r="I1368" s="1" t="s">
        <v>49</v>
      </c>
      <c r="J1368" s="23" t="s">
        <v>50</v>
      </c>
      <c r="K1368" s="2" t="s">
        <v>51</v>
      </c>
      <c r="L1368" s="1">
        <v>231</v>
      </c>
      <c r="M1368" s="1">
        <v>5</v>
      </c>
      <c r="N1368" s="1" t="str">
        <f t="shared" si="108"/>
        <v>Published</v>
      </c>
      <c r="O1368" s="1">
        <f t="shared" si="106"/>
        <v>11.55</v>
      </c>
      <c r="P1368" s="1">
        <v>9</v>
      </c>
      <c r="Q1368" s="1">
        <v>1050</v>
      </c>
      <c r="R1368" s="1" t="str">
        <f t="shared" si="109"/>
        <v>3</v>
      </c>
      <c r="S1368" s="1">
        <v>59</v>
      </c>
      <c r="T1368" s="1" t="str">
        <f t="shared" si="107"/>
        <v>2</v>
      </c>
      <c r="U1368" s="1">
        <v>-33.729509999999998</v>
      </c>
      <c r="V1368" s="3">
        <v>150.63258500000001</v>
      </c>
    </row>
    <row r="1369" spans="1:22" x14ac:dyDescent="0.35">
      <c r="A1369" s="22" t="s">
        <v>4063</v>
      </c>
      <c r="B1369" s="1" t="s">
        <v>4064</v>
      </c>
      <c r="C1369" s="1" t="s">
        <v>4065</v>
      </c>
      <c r="D1369" s="1" t="s">
        <v>428</v>
      </c>
      <c r="E1369" s="1" t="s">
        <v>429</v>
      </c>
      <c r="F1369" s="1" t="s">
        <v>47</v>
      </c>
      <c r="G1369" s="1">
        <f t="shared" si="105"/>
        <v>1</v>
      </c>
      <c r="H1369" s="1" t="s">
        <v>63</v>
      </c>
      <c r="I1369" s="1" t="s">
        <v>49</v>
      </c>
      <c r="J1369" s="23" t="s">
        <v>50</v>
      </c>
      <c r="K1369" s="2" t="s">
        <v>51</v>
      </c>
      <c r="L1369" s="1">
        <v>359</v>
      </c>
      <c r="M1369" s="1">
        <v>6</v>
      </c>
      <c r="N1369" s="1" t="str">
        <f t="shared" si="108"/>
        <v>Published</v>
      </c>
      <c r="O1369" s="1">
        <f t="shared" si="106"/>
        <v>21.54</v>
      </c>
      <c r="P1369" s="1">
        <v>6</v>
      </c>
      <c r="Q1369" s="1">
        <v>1043</v>
      </c>
      <c r="R1369" s="1" t="str">
        <f t="shared" si="109"/>
        <v>3</v>
      </c>
      <c r="S1369" s="1">
        <v>71</v>
      </c>
      <c r="T1369" s="1" t="str">
        <f t="shared" si="107"/>
        <v>3</v>
      </c>
      <c r="U1369" s="1">
        <v>-33.670271999999997</v>
      </c>
      <c r="V1369" s="3">
        <v>150.610783</v>
      </c>
    </row>
    <row r="1370" spans="1:22" x14ac:dyDescent="0.35">
      <c r="A1370" s="22" t="s">
        <v>4066</v>
      </c>
      <c r="B1370" s="1" t="s">
        <v>4067</v>
      </c>
      <c r="C1370" s="1" t="s">
        <v>90</v>
      </c>
      <c r="D1370" s="1" t="s">
        <v>90</v>
      </c>
      <c r="E1370" s="1" t="s">
        <v>91</v>
      </c>
      <c r="F1370" s="1" t="s">
        <v>57</v>
      </c>
      <c r="G1370" s="1">
        <f t="shared" si="105"/>
        <v>2</v>
      </c>
      <c r="H1370" s="1" t="s">
        <v>86</v>
      </c>
      <c r="I1370" s="1" t="s">
        <v>49</v>
      </c>
      <c r="J1370" s="23" t="s">
        <v>50</v>
      </c>
      <c r="K1370" s="2" t="s">
        <v>51</v>
      </c>
      <c r="L1370" s="1">
        <v>449</v>
      </c>
      <c r="M1370" s="1">
        <v>70</v>
      </c>
      <c r="N1370" s="1" t="str">
        <f t="shared" si="108"/>
        <v>Published</v>
      </c>
      <c r="O1370" s="1">
        <f t="shared" si="106"/>
        <v>314.29999999999995</v>
      </c>
      <c r="P1370" s="1">
        <v>4</v>
      </c>
      <c r="Q1370" s="1">
        <v>761</v>
      </c>
      <c r="R1370" s="1" t="str">
        <f t="shared" si="109"/>
        <v>1</v>
      </c>
      <c r="S1370" s="1">
        <v>200</v>
      </c>
      <c r="T1370" s="1" t="str">
        <f t="shared" si="107"/>
        <v>3</v>
      </c>
      <c r="U1370" s="1">
        <v>-31.114449</v>
      </c>
      <c r="V1370" s="3">
        <v>150.9007</v>
      </c>
    </row>
    <row r="1371" spans="1:22" x14ac:dyDescent="0.35">
      <c r="A1371" s="22" t="s">
        <v>4068</v>
      </c>
      <c r="B1371" s="1" t="s">
        <v>4069</v>
      </c>
      <c r="C1371" s="1" t="s">
        <v>1341</v>
      </c>
      <c r="D1371" s="1" t="s">
        <v>1342</v>
      </c>
      <c r="E1371" s="1" t="s">
        <v>68</v>
      </c>
      <c r="F1371" s="1" t="s">
        <v>57</v>
      </c>
      <c r="G1371" s="1">
        <f t="shared" si="105"/>
        <v>2</v>
      </c>
      <c r="H1371" s="1" t="s">
        <v>86</v>
      </c>
      <c r="I1371" s="1" t="s">
        <v>49</v>
      </c>
      <c r="J1371" s="23" t="s">
        <v>50</v>
      </c>
      <c r="K1371" s="2" t="s">
        <v>51</v>
      </c>
      <c r="L1371" s="1">
        <v>387</v>
      </c>
      <c r="M1371" s="1">
        <v>10</v>
      </c>
      <c r="N1371" s="1" t="str">
        <f t="shared" si="108"/>
        <v>Published</v>
      </c>
      <c r="O1371" s="1">
        <f t="shared" si="106"/>
        <v>38.700000000000003</v>
      </c>
      <c r="P1371" s="1">
        <v>17</v>
      </c>
      <c r="Q1371" s="1">
        <v>975</v>
      </c>
      <c r="R1371" s="1" t="str">
        <f t="shared" si="109"/>
        <v>2</v>
      </c>
      <c r="S1371" s="1">
        <v>103</v>
      </c>
      <c r="T1371" s="1" t="str">
        <f t="shared" si="107"/>
        <v>3</v>
      </c>
      <c r="U1371" s="1">
        <v>-34.742953</v>
      </c>
      <c r="V1371" s="3">
        <v>149.710904</v>
      </c>
    </row>
    <row r="1372" spans="1:22" x14ac:dyDescent="0.35">
      <c r="A1372" s="22" t="s">
        <v>4070</v>
      </c>
      <c r="B1372" s="1" t="s">
        <v>4071</v>
      </c>
      <c r="C1372" s="1" t="s">
        <v>4072</v>
      </c>
      <c r="D1372" s="1" t="s">
        <v>126</v>
      </c>
      <c r="E1372" s="1" t="s">
        <v>127</v>
      </c>
      <c r="F1372" s="1" t="s">
        <v>47</v>
      </c>
      <c r="G1372" s="1">
        <f t="shared" si="105"/>
        <v>1</v>
      </c>
      <c r="H1372" s="1" t="s">
        <v>148</v>
      </c>
      <c r="I1372" s="1" t="s">
        <v>49</v>
      </c>
      <c r="J1372" s="23" t="s">
        <v>50</v>
      </c>
      <c r="K1372" s="2" t="s">
        <v>51</v>
      </c>
      <c r="L1372" s="1">
        <v>886</v>
      </c>
      <c r="M1372" s="1"/>
      <c r="N1372" s="1" t="str">
        <f t="shared" si="108"/>
        <v>Suppressed</v>
      </c>
      <c r="O1372" s="1" t="str">
        <f t="shared" si="106"/>
        <v/>
      </c>
      <c r="P1372" s="1">
        <v>75</v>
      </c>
      <c r="Q1372" s="1">
        <v>1164</v>
      </c>
      <c r="R1372" s="1" t="str">
        <f t="shared" si="109"/>
        <v>4</v>
      </c>
      <c r="S1372" s="1">
        <v>0</v>
      </c>
      <c r="T1372" s="1" t="str">
        <f t="shared" si="107"/>
        <v>4</v>
      </c>
      <c r="U1372" s="1">
        <v>-33.731276999999999</v>
      </c>
      <c r="V1372" s="3">
        <v>151.042056</v>
      </c>
    </row>
    <row r="1373" spans="1:22" x14ac:dyDescent="0.35">
      <c r="A1373" s="22" t="s">
        <v>4073</v>
      </c>
      <c r="B1373" s="1" t="s">
        <v>4074</v>
      </c>
      <c r="C1373" s="1" t="s">
        <v>3951</v>
      </c>
      <c r="D1373" s="1" t="s">
        <v>761</v>
      </c>
      <c r="E1373" s="1" t="s">
        <v>127</v>
      </c>
      <c r="F1373" s="1" t="s">
        <v>47</v>
      </c>
      <c r="G1373" s="1">
        <f t="shared" si="105"/>
        <v>1</v>
      </c>
      <c r="H1373" s="1" t="s">
        <v>148</v>
      </c>
      <c r="I1373" s="1" t="s">
        <v>49</v>
      </c>
      <c r="J1373" s="23" t="s">
        <v>50</v>
      </c>
      <c r="K1373" s="2" t="s">
        <v>51</v>
      </c>
      <c r="L1373" s="1">
        <v>633</v>
      </c>
      <c r="M1373" s="1"/>
      <c r="N1373" s="1" t="str">
        <f t="shared" si="108"/>
        <v>Suppressed</v>
      </c>
      <c r="O1373" s="1" t="str">
        <f t="shared" si="106"/>
        <v/>
      </c>
      <c r="P1373" s="1">
        <v>68</v>
      </c>
      <c r="Q1373" s="1">
        <v>1139</v>
      </c>
      <c r="R1373" s="1" t="str">
        <f t="shared" si="109"/>
        <v>4</v>
      </c>
      <c r="S1373" s="1">
        <v>12</v>
      </c>
      <c r="T1373" s="1" t="str">
        <f t="shared" si="107"/>
        <v>4</v>
      </c>
      <c r="U1373" s="1">
        <v>-33.749141000000002</v>
      </c>
      <c r="V1373" s="3">
        <v>150.97219699999999</v>
      </c>
    </row>
    <row r="1374" spans="1:22" x14ac:dyDescent="0.35">
      <c r="A1374" s="22" t="s">
        <v>4075</v>
      </c>
      <c r="B1374" s="1" t="s">
        <v>4076</v>
      </c>
      <c r="C1374" s="1" t="s">
        <v>4077</v>
      </c>
      <c r="D1374" s="1" t="s">
        <v>1131</v>
      </c>
      <c r="E1374" s="1" t="s">
        <v>429</v>
      </c>
      <c r="F1374" s="1" t="s">
        <v>47</v>
      </c>
      <c r="G1374" s="1">
        <f t="shared" si="105"/>
        <v>1</v>
      </c>
      <c r="H1374" s="1" t="s">
        <v>182</v>
      </c>
      <c r="I1374" s="1" t="s">
        <v>49</v>
      </c>
      <c r="J1374" s="23" t="s">
        <v>50</v>
      </c>
      <c r="K1374" s="2" t="s">
        <v>51</v>
      </c>
      <c r="L1374" s="1">
        <v>237</v>
      </c>
      <c r="M1374" s="1">
        <v>9</v>
      </c>
      <c r="N1374" s="1" t="str">
        <f t="shared" si="108"/>
        <v>Published</v>
      </c>
      <c r="O1374" s="1">
        <f t="shared" si="106"/>
        <v>21.33</v>
      </c>
      <c r="P1374" s="1">
        <v>10</v>
      </c>
      <c r="Q1374" s="1">
        <v>1006</v>
      </c>
      <c r="R1374" s="1" t="str">
        <f t="shared" si="109"/>
        <v>3</v>
      </c>
      <c r="S1374" s="1">
        <v>86</v>
      </c>
      <c r="T1374" s="1" t="str">
        <f t="shared" si="107"/>
        <v>2</v>
      </c>
      <c r="U1374" s="1">
        <v>-33.736651999999999</v>
      </c>
      <c r="V1374" s="3">
        <v>150.64881800000001</v>
      </c>
    </row>
    <row r="1375" spans="1:22" x14ac:dyDescent="0.35">
      <c r="A1375" s="22" t="s">
        <v>4078</v>
      </c>
      <c r="B1375" s="1" t="s">
        <v>4079</v>
      </c>
      <c r="C1375" s="1" t="s">
        <v>4080</v>
      </c>
      <c r="D1375" s="1" t="s">
        <v>837</v>
      </c>
      <c r="E1375" s="1" t="s">
        <v>838</v>
      </c>
      <c r="F1375" s="1" t="s">
        <v>47</v>
      </c>
      <c r="G1375" s="1">
        <f t="shared" si="105"/>
        <v>1</v>
      </c>
      <c r="H1375" s="1" t="s">
        <v>182</v>
      </c>
      <c r="I1375" s="1" t="s">
        <v>49</v>
      </c>
      <c r="J1375" s="23" t="s">
        <v>50</v>
      </c>
      <c r="K1375" s="2" t="s">
        <v>51</v>
      </c>
      <c r="L1375" s="1">
        <v>676</v>
      </c>
      <c r="M1375" s="1">
        <v>1</v>
      </c>
      <c r="N1375" s="1" t="str">
        <f t="shared" si="108"/>
        <v>Published</v>
      </c>
      <c r="O1375" s="1">
        <f t="shared" si="106"/>
        <v>6.76</v>
      </c>
      <c r="P1375" s="1">
        <v>76</v>
      </c>
      <c r="Q1375" s="1">
        <v>1072</v>
      </c>
      <c r="R1375" s="1" t="str">
        <f t="shared" si="109"/>
        <v>3</v>
      </c>
      <c r="S1375" s="1">
        <v>49</v>
      </c>
      <c r="T1375" s="1" t="str">
        <f t="shared" si="107"/>
        <v>4</v>
      </c>
      <c r="U1375" s="1">
        <v>-33.793967000000002</v>
      </c>
      <c r="V1375" s="3">
        <v>150.93475599999999</v>
      </c>
    </row>
    <row r="1376" spans="1:22" x14ac:dyDescent="0.35">
      <c r="A1376" s="22" t="s">
        <v>4081</v>
      </c>
      <c r="B1376" s="1" t="s">
        <v>4082</v>
      </c>
      <c r="C1376" s="1" t="s">
        <v>4083</v>
      </c>
      <c r="D1376" s="1" t="s">
        <v>837</v>
      </c>
      <c r="E1376" s="1" t="s">
        <v>838</v>
      </c>
      <c r="F1376" s="1" t="s">
        <v>47</v>
      </c>
      <c r="G1376" s="1">
        <f t="shared" si="105"/>
        <v>1</v>
      </c>
      <c r="H1376" s="1" t="s">
        <v>148</v>
      </c>
      <c r="I1376" s="1" t="s">
        <v>49</v>
      </c>
      <c r="J1376" s="23" t="s">
        <v>50</v>
      </c>
      <c r="K1376" s="2" t="s">
        <v>51</v>
      </c>
      <c r="L1376" s="1">
        <v>293</v>
      </c>
      <c r="M1376" s="1">
        <v>17</v>
      </c>
      <c r="N1376" s="1" t="str">
        <f t="shared" si="108"/>
        <v>Published</v>
      </c>
      <c r="O1376" s="1">
        <f t="shared" si="106"/>
        <v>49.81</v>
      </c>
      <c r="P1376" s="1">
        <v>48</v>
      </c>
      <c r="Q1376" s="1">
        <v>898</v>
      </c>
      <c r="R1376" s="1" t="str">
        <f t="shared" si="109"/>
        <v>1</v>
      </c>
      <c r="S1376" s="1">
        <v>148</v>
      </c>
      <c r="T1376" s="1" t="str">
        <f t="shared" si="107"/>
        <v>2</v>
      </c>
      <c r="U1376" s="1">
        <v>-33.745368999999997</v>
      </c>
      <c r="V1376" s="3">
        <v>150.81601699999999</v>
      </c>
    </row>
    <row r="1377" spans="1:22" x14ac:dyDescent="0.35">
      <c r="A1377" s="22" t="s">
        <v>4084</v>
      </c>
      <c r="B1377" s="1" t="s">
        <v>4085</v>
      </c>
      <c r="C1377" s="1" t="s">
        <v>4086</v>
      </c>
      <c r="D1377" s="1" t="s">
        <v>837</v>
      </c>
      <c r="E1377" s="1" t="s">
        <v>838</v>
      </c>
      <c r="F1377" s="1" t="s">
        <v>47</v>
      </c>
      <c r="G1377" s="1">
        <f t="shared" si="105"/>
        <v>1</v>
      </c>
      <c r="H1377" s="1" t="s">
        <v>148</v>
      </c>
      <c r="I1377" s="1" t="s">
        <v>49</v>
      </c>
      <c r="J1377" s="23" t="s">
        <v>50</v>
      </c>
      <c r="K1377" s="2" t="s">
        <v>51</v>
      </c>
      <c r="L1377" s="1">
        <v>515</v>
      </c>
      <c r="M1377" s="1">
        <v>21</v>
      </c>
      <c r="N1377" s="1" t="str">
        <f t="shared" si="108"/>
        <v>Published</v>
      </c>
      <c r="O1377" s="1">
        <f t="shared" si="106"/>
        <v>108.14999999999999</v>
      </c>
      <c r="P1377" s="1">
        <v>56</v>
      </c>
      <c r="Q1377" s="1">
        <v>904</v>
      </c>
      <c r="R1377" s="1" t="str">
        <f t="shared" si="109"/>
        <v>2</v>
      </c>
      <c r="S1377" s="1">
        <v>153</v>
      </c>
      <c r="T1377" s="1" t="str">
        <f t="shared" si="107"/>
        <v>3</v>
      </c>
      <c r="U1377" s="1">
        <v>-33.748103</v>
      </c>
      <c r="V1377" s="3">
        <v>150.82592399999999</v>
      </c>
    </row>
    <row r="1378" spans="1:22" x14ac:dyDescent="0.35">
      <c r="A1378" s="22" t="s">
        <v>4087</v>
      </c>
      <c r="B1378" s="1" t="s">
        <v>4088</v>
      </c>
      <c r="C1378" s="1" t="s">
        <v>3954</v>
      </c>
      <c r="D1378" s="1" t="s">
        <v>837</v>
      </c>
      <c r="E1378" s="1" t="s">
        <v>838</v>
      </c>
      <c r="F1378" s="1" t="s">
        <v>47</v>
      </c>
      <c r="G1378" s="1">
        <f t="shared" si="105"/>
        <v>1</v>
      </c>
      <c r="H1378" s="1" t="s">
        <v>148</v>
      </c>
      <c r="I1378" s="1" t="s">
        <v>49</v>
      </c>
      <c r="J1378" s="23" t="s">
        <v>50</v>
      </c>
      <c r="K1378" s="2" t="s">
        <v>51</v>
      </c>
      <c r="L1378" s="1">
        <v>320</v>
      </c>
      <c r="M1378" s="1">
        <v>31</v>
      </c>
      <c r="N1378" s="1" t="str">
        <f t="shared" si="108"/>
        <v>Published</v>
      </c>
      <c r="O1378" s="1">
        <f t="shared" si="106"/>
        <v>99.2</v>
      </c>
      <c r="P1378" s="1">
        <v>23</v>
      </c>
      <c r="Q1378" s="1">
        <v>864</v>
      </c>
      <c r="R1378" s="1" t="str">
        <f t="shared" si="109"/>
        <v>1</v>
      </c>
      <c r="S1378" s="1">
        <v>175</v>
      </c>
      <c r="T1378" s="1" t="str">
        <f t="shared" si="107"/>
        <v>3</v>
      </c>
      <c r="U1378" s="1">
        <v>-33.759957999999997</v>
      </c>
      <c r="V1378" s="3">
        <v>150.804846</v>
      </c>
    </row>
    <row r="1379" spans="1:22" x14ac:dyDescent="0.35">
      <c r="A1379" s="22" t="s">
        <v>4089</v>
      </c>
      <c r="B1379" s="1" t="s">
        <v>4090</v>
      </c>
      <c r="C1379" s="1" t="s">
        <v>3039</v>
      </c>
      <c r="D1379" s="1" t="s">
        <v>408</v>
      </c>
      <c r="E1379" s="1" t="s">
        <v>68</v>
      </c>
      <c r="F1379" s="1" t="s">
        <v>57</v>
      </c>
      <c r="G1379" s="1">
        <f t="shared" si="105"/>
        <v>2</v>
      </c>
      <c r="H1379" s="1" t="s">
        <v>86</v>
      </c>
      <c r="I1379" s="1" t="s">
        <v>49</v>
      </c>
      <c r="J1379" s="23" t="s">
        <v>50</v>
      </c>
      <c r="K1379" s="2" t="s">
        <v>51</v>
      </c>
      <c r="L1379" s="1">
        <v>225</v>
      </c>
      <c r="M1379" s="1">
        <v>17</v>
      </c>
      <c r="N1379" s="1" t="str">
        <f t="shared" si="108"/>
        <v>Published</v>
      </c>
      <c r="O1379" s="1">
        <f t="shared" si="106"/>
        <v>38.25</v>
      </c>
      <c r="P1379" s="1">
        <v>6</v>
      </c>
      <c r="Q1379" s="1">
        <v>960</v>
      </c>
      <c r="R1379" s="1" t="str">
        <f t="shared" si="109"/>
        <v>2</v>
      </c>
      <c r="S1379" s="1">
        <v>110</v>
      </c>
      <c r="T1379" s="1" t="str">
        <f t="shared" si="107"/>
        <v>2</v>
      </c>
      <c r="U1379" s="1">
        <v>-34.849094999999998</v>
      </c>
      <c r="V1379" s="3">
        <v>148.918959</v>
      </c>
    </row>
    <row r="1380" spans="1:22" x14ac:dyDescent="0.35">
      <c r="A1380" s="22" t="s">
        <v>4091</v>
      </c>
      <c r="B1380" s="1" t="s">
        <v>4092</v>
      </c>
      <c r="C1380" s="1" t="s">
        <v>4093</v>
      </c>
      <c r="D1380" s="1" t="s">
        <v>404</v>
      </c>
      <c r="E1380" s="1" t="s">
        <v>429</v>
      </c>
      <c r="F1380" s="1" t="s">
        <v>47</v>
      </c>
      <c r="G1380" s="1">
        <f t="shared" si="105"/>
        <v>1</v>
      </c>
      <c r="H1380" s="1" t="s">
        <v>63</v>
      </c>
      <c r="I1380" s="1" t="s">
        <v>49</v>
      </c>
      <c r="J1380" s="23" t="s">
        <v>50</v>
      </c>
      <c r="K1380" s="2" t="s">
        <v>51</v>
      </c>
      <c r="L1380" s="1">
        <v>355</v>
      </c>
      <c r="M1380" s="1">
        <v>17</v>
      </c>
      <c r="N1380" s="1" t="str">
        <f t="shared" si="108"/>
        <v>Published</v>
      </c>
      <c r="O1380" s="1">
        <f t="shared" si="106"/>
        <v>60.35</v>
      </c>
      <c r="P1380" s="1">
        <v>9</v>
      </c>
      <c r="Q1380" s="1">
        <v>959</v>
      </c>
      <c r="R1380" s="1" t="str">
        <f t="shared" si="109"/>
        <v>2</v>
      </c>
      <c r="S1380" s="1">
        <v>116</v>
      </c>
      <c r="T1380" s="1" t="str">
        <f t="shared" si="107"/>
        <v>3</v>
      </c>
      <c r="U1380" s="1">
        <v>-33.603648999999997</v>
      </c>
      <c r="V1380" s="3">
        <v>150.74228099999999</v>
      </c>
    </row>
    <row r="1381" spans="1:22" x14ac:dyDescent="0.35">
      <c r="A1381" s="22" t="s">
        <v>4094</v>
      </c>
      <c r="B1381" s="1" t="s">
        <v>4095</v>
      </c>
      <c r="C1381" s="1" t="s">
        <v>4096</v>
      </c>
      <c r="D1381" s="1" t="s">
        <v>837</v>
      </c>
      <c r="E1381" s="1" t="s">
        <v>838</v>
      </c>
      <c r="F1381" s="1" t="s">
        <v>47</v>
      </c>
      <c r="G1381" s="1">
        <f t="shared" si="105"/>
        <v>1</v>
      </c>
      <c r="H1381" s="1" t="s">
        <v>148</v>
      </c>
      <c r="I1381" s="1" t="s">
        <v>49</v>
      </c>
      <c r="J1381" s="23" t="s">
        <v>50</v>
      </c>
      <c r="K1381" s="2" t="s">
        <v>51</v>
      </c>
      <c r="L1381" s="1">
        <v>288</v>
      </c>
      <c r="M1381" s="1">
        <v>29</v>
      </c>
      <c r="N1381" s="1" t="str">
        <f t="shared" si="108"/>
        <v>Published</v>
      </c>
      <c r="O1381" s="1">
        <f t="shared" si="106"/>
        <v>83.52</v>
      </c>
      <c r="P1381" s="1">
        <v>37</v>
      </c>
      <c r="Q1381" s="1">
        <v>839</v>
      </c>
      <c r="R1381" s="1" t="str">
        <f t="shared" si="109"/>
        <v>1</v>
      </c>
      <c r="S1381" s="1">
        <v>178</v>
      </c>
      <c r="T1381" s="1" t="str">
        <f t="shared" si="107"/>
        <v>2</v>
      </c>
      <c r="U1381" s="1">
        <v>-33.739604999999997</v>
      </c>
      <c r="V1381" s="3">
        <v>150.81585799999999</v>
      </c>
    </row>
    <row r="1382" spans="1:22" x14ac:dyDescent="0.35">
      <c r="A1382" s="22" t="s">
        <v>4097</v>
      </c>
      <c r="B1382" s="1" t="s">
        <v>4098</v>
      </c>
      <c r="C1382" s="1" t="s">
        <v>4099</v>
      </c>
      <c r="D1382" s="1" t="s">
        <v>2884</v>
      </c>
      <c r="E1382" s="1" t="s">
        <v>102</v>
      </c>
      <c r="F1382" s="1" t="s">
        <v>241</v>
      </c>
      <c r="G1382" s="1">
        <f t="shared" si="105"/>
        <v>4</v>
      </c>
      <c r="H1382" s="1" t="s">
        <v>92</v>
      </c>
      <c r="I1382" s="1" t="s">
        <v>49</v>
      </c>
      <c r="J1382" s="23" t="s">
        <v>50</v>
      </c>
      <c r="K1382" s="2" t="s">
        <v>51</v>
      </c>
      <c r="L1382" s="1">
        <v>8</v>
      </c>
      <c r="M1382" s="1"/>
      <c r="N1382" s="1" t="str">
        <f t="shared" si="108"/>
        <v>Suppressed</v>
      </c>
      <c r="O1382" s="1" t="str">
        <f t="shared" si="106"/>
        <v/>
      </c>
      <c r="P1382" s="1">
        <v>0</v>
      </c>
      <c r="Q1382" s="1">
        <v>974</v>
      </c>
      <c r="R1382" s="1" t="str">
        <f t="shared" si="109"/>
        <v>2</v>
      </c>
      <c r="S1382" s="1">
        <v>74</v>
      </c>
      <c r="T1382" s="1" t="str">
        <f t="shared" si="107"/>
        <v>1</v>
      </c>
      <c r="U1382" s="1">
        <v>-30.878869999999999</v>
      </c>
      <c r="V1382" s="3">
        <v>147.374516</v>
      </c>
    </row>
    <row r="1383" spans="1:22" x14ac:dyDescent="0.35">
      <c r="A1383" s="22" t="s">
        <v>4100</v>
      </c>
      <c r="B1383" s="1" t="s">
        <v>4101</v>
      </c>
      <c r="C1383" s="1" t="s">
        <v>2762</v>
      </c>
      <c r="D1383" s="1" t="s">
        <v>79</v>
      </c>
      <c r="E1383" s="1" t="s">
        <v>80</v>
      </c>
      <c r="F1383" s="1" t="s">
        <v>57</v>
      </c>
      <c r="G1383" s="1">
        <f t="shared" si="105"/>
        <v>2</v>
      </c>
      <c r="H1383" s="1" t="s">
        <v>70</v>
      </c>
      <c r="I1383" s="1" t="s">
        <v>49</v>
      </c>
      <c r="J1383" s="23" t="s">
        <v>50</v>
      </c>
      <c r="K1383" s="2" t="s">
        <v>51</v>
      </c>
      <c r="L1383" s="1">
        <v>239</v>
      </c>
      <c r="M1383" s="1">
        <v>26</v>
      </c>
      <c r="N1383" s="1" t="str">
        <f t="shared" si="108"/>
        <v>Published</v>
      </c>
      <c r="O1383" s="1">
        <f t="shared" si="106"/>
        <v>62.14</v>
      </c>
      <c r="P1383" s="1">
        <v>10</v>
      </c>
      <c r="Q1383" s="1">
        <v>900</v>
      </c>
      <c r="R1383" s="1" t="str">
        <f t="shared" si="109"/>
        <v>2</v>
      </c>
      <c r="S1383" s="1">
        <v>137</v>
      </c>
      <c r="T1383" s="1" t="str">
        <f t="shared" si="107"/>
        <v>2</v>
      </c>
      <c r="U1383" s="1">
        <v>-35.315058999999998</v>
      </c>
      <c r="V1383" s="3">
        <v>148.230502</v>
      </c>
    </row>
    <row r="1384" spans="1:22" x14ac:dyDescent="0.35">
      <c r="A1384" s="22" t="s">
        <v>4102</v>
      </c>
      <c r="B1384" s="1" t="s">
        <v>4103</v>
      </c>
      <c r="C1384" s="1" t="s">
        <v>713</v>
      </c>
      <c r="D1384" s="1" t="s">
        <v>713</v>
      </c>
      <c r="E1384" s="1" t="s">
        <v>80</v>
      </c>
      <c r="F1384" s="1" t="s">
        <v>57</v>
      </c>
      <c r="G1384" s="1">
        <f t="shared" si="105"/>
        <v>2</v>
      </c>
      <c r="H1384" s="1" t="s">
        <v>70</v>
      </c>
      <c r="I1384" s="1" t="s">
        <v>49</v>
      </c>
      <c r="J1384" s="23" t="s">
        <v>50</v>
      </c>
      <c r="K1384" s="2" t="s">
        <v>51</v>
      </c>
      <c r="L1384" s="1">
        <v>306</v>
      </c>
      <c r="M1384" s="1">
        <v>17</v>
      </c>
      <c r="N1384" s="1" t="str">
        <f t="shared" si="108"/>
        <v>Published</v>
      </c>
      <c r="O1384" s="1">
        <f t="shared" si="106"/>
        <v>52.02</v>
      </c>
      <c r="P1384" s="1">
        <v>18</v>
      </c>
      <c r="Q1384" s="1">
        <v>966</v>
      </c>
      <c r="R1384" s="1" t="str">
        <f t="shared" si="109"/>
        <v>2</v>
      </c>
      <c r="S1384" s="1">
        <v>111</v>
      </c>
      <c r="T1384" s="1" t="str">
        <f t="shared" si="107"/>
        <v>3</v>
      </c>
      <c r="U1384" s="1">
        <v>-35.13608</v>
      </c>
      <c r="V1384" s="3">
        <v>147.37743900000001</v>
      </c>
    </row>
    <row r="1385" spans="1:22" x14ac:dyDescent="0.35">
      <c r="A1385" s="22" t="s">
        <v>4104</v>
      </c>
      <c r="B1385" s="1" t="s">
        <v>4105</v>
      </c>
      <c r="C1385" s="1" t="s">
        <v>4106</v>
      </c>
      <c r="D1385" s="1" t="s">
        <v>689</v>
      </c>
      <c r="E1385" s="1" t="s">
        <v>122</v>
      </c>
      <c r="F1385" s="1" t="s">
        <v>47</v>
      </c>
      <c r="G1385" s="1">
        <f t="shared" si="105"/>
        <v>1</v>
      </c>
      <c r="H1385" s="1" t="s">
        <v>86</v>
      </c>
      <c r="I1385" s="1" t="s">
        <v>49</v>
      </c>
      <c r="J1385" s="23" t="s">
        <v>50</v>
      </c>
      <c r="K1385" s="2" t="s">
        <v>51</v>
      </c>
      <c r="L1385" s="1">
        <v>263</v>
      </c>
      <c r="M1385" s="1">
        <v>46</v>
      </c>
      <c r="N1385" s="1" t="str">
        <f t="shared" si="108"/>
        <v>Published</v>
      </c>
      <c r="O1385" s="1">
        <f t="shared" si="106"/>
        <v>120.98</v>
      </c>
      <c r="P1385" s="1">
        <v>30</v>
      </c>
      <c r="Q1385" s="1">
        <v>835</v>
      </c>
      <c r="R1385" s="1" t="str">
        <f t="shared" si="109"/>
        <v>1</v>
      </c>
      <c r="S1385" s="1">
        <v>167</v>
      </c>
      <c r="T1385" s="1" t="str">
        <f t="shared" si="107"/>
        <v>2</v>
      </c>
      <c r="U1385" s="1">
        <v>-34.089103000000001</v>
      </c>
      <c r="V1385" s="3">
        <v>150.827673</v>
      </c>
    </row>
    <row r="1386" spans="1:22" x14ac:dyDescent="0.35">
      <c r="A1386" s="22" t="s">
        <v>4107</v>
      </c>
      <c r="B1386" s="1" t="s">
        <v>4108</v>
      </c>
      <c r="C1386" s="1" t="s">
        <v>4109</v>
      </c>
      <c r="D1386" s="1" t="s">
        <v>489</v>
      </c>
      <c r="E1386" s="1" t="s">
        <v>75</v>
      </c>
      <c r="F1386" s="1" t="s">
        <v>47</v>
      </c>
      <c r="G1386" s="1">
        <f t="shared" si="105"/>
        <v>1</v>
      </c>
      <c r="H1386" s="1" t="s">
        <v>58</v>
      </c>
      <c r="I1386" s="1" t="s">
        <v>49</v>
      </c>
      <c r="J1386" s="23" t="s">
        <v>50</v>
      </c>
      <c r="K1386" s="2" t="s">
        <v>51</v>
      </c>
      <c r="L1386" s="1">
        <v>221</v>
      </c>
      <c r="M1386" s="1">
        <v>47</v>
      </c>
      <c r="N1386" s="1" t="str">
        <f t="shared" si="108"/>
        <v>Published</v>
      </c>
      <c r="O1386" s="1">
        <f t="shared" si="106"/>
        <v>103.86999999999999</v>
      </c>
      <c r="P1386" s="1">
        <v>6</v>
      </c>
      <c r="Q1386" s="1">
        <v>817</v>
      </c>
      <c r="R1386" s="1" t="str">
        <f t="shared" si="109"/>
        <v>1</v>
      </c>
      <c r="S1386" s="1">
        <v>188</v>
      </c>
      <c r="T1386" s="1" t="str">
        <f t="shared" si="107"/>
        <v>2</v>
      </c>
      <c r="U1386" s="1">
        <v>-32.792209999999997</v>
      </c>
      <c r="V1386" s="3">
        <v>151.67050800000001</v>
      </c>
    </row>
    <row r="1387" spans="1:22" x14ac:dyDescent="0.35">
      <c r="A1387" s="22" t="s">
        <v>4110</v>
      </c>
      <c r="B1387" s="1" t="s">
        <v>4111</v>
      </c>
      <c r="C1387" s="1" t="s">
        <v>3531</v>
      </c>
      <c r="D1387" s="1" t="s">
        <v>689</v>
      </c>
      <c r="E1387" s="1" t="s">
        <v>122</v>
      </c>
      <c r="F1387" s="1" t="s">
        <v>47</v>
      </c>
      <c r="G1387" s="1">
        <f t="shared" si="105"/>
        <v>1</v>
      </c>
      <c r="H1387" s="1" t="s">
        <v>86</v>
      </c>
      <c r="I1387" s="1" t="s">
        <v>49</v>
      </c>
      <c r="J1387" s="23" t="s">
        <v>50</v>
      </c>
      <c r="K1387" s="2" t="s">
        <v>51</v>
      </c>
      <c r="L1387" s="1">
        <v>275</v>
      </c>
      <c r="M1387" s="1">
        <v>28</v>
      </c>
      <c r="N1387" s="1" t="str">
        <f t="shared" si="108"/>
        <v>Published</v>
      </c>
      <c r="O1387" s="1">
        <f t="shared" si="106"/>
        <v>77.000000000000014</v>
      </c>
      <c r="P1387" s="1">
        <v>66</v>
      </c>
      <c r="Q1387" s="1">
        <v>883</v>
      </c>
      <c r="R1387" s="1" t="str">
        <f t="shared" si="109"/>
        <v>1</v>
      </c>
      <c r="S1387" s="1">
        <v>178</v>
      </c>
      <c r="T1387" s="1" t="str">
        <f t="shared" si="107"/>
        <v>2</v>
      </c>
      <c r="U1387" s="1">
        <v>-33.993144999999998</v>
      </c>
      <c r="V1387" s="3">
        <v>150.89942600000001</v>
      </c>
    </row>
    <row r="1388" spans="1:22" x14ac:dyDescent="0.35">
      <c r="A1388" s="22" t="s">
        <v>4112</v>
      </c>
      <c r="B1388" s="1" t="s">
        <v>4113</v>
      </c>
      <c r="C1388" s="1" t="s">
        <v>3531</v>
      </c>
      <c r="D1388" s="1" t="s">
        <v>689</v>
      </c>
      <c r="E1388" s="1" t="s">
        <v>122</v>
      </c>
      <c r="F1388" s="1" t="s">
        <v>47</v>
      </c>
      <c r="G1388" s="1">
        <f t="shared" si="105"/>
        <v>1</v>
      </c>
      <c r="H1388" s="1" t="s">
        <v>182</v>
      </c>
      <c r="I1388" s="1" t="s">
        <v>49</v>
      </c>
      <c r="J1388" s="23" t="s">
        <v>50</v>
      </c>
      <c r="K1388" s="2" t="s">
        <v>51</v>
      </c>
      <c r="L1388" s="1">
        <v>221</v>
      </c>
      <c r="M1388" s="1">
        <v>31</v>
      </c>
      <c r="N1388" s="1" t="str">
        <f t="shared" si="108"/>
        <v>Published</v>
      </c>
      <c r="O1388" s="1">
        <f t="shared" si="106"/>
        <v>68.510000000000005</v>
      </c>
      <c r="P1388" s="1">
        <v>41</v>
      </c>
      <c r="Q1388" s="1">
        <v>880</v>
      </c>
      <c r="R1388" s="1" t="str">
        <f t="shared" si="109"/>
        <v>1</v>
      </c>
      <c r="S1388" s="1">
        <v>165</v>
      </c>
      <c r="T1388" s="1" t="str">
        <f t="shared" si="107"/>
        <v>2</v>
      </c>
      <c r="U1388" s="1">
        <v>-33.987448000000001</v>
      </c>
      <c r="V1388" s="3">
        <v>150.89691999999999</v>
      </c>
    </row>
    <row r="1389" spans="1:22" x14ac:dyDescent="0.35">
      <c r="A1389" s="22" t="s">
        <v>4114</v>
      </c>
      <c r="B1389" s="1" t="s">
        <v>4115</v>
      </c>
      <c r="C1389" s="1" t="s">
        <v>4116</v>
      </c>
      <c r="D1389" s="1" t="s">
        <v>176</v>
      </c>
      <c r="E1389" s="1" t="s">
        <v>85</v>
      </c>
      <c r="F1389" s="1" t="s">
        <v>47</v>
      </c>
      <c r="G1389" s="1">
        <f t="shared" si="105"/>
        <v>1</v>
      </c>
      <c r="H1389" s="1" t="s">
        <v>86</v>
      </c>
      <c r="I1389" s="1" t="s">
        <v>49</v>
      </c>
      <c r="J1389" s="23" t="s">
        <v>50</v>
      </c>
      <c r="K1389" s="2" t="s">
        <v>51</v>
      </c>
      <c r="L1389" s="1">
        <v>181</v>
      </c>
      <c r="M1389" s="1">
        <v>6</v>
      </c>
      <c r="N1389" s="1" t="str">
        <f t="shared" si="108"/>
        <v>Published</v>
      </c>
      <c r="O1389" s="1">
        <f t="shared" si="106"/>
        <v>10.86</v>
      </c>
      <c r="P1389" s="1">
        <v>24</v>
      </c>
      <c r="Q1389" s="1">
        <v>1061</v>
      </c>
      <c r="R1389" s="1" t="str">
        <f t="shared" si="109"/>
        <v>3</v>
      </c>
      <c r="S1389" s="1">
        <v>53</v>
      </c>
      <c r="T1389" s="1" t="str">
        <f t="shared" si="107"/>
        <v>2</v>
      </c>
      <c r="U1389" s="1">
        <v>-34.431525999999998</v>
      </c>
      <c r="V1389" s="3">
        <v>150.855504</v>
      </c>
    </row>
    <row r="1390" spans="1:22" x14ac:dyDescent="0.35">
      <c r="A1390" s="22" t="s">
        <v>4117</v>
      </c>
      <c r="B1390" s="1" t="s">
        <v>4118</v>
      </c>
      <c r="C1390" s="1" t="s">
        <v>4119</v>
      </c>
      <c r="D1390" s="1" t="s">
        <v>84</v>
      </c>
      <c r="E1390" s="1" t="s">
        <v>85</v>
      </c>
      <c r="F1390" s="1" t="s">
        <v>47</v>
      </c>
      <c r="G1390" s="1">
        <f t="shared" si="105"/>
        <v>1</v>
      </c>
      <c r="H1390" s="1" t="s">
        <v>86</v>
      </c>
      <c r="I1390" s="1" t="s">
        <v>49</v>
      </c>
      <c r="J1390" s="23" t="s">
        <v>50</v>
      </c>
      <c r="K1390" s="2" t="s">
        <v>51</v>
      </c>
      <c r="L1390" s="1">
        <v>518</v>
      </c>
      <c r="M1390" s="1">
        <v>11</v>
      </c>
      <c r="N1390" s="1" t="str">
        <f t="shared" si="108"/>
        <v>Published</v>
      </c>
      <c r="O1390" s="1">
        <f t="shared" si="106"/>
        <v>56.98</v>
      </c>
      <c r="P1390" s="1">
        <v>18</v>
      </c>
      <c r="Q1390" s="1">
        <v>1004</v>
      </c>
      <c r="R1390" s="1" t="str">
        <f t="shared" si="109"/>
        <v>3</v>
      </c>
      <c r="S1390" s="1">
        <v>95</v>
      </c>
      <c r="T1390" s="1" t="str">
        <f t="shared" si="107"/>
        <v>3</v>
      </c>
      <c r="U1390" s="1">
        <v>-34.582182000000003</v>
      </c>
      <c r="V1390" s="3">
        <v>150.85024000000001</v>
      </c>
    </row>
    <row r="1391" spans="1:22" x14ac:dyDescent="0.35">
      <c r="A1391" s="22" t="s">
        <v>4120</v>
      </c>
      <c r="B1391" s="1" t="s">
        <v>4121</v>
      </c>
      <c r="C1391" s="1" t="s">
        <v>4122</v>
      </c>
      <c r="D1391" s="1" t="s">
        <v>382</v>
      </c>
      <c r="E1391" s="1" t="s">
        <v>196</v>
      </c>
      <c r="F1391" s="1" t="s">
        <v>57</v>
      </c>
      <c r="G1391" s="1">
        <f t="shared" si="105"/>
        <v>2</v>
      </c>
      <c r="H1391" s="1" t="s">
        <v>86</v>
      </c>
      <c r="I1391" s="1" t="s">
        <v>49</v>
      </c>
      <c r="J1391" s="23" t="s">
        <v>50</v>
      </c>
      <c r="K1391" s="2" t="s">
        <v>51</v>
      </c>
      <c r="L1391" s="1">
        <v>408</v>
      </c>
      <c r="M1391" s="1">
        <v>32</v>
      </c>
      <c r="N1391" s="1" t="str">
        <f t="shared" si="108"/>
        <v>Published</v>
      </c>
      <c r="O1391" s="1">
        <f t="shared" si="106"/>
        <v>130.56</v>
      </c>
      <c r="P1391" s="1">
        <v>6</v>
      </c>
      <c r="Q1391" s="1">
        <v>909</v>
      </c>
      <c r="R1391" s="1" t="str">
        <f t="shared" si="109"/>
        <v>2</v>
      </c>
      <c r="S1391" s="1">
        <v>133</v>
      </c>
      <c r="T1391" s="1" t="str">
        <f t="shared" si="107"/>
        <v>3</v>
      </c>
      <c r="U1391" s="1">
        <v>-35.104844</v>
      </c>
      <c r="V1391" s="3">
        <v>150.62858499999999</v>
      </c>
    </row>
    <row r="1392" spans="1:22" x14ac:dyDescent="0.35">
      <c r="A1392" s="22" t="s">
        <v>4123</v>
      </c>
      <c r="B1392" s="1" t="s">
        <v>4124</v>
      </c>
      <c r="C1392" s="1" t="s">
        <v>4125</v>
      </c>
      <c r="D1392" s="1" t="s">
        <v>678</v>
      </c>
      <c r="E1392" s="1" t="s">
        <v>122</v>
      </c>
      <c r="F1392" s="1" t="s">
        <v>47</v>
      </c>
      <c r="G1392" s="1">
        <f t="shared" si="105"/>
        <v>1</v>
      </c>
      <c r="H1392" s="1" t="s">
        <v>86</v>
      </c>
      <c r="I1392" s="1" t="s">
        <v>49</v>
      </c>
      <c r="J1392" s="23" t="s">
        <v>50</v>
      </c>
      <c r="K1392" s="2" t="s">
        <v>51</v>
      </c>
      <c r="L1392" s="1">
        <v>386</v>
      </c>
      <c r="M1392" s="1">
        <v>10</v>
      </c>
      <c r="N1392" s="1" t="str">
        <f t="shared" si="108"/>
        <v>Published</v>
      </c>
      <c r="O1392" s="1">
        <f t="shared" si="106"/>
        <v>38.6</v>
      </c>
      <c r="P1392" s="1">
        <v>7</v>
      </c>
      <c r="Q1392" s="1">
        <v>1017</v>
      </c>
      <c r="R1392" s="1" t="str">
        <f t="shared" si="109"/>
        <v>3</v>
      </c>
      <c r="S1392" s="1">
        <v>85</v>
      </c>
      <c r="T1392" s="1" t="str">
        <f t="shared" si="107"/>
        <v>3</v>
      </c>
      <c r="U1392" s="1">
        <v>-34.061245</v>
      </c>
      <c r="V1392" s="3">
        <v>150.7122</v>
      </c>
    </row>
    <row r="1393" spans="1:22" x14ac:dyDescent="0.35">
      <c r="A1393" s="22" t="s">
        <v>4126</v>
      </c>
      <c r="B1393" s="1" t="s">
        <v>4127</v>
      </c>
      <c r="C1393" s="1" t="s">
        <v>2480</v>
      </c>
      <c r="D1393" s="1" t="s">
        <v>537</v>
      </c>
      <c r="E1393" s="1" t="s">
        <v>181</v>
      </c>
      <c r="F1393" s="1" t="s">
        <v>47</v>
      </c>
      <c r="G1393" s="1">
        <f t="shared" si="105"/>
        <v>1</v>
      </c>
      <c r="H1393" s="1" t="s">
        <v>182</v>
      </c>
      <c r="I1393" s="1" t="s">
        <v>49</v>
      </c>
      <c r="J1393" s="23" t="s">
        <v>50</v>
      </c>
      <c r="K1393" s="2" t="s">
        <v>51</v>
      </c>
      <c r="L1393" s="1">
        <v>396</v>
      </c>
      <c r="M1393" s="1">
        <v>2</v>
      </c>
      <c r="N1393" s="1" t="str">
        <f t="shared" si="108"/>
        <v>Published</v>
      </c>
      <c r="O1393" s="1">
        <f t="shared" si="106"/>
        <v>7.92</v>
      </c>
      <c r="P1393" s="1">
        <v>78</v>
      </c>
      <c r="Q1393" s="1">
        <v>985</v>
      </c>
      <c r="R1393" s="1" t="str">
        <f t="shared" si="109"/>
        <v>2</v>
      </c>
      <c r="S1393" s="1">
        <v>114</v>
      </c>
      <c r="T1393" s="1" t="str">
        <f t="shared" si="107"/>
        <v>3</v>
      </c>
      <c r="U1393" s="1">
        <v>-33.879147000000003</v>
      </c>
      <c r="V1393" s="3">
        <v>150.91070099999999</v>
      </c>
    </row>
    <row r="1394" spans="1:22" x14ac:dyDescent="0.35">
      <c r="A1394" s="22" t="s">
        <v>4128</v>
      </c>
      <c r="B1394" s="1" t="s">
        <v>4129</v>
      </c>
      <c r="C1394" s="1" t="s">
        <v>4130</v>
      </c>
      <c r="D1394" s="1" t="s">
        <v>95</v>
      </c>
      <c r="E1394" s="1" t="s">
        <v>96</v>
      </c>
      <c r="F1394" s="1" t="s">
        <v>57</v>
      </c>
      <c r="G1394" s="1">
        <f t="shared" si="105"/>
        <v>2</v>
      </c>
      <c r="H1394" s="1" t="s">
        <v>70</v>
      </c>
      <c r="I1394" s="1" t="s">
        <v>49</v>
      </c>
      <c r="J1394" s="23" t="s">
        <v>50</v>
      </c>
      <c r="K1394" s="2" t="s">
        <v>51</v>
      </c>
      <c r="L1394" s="1">
        <v>220</v>
      </c>
      <c r="M1394" s="1">
        <v>28</v>
      </c>
      <c r="N1394" s="1" t="str">
        <f t="shared" si="108"/>
        <v>Published</v>
      </c>
      <c r="O1394" s="1">
        <f t="shared" si="106"/>
        <v>61.600000000000009</v>
      </c>
      <c r="P1394" s="1">
        <v>12</v>
      </c>
      <c r="Q1394" s="1">
        <v>897</v>
      </c>
      <c r="R1394" s="1" t="str">
        <f t="shared" si="109"/>
        <v>1</v>
      </c>
      <c r="S1394" s="1">
        <v>147</v>
      </c>
      <c r="T1394" s="1" t="str">
        <f t="shared" si="107"/>
        <v>2</v>
      </c>
      <c r="U1394" s="1">
        <v>-36.054589999999997</v>
      </c>
      <c r="V1394" s="3">
        <v>146.917314</v>
      </c>
    </row>
    <row r="1395" spans="1:22" x14ac:dyDescent="0.35">
      <c r="A1395" s="22" t="s">
        <v>4131</v>
      </c>
      <c r="B1395" s="1" t="s">
        <v>4132</v>
      </c>
      <c r="C1395" s="1" t="s">
        <v>4133</v>
      </c>
      <c r="D1395" s="1" t="s">
        <v>191</v>
      </c>
      <c r="E1395" s="1" t="s">
        <v>75</v>
      </c>
      <c r="F1395" s="1" t="s">
        <v>47</v>
      </c>
      <c r="G1395" s="1">
        <f t="shared" si="105"/>
        <v>1</v>
      </c>
      <c r="H1395" s="1" t="s">
        <v>63</v>
      </c>
      <c r="I1395" s="1" t="s">
        <v>49</v>
      </c>
      <c r="J1395" s="23" t="s">
        <v>50</v>
      </c>
      <c r="K1395" s="2" t="s">
        <v>51</v>
      </c>
      <c r="L1395" s="1">
        <v>262</v>
      </c>
      <c r="M1395" s="1">
        <v>12</v>
      </c>
      <c r="N1395" s="1" t="str">
        <f t="shared" si="108"/>
        <v>Published</v>
      </c>
      <c r="O1395" s="1">
        <f t="shared" si="106"/>
        <v>31.439999999999998</v>
      </c>
      <c r="P1395" s="1">
        <v>9</v>
      </c>
      <c r="Q1395" s="1">
        <v>1026</v>
      </c>
      <c r="R1395" s="1" t="str">
        <f t="shared" si="109"/>
        <v>3</v>
      </c>
      <c r="S1395" s="1">
        <v>73</v>
      </c>
      <c r="T1395" s="1" t="str">
        <f t="shared" si="107"/>
        <v>2</v>
      </c>
      <c r="U1395" s="1">
        <v>-33.015734999999999</v>
      </c>
      <c r="V1395" s="3">
        <v>151.68745899999999</v>
      </c>
    </row>
    <row r="1396" spans="1:22" x14ac:dyDescent="0.35">
      <c r="A1396" s="22" t="s">
        <v>4134</v>
      </c>
      <c r="B1396" s="1" t="s">
        <v>4135</v>
      </c>
      <c r="C1396" s="1" t="s">
        <v>4136</v>
      </c>
      <c r="D1396" s="1" t="s">
        <v>837</v>
      </c>
      <c r="E1396" s="1" t="s">
        <v>838</v>
      </c>
      <c r="F1396" s="1" t="s">
        <v>47</v>
      </c>
      <c r="G1396" s="1">
        <f t="shared" si="105"/>
        <v>1</v>
      </c>
      <c r="H1396" s="1" t="s">
        <v>148</v>
      </c>
      <c r="I1396" s="1" t="s">
        <v>49</v>
      </c>
      <c r="J1396" s="23" t="s">
        <v>50</v>
      </c>
      <c r="K1396" s="2" t="s">
        <v>51</v>
      </c>
      <c r="L1396" s="1">
        <v>162</v>
      </c>
      <c r="M1396" s="1">
        <v>43</v>
      </c>
      <c r="N1396" s="1" t="str">
        <f t="shared" si="108"/>
        <v>Published</v>
      </c>
      <c r="O1396" s="1">
        <f t="shared" si="106"/>
        <v>69.66</v>
      </c>
      <c r="P1396" s="1">
        <v>39</v>
      </c>
      <c r="Q1396" s="1">
        <v>817</v>
      </c>
      <c r="R1396" s="1" t="str">
        <f t="shared" si="109"/>
        <v>1</v>
      </c>
      <c r="S1396" s="1">
        <v>199</v>
      </c>
      <c r="T1396" s="1" t="str">
        <f t="shared" si="107"/>
        <v>2</v>
      </c>
      <c r="U1396" s="1">
        <v>-33.725746999999998</v>
      </c>
      <c r="V1396" s="3">
        <v>150.79440099999999</v>
      </c>
    </row>
    <row r="1397" spans="1:22" x14ac:dyDescent="0.35">
      <c r="A1397" s="22" t="s">
        <v>4137</v>
      </c>
      <c r="B1397" s="1" t="s">
        <v>4138</v>
      </c>
      <c r="C1397" s="1" t="s">
        <v>4029</v>
      </c>
      <c r="D1397" s="1" t="s">
        <v>642</v>
      </c>
      <c r="E1397" s="1" t="s">
        <v>170</v>
      </c>
      <c r="F1397" s="1" t="s">
        <v>47</v>
      </c>
      <c r="G1397" s="1">
        <f t="shared" si="105"/>
        <v>1</v>
      </c>
      <c r="H1397" s="1" t="s">
        <v>148</v>
      </c>
      <c r="I1397" s="1" t="s">
        <v>49</v>
      </c>
      <c r="J1397" s="23" t="s">
        <v>50</v>
      </c>
      <c r="K1397" s="2" t="s">
        <v>51</v>
      </c>
      <c r="L1397" s="1">
        <v>304</v>
      </c>
      <c r="M1397" s="1"/>
      <c r="N1397" s="1" t="str">
        <f t="shared" si="108"/>
        <v>Suppressed</v>
      </c>
      <c r="O1397" s="1" t="str">
        <f t="shared" si="106"/>
        <v/>
      </c>
      <c r="P1397" s="1">
        <v>48</v>
      </c>
      <c r="Q1397" s="1">
        <v>1103</v>
      </c>
      <c r="R1397" s="1" t="str">
        <f t="shared" si="109"/>
        <v>4</v>
      </c>
      <c r="S1397" s="1">
        <v>31</v>
      </c>
      <c r="T1397" s="1" t="str">
        <f t="shared" si="107"/>
        <v>3</v>
      </c>
      <c r="U1397" s="1">
        <v>-33.774850000000001</v>
      </c>
      <c r="V1397" s="3">
        <v>150.967894</v>
      </c>
    </row>
    <row r="1398" spans="1:22" x14ac:dyDescent="0.35">
      <c r="A1398" s="22" t="s">
        <v>4139</v>
      </c>
      <c r="B1398" s="1" t="s">
        <v>4140</v>
      </c>
      <c r="C1398" s="1" t="s">
        <v>4141</v>
      </c>
      <c r="D1398" s="1" t="s">
        <v>1131</v>
      </c>
      <c r="E1398" s="1" t="s">
        <v>429</v>
      </c>
      <c r="F1398" s="1" t="s">
        <v>47</v>
      </c>
      <c r="G1398" s="1">
        <f t="shared" si="105"/>
        <v>1</v>
      </c>
      <c r="H1398" s="1" t="s">
        <v>148</v>
      </c>
      <c r="I1398" s="1" t="s">
        <v>49</v>
      </c>
      <c r="J1398" s="23" t="s">
        <v>50</v>
      </c>
      <c r="K1398" s="2" t="s">
        <v>51</v>
      </c>
      <c r="L1398" s="1">
        <v>519</v>
      </c>
      <c r="M1398" s="1">
        <v>14</v>
      </c>
      <c r="N1398" s="1" t="str">
        <f t="shared" si="108"/>
        <v>Published</v>
      </c>
      <c r="O1398" s="1">
        <f t="shared" si="106"/>
        <v>72.660000000000011</v>
      </c>
      <c r="P1398" s="1">
        <v>39</v>
      </c>
      <c r="Q1398" s="1">
        <v>963</v>
      </c>
      <c r="R1398" s="1" t="str">
        <f t="shared" si="109"/>
        <v>2</v>
      </c>
      <c r="S1398" s="1">
        <v>109</v>
      </c>
      <c r="T1398" s="1" t="str">
        <f t="shared" si="107"/>
        <v>3</v>
      </c>
      <c r="U1398" s="1">
        <v>-33.755125</v>
      </c>
      <c r="V1398" s="3">
        <v>150.745293</v>
      </c>
    </row>
    <row r="1399" spans="1:22" x14ac:dyDescent="0.35">
      <c r="A1399" s="22" t="s">
        <v>4142</v>
      </c>
      <c r="B1399" s="1" t="s">
        <v>4143</v>
      </c>
      <c r="C1399" s="1" t="s">
        <v>1388</v>
      </c>
      <c r="D1399" s="1" t="s">
        <v>169</v>
      </c>
      <c r="E1399" s="1" t="s">
        <v>170</v>
      </c>
      <c r="F1399" s="1" t="s">
        <v>47</v>
      </c>
      <c r="G1399" s="1">
        <f t="shared" si="105"/>
        <v>1</v>
      </c>
      <c r="H1399" s="1" t="s">
        <v>48</v>
      </c>
      <c r="I1399" s="1" t="s">
        <v>49</v>
      </c>
      <c r="J1399" s="23" t="s">
        <v>50</v>
      </c>
      <c r="K1399" s="2" t="s">
        <v>51</v>
      </c>
      <c r="L1399" s="1">
        <v>169</v>
      </c>
      <c r="M1399" s="1"/>
      <c r="N1399" s="1" t="str">
        <f t="shared" si="108"/>
        <v>Suppressed</v>
      </c>
      <c r="O1399" s="1" t="str">
        <f t="shared" si="106"/>
        <v/>
      </c>
      <c r="P1399" s="1">
        <v>47</v>
      </c>
      <c r="Q1399" s="1">
        <v>1036</v>
      </c>
      <c r="R1399" s="1" t="str">
        <f t="shared" si="109"/>
        <v>3</v>
      </c>
      <c r="S1399" s="1">
        <v>79</v>
      </c>
      <c r="T1399" s="1" t="str">
        <f t="shared" si="107"/>
        <v>2</v>
      </c>
      <c r="U1399" s="1">
        <v>-33.834173999999997</v>
      </c>
      <c r="V1399" s="3">
        <v>150.939897</v>
      </c>
    </row>
    <row r="1400" spans="1:22" x14ac:dyDescent="0.35">
      <c r="A1400" s="22" t="s">
        <v>4144</v>
      </c>
      <c r="B1400" s="1" t="s">
        <v>4145</v>
      </c>
      <c r="C1400" s="1" t="s">
        <v>1130</v>
      </c>
      <c r="D1400" s="1" t="s">
        <v>1131</v>
      </c>
      <c r="E1400" s="1" t="s">
        <v>429</v>
      </c>
      <c r="F1400" s="1" t="s">
        <v>47</v>
      </c>
      <c r="G1400" s="1">
        <f t="shared" si="105"/>
        <v>1</v>
      </c>
      <c r="H1400" s="1" t="s">
        <v>182</v>
      </c>
      <c r="I1400" s="1" t="s">
        <v>49</v>
      </c>
      <c r="J1400" s="23" t="s">
        <v>50</v>
      </c>
      <c r="K1400" s="2" t="s">
        <v>51</v>
      </c>
      <c r="L1400" s="1">
        <v>191</v>
      </c>
      <c r="M1400" s="1">
        <v>7</v>
      </c>
      <c r="N1400" s="1" t="str">
        <f t="shared" si="108"/>
        <v>Published</v>
      </c>
      <c r="O1400" s="1">
        <f t="shared" si="106"/>
        <v>13.370000000000001</v>
      </c>
      <c r="P1400" s="1">
        <v>11</v>
      </c>
      <c r="Q1400" s="1">
        <v>1049</v>
      </c>
      <c r="R1400" s="1" t="str">
        <f t="shared" si="109"/>
        <v>3</v>
      </c>
      <c r="S1400" s="1">
        <v>69</v>
      </c>
      <c r="T1400" s="1" t="str">
        <f t="shared" si="107"/>
        <v>2</v>
      </c>
      <c r="U1400" s="1">
        <v>-33.764319999999998</v>
      </c>
      <c r="V1400" s="3">
        <v>150.650498</v>
      </c>
    </row>
    <row r="1401" spans="1:22" x14ac:dyDescent="0.35">
      <c r="A1401" s="22" t="s">
        <v>4146</v>
      </c>
      <c r="B1401" s="1" t="s">
        <v>4147</v>
      </c>
      <c r="C1401" s="1" t="s">
        <v>4148</v>
      </c>
      <c r="D1401" s="1" t="s">
        <v>837</v>
      </c>
      <c r="E1401" s="1" t="s">
        <v>838</v>
      </c>
      <c r="F1401" s="1" t="s">
        <v>47</v>
      </c>
      <c r="G1401" s="1">
        <f t="shared" si="105"/>
        <v>1</v>
      </c>
      <c r="H1401" s="1" t="s">
        <v>148</v>
      </c>
      <c r="I1401" s="1" t="s">
        <v>49</v>
      </c>
      <c r="J1401" s="23" t="s">
        <v>50</v>
      </c>
      <c r="K1401" s="2" t="s">
        <v>51</v>
      </c>
      <c r="L1401" s="1">
        <v>258</v>
      </c>
      <c r="M1401" s="1">
        <v>34</v>
      </c>
      <c r="N1401" s="1" t="str">
        <f t="shared" si="108"/>
        <v>Published</v>
      </c>
      <c r="O1401" s="1">
        <f t="shared" si="106"/>
        <v>87.720000000000013</v>
      </c>
      <c r="P1401" s="1">
        <v>25</v>
      </c>
      <c r="Q1401" s="1">
        <v>837</v>
      </c>
      <c r="R1401" s="1" t="str">
        <f t="shared" si="109"/>
        <v>1</v>
      </c>
      <c r="S1401" s="1">
        <v>188</v>
      </c>
      <c r="T1401" s="1" t="str">
        <f t="shared" si="107"/>
        <v>2</v>
      </c>
      <c r="U1401" s="1">
        <v>-33.726604999999999</v>
      </c>
      <c r="V1401" s="3">
        <v>150.809439</v>
      </c>
    </row>
    <row r="1402" spans="1:22" x14ac:dyDescent="0.35">
      <c r="A1402" s="22" t="s">
        <v>4149</v>
      </c>
      <c r="B1402" s="1" t="s">
        <v>4150</v>
      </c>
      <c r="C1402" s="1" t="s">
        <v>139</v>
      </c>
      <c r="D1402" s="1" t="s">
        <v>139</v>
      </c>
      <c r="E1402" s="1" t="s">
        <v>91</v>
      </c>
      <c r="F1402" s="1" t="s">
        <v>57</v>
      </c>
      <c r="G1402" s="1">
        <f t="shared" si="105"/>
        <v>2</v>
      </c>
      <c r="H1402" s="1" t="s">
        <v>92</v>
      </c>
      <c r="I1402" s="1" t="s">
        <v>49</v>
      </c>
      <c r="J1402" s="23" t="s">
        <v>50</v>
      </c>
      <c r="K1402" s="2" t="s">
        <v>51</v>
      </c>
      <c r="L1402" s="1">
        <v>165</v>
      </c>
      <c r="M1402" s="1">
        <v>64</v>
      </c>
      <c r="N1402" s="1" t="str">
        <f t="shared" si="108"/>
        <v>Published</v>
      </c>
      <c r="O1402" s="1">
        <f t="shared" si="106"/>
        <v>105.60000000000001</v>
      </c>
      <c r="P1402" s="1">
        <v>10</v>
      </c>
      <c r="Q1402" s="1">
        <v>802</v>
      </c>
      <c r="R1402" s="1" t="str">
        <f t="shared" si="109"/>
        <v>1</v>
      </c>
      <c r="S1402" s="1">
        <v>161</v>
      </c>
      <c r="T1402" s="1" t="str">
        <f t="shared" si="107"/>
        <v>2</v>
      </c>
      <c r="U1402" s="1">
        <v>-30.522917</v>
      </c>
      <c r="V1402" s="3">
        <v>151.67715799999999</v>
      </c>
    </row>
    <row r="1403" spans="1:22" x14ac:dyDescent="0.35">
      <c r="A1403" s="22" t="s">
        <v>4151</v>
      </c>
      <c r="B1403" s="1" t="s">
        <v>4152</v>
      </c>
      <c r="C1403" s="1" t="s">
        <v>4153</v>
      </c>
      <c r="D1403" s="1" t="s">
        <v>689</v>
      </c>
      <c r="E1403" s="1" t="s">
        <v>122</v>
      </c>
      <c r="F1403" s="1" t="s">
        <v>47</v>
      </c>
      <c r="G1403" s="1">
        <f t="shared" si="105"/>
        <v>1</v>
      </c>
      <c r="H1403" s="1" t="s">
        <v>86</v>
      </c>
      <c r="I1403" s="1" t="s">
        <v>49</v>
      </c>
      <c r="J1403" s="23" t="s">
        <v>50</v>
      </c>
      <c r="K1403" s="2" t="s">
        <v>51</v>
      </c>
      <c r="L1403" s="1">
        <v>228</v>
      </c>
      <c r="M1403" s="1">
        <v>25</v>
      </c>
      <c r="N1403" s="1" t="str">
        <f t="shared" si="108"/>
        <v>Published</v>
      </c>
      <c r="O1403" s="1">
        <f t="shared" si="106"/>
        <v>57</v>
      </c>
      <c r="P1403" s="1">
        <v>52</v>
      </c>
      <c r="Q1403" s="1">
        <v>907</v>
      </c>
      <c r="R1403" s="1" t="str">
        <f t="shared" si="109"/>
        <v>2</v>
      </c>
      <c r="S1403" s="1">
        <v>147</v>
      </c>
      <c r="T1403" s="1" t="str">
        <f t="shared" si="107"/>
        <v>2</v>
      </c>
      <c r="U1403" s="1">
        <v>-34.082225000000001</v>
      </c>
      <c r="V1403" s="3">
        <v>150.83443399999999</v>
      </c>
    </row>
    <row r="1404" spans="1:22" x14ac:dyDescent="0.35">
      <c r="A1404" s="22" t="s">
        <v>4154</v>
      </c>
      <c r="B1404" s="1" t="s">
        <v>4155</v>
      </c>
      <c r="C1404" s="1" t="s">
        <v>4156</v>
      </c>
      <c r="D1404" s="1" t="s">
        <v>837</v>
      </c>
      <c r="E1404" s="1" t="s">
        <v>838</v>
      </c>
      <c r="F1404" s="1" t="s">
        <v>47</v>
      </c>
      <c r="G1404" s="1">
        <f t="shared" si="105"/>
        <v>1</v>
      </c>
      <c r="H1404" s="1" t="s">
        <v>86</v>
      </c>
      <c r="I1404" s="1" t="s">
        <v>49</v>
      </c>
      <c r="J1404" s="23" t="s">
        <v>50</v>
      </c>
      <c r="K1404" s="2" t="s">
        <v>51</v>
      </c>
      <c r="L1404" s="1">
        <v>410</v>
      </c>
      <c r="M1404" s="1">
        <v>33</v>
      </c>
      <c r="N1404" s="1" t="str">
        <f t="shared" si="108"/>
        <v>Published</v>
      </c>
      <c r="O1404" s="1">
        <f t="shared" si="106"/>
        <v>135.30000000000001</v>
      </c>
      <c r="P1404" s="1">
        <v>49</v>
      </c>
      <c r="Q1404" s="1">
        <v>825</v>
      </c>
      <c r="R1404" s="1" t="str">
        <f t="shared" si="109"/>
        <v>1</v>
      </c>
      <c r="S1404" s="1">
        <v>201</v>
      </c>
      <c r="T1404" s="1" t="str">
        <f t="shared" si="107"/>
        <v>3</v>
      </c>
      <c r="U1404" s="1">
        <v>-33.733547000000002</v>
      </c>
      <c r="V1404" s="3">
        <v>150.82593399999999</v>
      </c>
    </row>
    <row r="1405" spans="1:22" x14ac:dyDescent="0.35">
      <c r="A1405" s="22" t="s">
        <v>4157</v>
      </c>
      <c r="B1405" s="1" t="s">
        <v>4158</v>
      </c>
      <c r="C1405" s="1" t="s">
        <v>4159</v>
      </c>
      <c r="D1405" s="1" t="s">
        <v>689</v>
      </c>
      <c r="E1405" s="1" t="s">
        <v>122</v>
      </c>
      <c r="F1405" s="1" t="s">
        <v>47</v>
      </c>
      <c r="G1405" s="1">
        <f t="shared" si="105"/>
        <v>1</v>
      </c>
      <c r="H1405" s="1" t="s">
        <v>182</v>
      </c>
      <c r="I1405" s="1" t="s">
        <v>49</v>
      </c>
      <c r="J1405" s="23" t="s">
        <v>50</v>
      </c>
      <c r="K1405" s="2" t="s">
        <v>51</v>
      </c>
      <c r="L1405" s="1">
        <v>761</v>
      </c>
      <c r="M1405" s="1">
        <v>8</v>
      </c>
      <c r="N1405" s="1" t="str">
        <f t="shared" si="108"/>
        <v>Published</v>
      </c>
      <c r="O1405" s="1">
        <f t="shared" si="106"/>
        <v>60.88</v>
      </c>
      <c r="P1405" s="1">
        <v>52</v>
      </c>
      <c r="Q1405" s="1">
        <v>995</v>
      </c>
      <c r="R1405" s="1" t="str">
        <f t="shared" si="109"/>
        <v>2</v>
      </c>
      <c r="S1405" s="1">
        <v>97</v>
      </c>
      <c r="T1405" s="1" t="str">
        <f t="shared" si="107"/>
        <v>4</v>
      </c>
      <c r="U1405" s="1">
        <v>-34.022531999999998</v>
      </c>
      <c r="V1405" s="3">
        <v>150.83136200000001</v>
      </c>
    </row>
    <row r="1406" spans="1:22" x14ac:dyDescent="0.35">
      <c r="A1406" s="22" t="s">
        <v>4160</v>
      </c>
      <c r="B1406" s="1" t="s">
        <v>4161</v>
      </c>
      <c r="C1406" s="1" t="s">
        <v>4162</v>
      </c>
      <c r="D1406" s="1" t="s">
        <v>1131</v>
      </c>
      <c r="E1406" s="1" t="s">
        <v>429</v>
      </c>
      <c r="F1406" s="1" t="s">
        <v>47</v>
      </c>
      <c r="G1406" s="1">
        <f t="shared" si="105"/>
        <v>1</v>
      </c>
      <c r="H1406" s="1" t="s">
        <v>182</v>
      </c>
      <c r="I1406" s="1" t="s">
        <v>49</v>
      </c>
      <c r="J1406" s="23" t="s">
        <v>50</v>
      </c>
      <c r="K1406" s="2" t="s">
        <v>51</v>
      </c>
      <c r="L1406" s="1">
        <v>515</v>
      </c>
      <c r="M1406" s="1">
        <v>13</v>
      </c>
      <c r="N1406" s="1" t="str">
        <f t="shared" si="108"/>
        <v>Published</v>
      </c>
      <c r="O1406" s="1">
        <f t="shared" si="106"/>
        <v>66.95</v>
      </c>
      <c r="P1406" s="1">
        <v>16</v>
      </c>
      <c r="Q1406" s="1">
        <v>973</v>
      </c>
      <c r="R1406" s="1" t="str">
        <f t="shared" si="109"/>
        <v>2</v>
      </c>
      <c r="S1406" s="1">
        <v>112</v>
      </c>
      <c r="T1406" s="1" t="str">
        <f t="shared" si="107"/>
        <v>3</v>
      </c>
      <c r="U1406" s="1">
        <v>-33.777110999999998</v>
      </c>
      <c r="V1406" s="3">
        <v>150.69812400000001</v>
      </c>
    </row>
    <row r="1407" spans="1:22" x14ac:dyDescent="0.35">
      <c r="A1407" s="22" t="s">
        <v>4163</v>
      </c>
      <c r="B1407" s="1" t="s">
        <v>4164</v>
      </c>
      <c r="C1407" s="1" t="s">
        <v>4165</v>
      </c>
      <c r="D1407" s="1" t="s">
        <v>404</v>
      </c>
      <c r="E1407" s="1" t="s">
        <v>127</v>
      </c>
      <c r="F1407" s="1" t="s">
        <v>57</v>
      </c>
      <c r="G1407" s="1">
        <f t="shared" si="105"/>
        <v>2</v>
      </c>
      <c r="H1407" s="1" t="s">
        <v>63</v>
      </c>
      <c r="I1407" s="1" t="s">
        <v>49</v>
      </c>
      <c r="J1407" s="23" t="s">
        <v>50</v>
      </c>
      <c r="K1407" s="2" t="s">
        <v>51</v>
      </c>
      <c r="L1407" s="1">
        <v>265</v>
      </c>
      <c r="M1407" s="1">
        <v>8</v>
      </c>
      <c r="N1407" s="1" t="str">
        <f t="shared" si="108"/>
        <v>Published</v>
      </c>
      <c r="O1407" s="1">
        <f t="shared" si="106"/>
        <v>21.2</v>
      </c>
      <c r="P1407" s="1">
        <v>7</v>
      </c>
      <c r="Q1407" s="1">
        <v>1005</v>
      </c>
      <c r="R1407" s="1" t="str">
        <f t="shared" si="109"/>
        <v>3</v>
      </c>
      <c r="S1407" s="1">
        <v>87</v>
      </c>
      <c r="T1407" s="1" t="str">
        <f t="shared" si="107"/>
        <v>2</v>
      </c>
      <c r="U1407" s="1">
        <v>-33.594467999999999</v>
      </c>
      <c r="V1407" s="3">
        <v>150.66485</v>
      </c>
    </row>
    <row r="1408" spans="1:22" x14ac:dyDescent="0.35">
      <c r="A1408" s="22" t="s">
        <v>4166</v>
      </c>
      <c r="B1408" s="1" t="s">
        <v>4167</v>
      </c>
      <c r="C1408" s="1" t="s">
        <v>3526</v>
      </c>
      <c r="D1408" s="1" t="s">
        <v>1131</v>
      </c>
      <c r="E1408" s="1" t="s">
        <v>429</v>
      </c>
      <c r="F1408" s="1" t="s">
        <v>47</v>
      </c>
      <c r="G1408" s="1">
        <f t="shared" si="105"/>
        <v>1</v>
      </c>
      <c r="H1408" s="1" t="s">
        <v>148</v>
      </c>
      <c r="I1408" s="1" t="s">
        <v>49</v>
      </c>
      <c r="J1408" s="23" t="s">
        <v>50</v>
      </c>
      <c r="K1408" s="2" t="s">
        <v>51</v>
      </c>
      <c r="L1408" s="1">
        <v>341</v>
      </c>
      <c r="M1408" s="1">
        <v>18</v>
      </c>
      <c r="N1408" s="1" t="str">
        <f t="shared" si="108"/>
        <v>Published</v>
      </c>
      <c r="O1408" s="1">
        <f t="shared" si="106"/>
        <v>61.379999999999995</v>
      </c>
      <c r="P1408" s="1">
        <v>16</v>
      </c>
      <c r="Q1408" s="1">
        <v>965</v>
      </c>
      <c r="R1408" s="1" t="str">
        <f t="shared" si="109"/>
        <v>2</v>
      </c>
      <c r="S1408" s="1">
        <v>106</v>
      </c>
      <c r="T1408" s="1" t="str">
        <f t="shared" si="107"/>
        <v>3</v>
      </c>
      <c r="U1408" s="1">
        <v>-33.737223999999998</v>
      </c>
      <c r="V1408" s="3">
        <v>150.72200799999999</v>
      </c>
    </row>
    <row r="1409" spans="1:22" x14ac:dyDescent="0.35">
      <c r="A1409" s="22" t="s">
        <v>4168</v>
      </c>
      <c r="B1409" s="1" t="s">
        <v>4169</v>
      </c>
      <c r="C1409" s="1" t="s">
        <v>4170</v>
      </c>
      <c r="D1409" s="1" t="s">
        <v>382</v>
      </c>
      <c r="E1409" s="1" t="s">
        <v>196</v>
      </c>
      <c r="F1409" s="1" t="s">
        <v>57</v>
      </c>
      <c r="G1409" s="1">
        <f t="shared" si="105"/>
        <v>2</v>
      </c>
      <c r="H1409" s="1" t="s">
        <v>86</v>
      </c>
      <c r="I1409" s="1" t="s">
        <v>49</v>
      </c>
      <c r="J1409" s="23" t="s">
        <v>50</v>
      </c>
      <c r="K1409" s="2" t="s">
        <v>51</v>
      </c>
      <c r="L1409" s="1">
        <v>219</v>
      </c>
      <c r="M1409" s="1">
        <v>22</v>
      </c>
      <c r="N1409" s="1" t="str">
        <f t="shared" si="108"/>
        <v>Published</v>
      </c>
      <c r="O1409" s="1">
        <f t="shared" si="106"/>
        <v>48.18</v>
      </c>
      <c r="P1409" s="1">
        <v>5</v>
      </c>
      <c r="Q1409" s="1">
        <v>952</v>
      </c>
      <c r="R1409" s="1" t="str">
        <f t="shared" si="109"/>
        <v>2</v>
      </c>
      <c r="S1409" s="1">
        <v>101</v>
      </c>
      <c r="T1409" s="1" t="str">
        <f t="shared" si="107"/>
        <v>2</v>
      </c>
      <c r="U1409" s="1">
        <v>-34.933197999999997</v>
      </c>
      <c r="V1409" s="3">
        <v>150.76228599999999</v>
      </c>
    </row>
    <row r="1410" spans="1:22" x14ac:dyDescent="0.35">
      <c r="A1410" s="22" t="s">
        <v>4171</v>
      </c>
      <c r="B1410" s="1" t="s">
        <v>4172</v>
      </c>
      <c r="C1410" s="1" t="s">
        <v>4173</v>
      </c>
      <c r="D1410" s="1" t="s">
        <v>595</v>
      </c>
      <c r="E1410" s="1" t="s">
        <v>56</v>
      </c>
      <c r="F1410" s="1" t="s">
        <v>57</v>
      </c>
      <c r="G1410" s="1">
        <f t="shared" ref="G1410:G1473" si="110">IF(F1410="Major Cities of Australia",1,IF(F1410="Inner Regional Australia",2,IF(F1410="Outer Regional Australia",3,IF(F1410="Remote Australia",4,IF(F1410="Very Remote Australia",5,6)))))</f>
        <v>2</v>
      </c>
      <c r="H1410" s="1" t="s">
        <v>58</v>
      </c>
      <c r="I1410" s="1" t="s">
        <v>49</v>
      </c>
      <c r="J1410" s="23" t="s">
        <v>50</v>
      </c>
      <c r="K1410" s="2" t="s">
        <v>51</v>
      </c>
      <c r="L1410" s="1">
        <v>468</v>
      </c>
      <c r="M1410" s="1">
        <v>22</v>
      </c>
      <c r="N1410" s="1" t="str">
        <f t="shared" si="108"/>
        <v>Published</v>
      </c>
      <c r="O1410" s="1">
        <f t="shared" ref="O1410:O1473" si="111">IF(OR(M1410="",L1410=""),"",M1410/100*L1410)</f>
        <v>102.96</v>
      </c>
      <c r="P1410" s="1">
        <v>8</v>
      </c>
      <c r="Q1410" s="1">
        <v>920</v>
      </c>
      <c r="R1410" s="1" t="str">
        <f t="shared" si="109"/>
        <v>2</v>
      </c>
      <c r="S1410" s="1">
        <v>131</v>
      </c>
      <c r="T1410" s="1" t="str">
        <f t="shared" ref="T1410:T1473" si="112">IF(L1410="","No enrolment",IF(L1410&lt;100,"1",IF(L1410&lt;300,"2",IF(L1410&lt;600,"3",IF(L1410&lt;1000,"4","5")))))</f>
        <v>3</v>
      </c>
      <c r="U1410" s="1">
        <v>-32.549202999999999</v>
      </c>
      <c r="V1410" s="3">
        <v>151.16395499999999</v>
      </c>
    </row>
    <row r="1411" spans="1:22" x14ac:dyDescent="0.35">
      <c r="A1411" s="22" t="s">
        <v>4174</v>
      </c>
      <c r="B1411" s="1" t="s">
        <v>4175</v>
      </c>
      <c r="C1411" s="1" t="s">
        <v>4176</v>
      </c>
      <c r="D1411" s="1" t="s">
        <v>737</v>
      </c>
      <c r="E1411" s="1" t="s">
        <v>738</v>
      </c>
      <c r="F1411" s="1" t="s">
        <v>47</v>
      </c>
      <c r="G1411" s="1">
        <f t="shared" si="110"/>
        <v>1</v>
      </c>
      <c r="H1411" s="1" t="s">
        <v>182</v>
      </c>
      <c r="I1411" s="1" t="s">
        <v>49</v>
      </c>
      <c r="J1411" s="23" t="s">
        <v>50</v>
      </c>
      <c r="K1411" s="2" t="s">
        <v>51</v>
      </c>
      <c r="L1411" s="1">
        <v>272</v>
      </c>
      <c r="M1411" s="1">
        <v>0</v>
      </c>
      <c r="N1411" s="1" t="str">
        <f t="shared" ref="N1411:N1474" si="113">IF(M1411="","Suppressed","Published")</f>
        <v>Published</v>
      </c>
      <c r="O1411" s="1">
        <f t="shared" si="111"/>
        <v>0</v>
      </c>
      <c r="P1411" s="1">
        <v>27</v>
      </c>
      <c r="Q1411" s="1">
        <v>1102</v>
      </c>
      <c r="R1411" s="1" t="str">
        <f t="shared" ref="R1411:R1474" si="114">IF(Q1411="","No ICSEA",IF(Q1411&lt;900,"1",IF(Q1411&lt;1000,"2",IF(Q1411&lt;1100,"3","4"))))</f>
        <v>4</v>
      </c>
      <c r="S1411" s="1">
        <v>38</v>
      </c>
      <c r="T1411" s="1" t="str">
        <f t="shared" si="112"/>
        <v>2</v>
      </c>
      <c r="U1411" s="1">
        <v>-34.012894000000003</v>
      </c>
      <c r="V1411" s="3">
        <v>151.08199099999999</v>
      </c>
    </row>
    <row r="1412" spans="1:22" x14ac:dyDescent="0.35">
      <c r="A1412" s="22" t="s">
        <v>4177</v>
      </c>
      <c r="B1412" s="1" t="s">
        <v>4178</v>
      </c>
      <c r="C1412" s="1" t="s">
        <v>4179</v>
      </c>
      <c r="D1412" s="1" t="s">
        <v>689</v>
      </c>
      <c r="E1412" s="1" t="s">
        <v>122</v>
      </c>
      <c r="F1412" s="1" t="s">
        <v>47</v>
      </c>
      <c r="G1412" s="1">
        <f t="shared" si="110"/>
        <v>1</v>
      </c>
      <c r="H1412" s="1" t="s">
        <v>86</v>
      </c>
      <c r="I1412" s="1" t="s">
        <v>49</v>
      </c>
      <c r="J1412" s="23" t="s">
        <v>50</v>
      </c>
      <c r="K1412" s="2" t="s">
        <v>51</v>
      </c>
      <c r="L1412" s="1">
        <v>483</v>
      </c>
      <c r="M1412" s="1">
        <v>12</v>
      </c>
      <c r="N1412" s="1" t="str">
        <f t="shared" si="113"/>
        <v>Published</v>
      </c>
      <c r="O1412" s="1">
        <f t="shared" si="111"/>
        <v>57.96</v>
      </c>
      <c r="P1412" s="1">
        <v>33</v>
      </c>
      <c r="Q1412" s="1">
        <v>973</v>
      </c>
      <c r="R1412" s="1" t="str">
        <f t="shared" si="114"/>
        <v>2</v>
      </c>
      <c r="S1412" s="1">
        <v>111</v>
      </c>
      <c r="T1412" s="1" t="str">
        <f t="shared" si="112"/>
        <v>3</v>
      </c>
      <c r="U1412" s="1">
        <v>-34.066949000000001</v>
      </c>
      <c r="V1412" s="3">
        <v>150.84157300000001</v>
      </c>
    </row>
    <row r="1413" spans="1:22" x14ac:dyDescent="0.35">
      <c r="A1413" s="22" t="s">
        <v>4180</v>
      </c>
      <c r="B1413" s="1" t="s">
        <v>4181</v>
      </c>
      <c r="C1413" s="1" t="s">
        <v>4182</v>
      </c>
      <c r="D1413" s="1" t="s">
        <v>689</v>
      </c>
      <c r="E1413" s="1" t="s">
        <v>122</v>
      </c>
      <c r="F1413" s="1" t="s">
        <v>47</v>
      </c>
      <c r="G1413" s="1">
        <f t="shared" si="110"/>
        <v>1</v>
      </c>
      <c r="H1413" s="1" t="s">
        <v>182</v>
      </c>
      <c r="I1413" s="1" t="s">
        <v>49</v>
      </c>
      <c r="J1413" s="23" t="s">
        <v>50</v>
      </c>
      <c r="K1413" s="2" t="s">
        <v>51</v>
      </c>
      <c r="L1413" s="1">
        <v>351</v>
      </c>
      <c r="M1413" s="1">
        <v>8</v>
      </c>
      <c r="N1413" s="1" t="str">
        <f t="shared" si="113"/>
        <v>Published</v>
      </c>
      <c r="O1413" s="1">
        <f t="shared" si="111"/>
        <v>28.080000000000002</v>
      </c>
      <c r="P1413" s="1">
        <v>72</v>
      </c>
      <c r="Q1413" s="1">
        <v>992</v>
      </c>
      <c r="R1413" s="1" t="str">
        <f t="shared" si="114"/>
        <v>2</v>
      </c>
      <c r="S1413" s="1">
        <v>93</v>
      </c>
      <c r="T1413" s="1" t="str">
        <f t="shared" si="112"/>
        <v>3</v>
      </c>
      <c r="U1413" s="1">
        <v>-34.037683999999999</v>
      </c>
      <c r="V1413" s="3">
        <v>150.84742199999999</v>
      </c>
    </row>
    <row r="1414" spans="1:22" x14ac:dyDescent="0.35">
      <c r="A1414" s="22" t="s">
        <v>4183</v>
      </c>
      <c r="B1414" s="1" t="s">
        <v>4184</v>
      </c>
      <c r="C1414" s="1" t="s">
        <v>4185</v>
      </c>
      <c r="D1414" s="1" t="s">
        <v>689</v>
      </c>
      <c r="E1414" s="1" t="s">
        <v>122</v>
      </c>
      <c r="F1414" s="1" t="s">
        <v>47</v>
      </c>
      <c r="G1414" s="1">
        <f t="shared" si="110"/>
        <v>1</v>
      </c>
      <c r="H1414" s="1" t="s">
        <v>182</v>
      </c>
      <c r="I1414" s="1" t="s">
        <v>49</v>
      </c>
      <c r="J1414" s="23" t="s">
        <v>50</v>
      </c>
      <c r="K1414" s="2" t="s">
        <v>51</v>
      </c>
      <c r="L1414" s="1">
        <v>474</v>
      </c>
      <c r="M1414" s="1">
        <v>13</v>
      </c>
      <c r="N1414" s="1" t="str">
        <f t="shared" si="113"/>
        <v>Published</v>
      </c>
      <c r="O1414" s="1">
        <f t="shared" si="111"/>
        <v>61.620000000000005</v>
      </c>
      <c r="P1414" s="1">
        <v>54</v>
      </c>
      <c r="Q1414" s="1">
        <v>971</v>
      </c>
      <c r="R1414" s="1" t="str">
        <f t="shared" si="114"/>
        <v>2</v>
      </c>
      <c r="S1414" s="1">
        <v>111</v>
      </c>
      <c r="T1414" s="1" t="str">
        <f t="shared" si="112"/>
        <v>3</v>
      </c>
      <c r="U1414" s="1">
        <v>-34.011068000000002</v>
      </c>
      <c r="V1414" s="3">
        <v>150.863607</v>
      </c>
    </row>
    <row r="1415" spans="1:22" x14ac:dyDescent="0.35">
      <c r="A1415" s="22" t="s">
        <v>4186</v>
      </c>
      <c r="B1415" s="1" t="s">
        <v>4187</v>
      </c>
      <c r="C1415" s="1" t="s">
        <v>4188</v>
      </c>
      <c r="D1415" s="1" t="s">
        <v>689</v>
      </c>
      <c r="E1415" s="1" t="s">
        <v>122</v>
      </c>
      <c r="F1415" s="1" t="s">
        <v>47</v>
      </c>
      <c r="G1415" s="1">
        <f t="shared" si="110"/>
        <v>1</v>
      </c>
      <c r="H1415" s="1" t="s">
        <v>86</v>
      </c>
      <c r="I1415" s="1" t="s">
        <v>49</v>
      </c>
      <c r="J1415" s="23" t="s">
        <v>50</v>
      </c>
      <c r="K1415" s="2" t="s">
        <v>51</v>
      </c>
      <c r="L1415" s="1">
        <v>275</v>
      </c>
      <c r="M1415" s="1">
        <v>14</v>
      </c>
      <c r="N1415" s="1" t="str">
        <f t="shared" si="113"/>
        <v>Published</v>
      </c>
      <c r="O1415" s="1">
        <f t="shared" si="111"/>
        <v>38.500000000000007</v>
      </c>
      <c r="P1415" s="1">
        <v>32</v>
      </c>
      <c r="Q1415" s="1">
        <v>959</v>
      </c>
      <c r="R1415" s="1" t="str">
        <f t="shared" si="114"/>
        <v>2</v>
      </c>
      <c r="S1415" s="1">
        <v>126</v>
      </c>
      <c r="T1415" s="1" t="str">
        <f t="shared" si="112"/>
        <v>2</v>
      </c>
      <c r="U1415" s="1">
        <v>-34.097071999999997</v>
      </c>
      <c r="V1415" s="3">
        <v>150.815078</v>
      </c>
    </row>
    <row r="1416" spans="1:22" x14ac:dyDescent="0.35">
      <c r="A1416" s="22" t="s">
        <v>4189</v>
      </c>
      <c r="B1416" s="1" t="s">
        <v>4190</v>
      </c>
      <c r="C1416" s="1" t="s">
        <v>4148</v>
      </c>
      <c r="D1416" s="1" t="s">
        <v>837</v>
      </c>
      <c r="E1416" s="1" t="s">
        <v>838</v>
      </c>
      <c r="F1416" s="1" t="s">
        <v>47</v>
      </c>
      <c r="G1416" s="1">
        <f t="shared" si="110"/>
        <v>1</v>
      </c>
      <c r="H1416" s="1" t="s">
        <v>148</v>
      </c>
      <c r="I1416" s="1" t="s">
        <v>49</v>
      </c>
      <c r="J1416" s="23" t="s">
        <v>50</v>
      </c>
      <c r="K1416" s="2" t="s">
        <v>51</v>
      </c>
      <c r="L1416" s="1">
        <v>260</v>
      </c>
      <c r="M1416" s="1">
        <v>28</v>
      </c>
      <c r="N1416" s="1" t="str">
        <f t="shared" si="113"/>
        <v>Published</v>
      </c>
      <c r="O1416" s="1">
        <f t="shared" si="111"/>
        <v>72.800000000000011</v>
      </c>
      <c r="P1416" s="1">
        <v>34</v>
      </c>
      <c r="Q1416" s="1">
        <v>866</v>
      </c>
      <c r="R1416" s="1" t="str">
        <f t="shared" si="114"/>
        <v>1</v>
      </c>
      <c r="S1416" s="1">
        <v>178</v>
      </c>
      <c r="T1416" s="1" t="str">
        <f t="shared" si="112"/>
        <v>2</v>
      </c>
      <c r="U1416" s="1">
        <v>-33.732605999999997</v>
      </c>
      <c r="V1416" s="3">
        <v>150.80989199999999</v>
      </c>
    </row>
    <row r="1417" spans="1:22" x14ac:dyDescent="0.35">
      <c r="A1417" s="22" t="s">
        <v>4191</v>
      </c>
      <c r="B1417" s="1" t="s">
        <v>4192</v>
      </c>
      <c r="C1417" s="1" t="s">
        <v>1722</v>
      </c>
      <c r="D1417" s="1" t="s">
        <v>152</v>
      </c>
      <c r="E1417" s="1" t="s">
        <v>229</v>
      </c>
      <c r="F1417" s="1" t="s">
        <v>47</v>
      </c>
      <c r="G1417" s="1">
        <f t="shared" si="110"/>
        <v>1</v>
      </c>
      <c r="H1417" s="1" t="s">
        <v>48</v>
      </c>
      <c r="I1417" s="1" t="s">
        <v>49</v>
      </c>
      <c r="J1417" s="23" t="s">
        <v>50</v>
      </c>
      <c r="K1417" s="2" t="s">
        <v>51</v>
      </c>
      <c r="L1417" s="1">
        <v>859</v>
      </c>
      <c r="M1417" s="1"/>
      <c r="N1417" s="1" t="str">
        <f t="shared" si="113"/>
        <v>Suppressed</v>
      </c>
      <c r="O1417" s="1" t="str">
        <f t="shared" si="111"/>
        <v/>
      </c>
      <c r="P1417" s="1">
        <v>98</v>
      </c>
      <c r="Q1417" s="1">
        <v>966</v>
      </c>
      <c r="R1417" s="1" t="str">
        <f t="shared" si="114"/>
        <v>2</v>
      </c>
      <c r="S1417" s="1">
        <v>133</v>
      </c>
      <c r="T1417" s="1" t="str">
        <f t="shared" si="112"/>
        <v>4</v>
      </c>
      <c r="U1417" s="1">
        <v>-33.914957000000001</v>
      </c>
      <c r="V1417" s="3">
        <v>151.074029</v>
      </c>
    </row>
    <row r="1418" spans="1:22" x14ac:dyDescent="0.35">
      <c r="A1418" s="22" t="s">
        <v>4193</v>
      </c>
      <c r="B1418" s="1" t="s">
        <v>4194</v>
      </c>
      <c r="C1418" s="1" t="s">
        <v>4195</v>
      </c>
      <c r="D1418" s="1" t="s">
        <v>115</v>
      </c>
      <c r="E1418" s="1" t="s">
        <v>46</v>
      </c>
      <c r="F1418" s="1" t="s">
        <v>47</v>
      </c>
      <c r="G1418" s="1">
        <f t="shared" si="110"/>
        <v>1</v>
      </c>
      <c r="H1418" s="1" t="s">
        <v>48</v>
      </c>
      <c r="I1418" s="1" t="s">
        <v>49</v>
      </c>
      <c r="J1418" s="23" t="s">
        <v>50</v>
      </c>
      <c r="K1418" s="2" t="s">
        <v>51</v>
      </c>
      <c r="L1418" s="1">
        <v>358</v>
      </c>
      <c r="M1418" s="1">
        <v>6</v>
      </c>
      <c r="N1418" s="1" t="str">
        <f t="shared" si="113"/>
        <v>Published</v>
      </c>
      <c r="O1418" s="1">
        <f t="shared" si="111"/>
        <v>21.48</v>
      </c>
      <c r="P1418" s="1">
        <v>33</v>
      </c>
      <c r="Q1418" s="1">
        <v>1099</v>
      </c>
      <c r="R1418" s="1" t="str">
        <f t="shared" si="114"/>
        <v>3</v>
      </c>
      <c r="S1418" s="1">
        <v>28</v>
      </c>
      <c r="T1418" s="1" t="str">
        <f t="shared" si="112"/>
        <v>3</v>
      </c>
      <c r="U1418" s="1">
        <v>-33.906162999999999</v>
      </c>
      <c r="V1418" s="3">
        <v>151.140287</v>
      </c>
    </row>
    <row r="1419" spans="1:22" x14ac:dyDescent="0.35">
      <c r="A1419" s="22" t="s">
        <v>4196</v>
      </c>
      <c r="B1419" s="1" t="s">
        <v>4197</v>
      </c>
      <c r="C1419" s="1" t="s">
        <v>4198</v>
      </c>
      <c r="D1419" s="1" t="s">
        <v>1255</v>
      </c>
      <c r="E1419" s="1" t="s">
        <v>85</v>
      </c>
      <c r="F1419" s="1" t="s">
        <v>47</v>
      </c>
      <c r="G1419" s="1">
        <f t="shared" si="110"/>
        <v>1</v>
      </c>
      <c r="H1419" s="1" t="s">
        <v>86</v>
      </c>
      <c r="I1419" s="1" t="s">
        <v>49</v>
      </c>
      <c r="J1419" s="23" t="s">
        <v>50</v>
      </c>
      <c r="K1419" s="2" t="s">
        <v>51</v>
      </c>
      <c r="L1419" s="1">
        <v>464</v>
      </c>
      <c r="M1419" s="1">
        <v>5</v>
      </c>
      <c r="N1419" s="1" t="str">
        <f t="shared" si="113"/>
        <v>Published</v>
      </c>
      <c r="O1419" s="1">
        <f t="shared" si="111"/>
        <v>23.200000000000003</v>
      </c>
      <c r="P1419" s="1">
        <v>5</v>
      </c>
      <c r="Q1419" s="1">
        <v>1068</v>
      </c>
      <c r="R1419" s="1" t="str">
        <f t="shared" si="114"/>
        <v>3</v>
      </c>
      <c r="S1419" s="1">
        <v>53</v>
      </c>
      <c r="T1419" s="1" t="str">
        <f t="shared" si="112"/>
        <v>3</v>
      </c>
      <c r="U1419" s="1">
        <v>-34.624870000000001</v>
      </c>
      <c r="V1419" s="3">
        <v>150.85277300000001</v>
      </c>
    </row>
    <row r="1420" spans="1:22" x14ac:dyDescent="0.35">
      <c r="A1420" s="22" t="s">
        <v>4199</v>
      </c>
      <c r="B1420" s="1" t="s">
        <v>4200</v>
      </c>
      <c r="C1420" s="1" t="s">
        <v>4201</v>
      </c>
      <c r="D1420" s="1" t="s">
        <v>180</v>
      </c>
      <c r="E1420" s="1" t="s">
        <v>181</v>
      </c>
      <c r="F1420" s="1" t="s">
        <v>47</v>
      </c>
      <c r="G1420" s="1">
        <f t="shared" si="110"/>
        <v>1</v>
      </c>
      <c r="H1420" s="1" t="s">
        <v>182</v>
      </c>
      <c r="I1420" s="1" t="s">
        <v>49</v>
      </c>
      <c r="J1420" s="23" t="s">
        <v>50</v>
      </c>
      <c r="K1420" s="2" t="s">
        <v>51</v>
      </c>
      <c r="L1420" s="1">
        <v>440</v>
      </c>
      <c r="M1420" s="1">
        <v>2</v>
      </c>
      <c r="N1420" s="1" t="str">
        <f t="shared" si="113"/>
        <v>Published</v>
      </c>
      <c r="O1420" s="1">
        <f t="shared" si="111"/>
        <v>8.8000000000000007</v>
      </c>
      <c r="P1420" s="1">
        <v>72</v>
      </c>
      <c r="Q1420" s="1">
        <v>1055</v>
      </c>
      <c r="R1420" s="1" t="str">
        <f t="shared" si="114"/>
        <v>3</v>
      </c>
      <c r="S1420" s="1">
        <v>67</v>
      </c>
      <c r="T1420" s="1" t="str">
        <f t="shared" si="112"/>
        <v>3</v>
      </c>
      <c r="U1420" s="1">
        <v>-33.926068000000001</v>
      </c>
      <c r="V1420" s="3">
        <v>150.95206899999999</v>
      </c>
    </row>
    <row r="1421" spans="1:22" x14ac:dyDescent="0.35">
      <c r="A1421" s="22" t="s">
        <v>4202</v>
      </c>
      <c r="B1421" s="1" t="s">
        <v>4203</v>
      </c>
      <c r="C1421" s="1" t="s">
        <v>4116</v>
      </c>
      <c r="D1421" s="1" t="s">
        <v>176</v>
      </c>
      <c r="E1421" s="1" t="s">
        <v>85</v>
      </c>
      <c r="F1421" s="1" t="s">
        <v>47</v>
      </c>
      <c r="G1421" s="1">
        <f t="shared" si="110"/>
        <v>1</v>
      </c>
      <c r="H1421" s="1" t="s">
        <v>86</v>
      </c>
      <c r="I1421" s="1" t="s">
        <v>49</v>
      </c>
      <c r="J1421" s="23" t="s">
        <v>50</v>
      </c>
      <c r="K1421" s="2" t="s">
        <v>51</v>
      </c>
      <c r="L1421" s="1">
        <v>209</v>
      </c>
      <c r="M1421" s="1">
        <v>3</v>
      </c>
      <c r="N1421" s="1" t="str">
        <f t="shared" si="113"/>
        <v>Published</v>
      </c>
      <c r="O1421" s="1">
        <f t="shared" si="111"/>
        <v>6.27</v>
      </c>
      <c r="P1421" s="1">
        <v>16</v>
      </c>
      <c r="Q1421" s="1">
        <v>1080</v>
      </c>
      <c r="R1421" s="1" t="str">
        <f t="shared" si="114"/>
        <v>3</v>
      </c>
      <c r="S1421" s="1">
        <v>44</v>
      </c>
      <c r="T1421" s="1" t="str">
        <f t="shared" si="112"/>
        <v>2</v>
      </c>
      <c r="U1421" s="1">
        <v>-34.425764999999998</v>
      </c>
      <c r="V1421" s="3">
        <v>150.84787</v>
      </c>
    </row>
    <row r="1422" spans="1:22" x14ac:dyDescent="0.35">
      <c r="A1422" s="22" t="s">
        <v>4204</v>
      </c>
      <c r="B1422" s="1" t="s">
        <v>4205</v>
      </c>
      <c r="C1422" s="1" t="s">
        <v>4206</v>
      </c>
      <c r="D1422" s="1" t="s">
        <v>84</v>
      </c>
      <c r="E1422" s="1" t="s">
        <v>85</v>
      </c>
      <c r="F1422" s="1" t="s">
        <v>47</v>
      </c>
      <c r="G1422" s="1">
        <f t="shared" si="110"/>
        <v>1</v>
      </c>
      <c r="H1422" s="1" t="s">
        <v>86</v>
      </c>
      <c r="I1422" s="1" t="s">
        <v>49</v>
      </c>
      <c r="J1422" s="23" t="s">
        <v>50</v>
      </c>
      <c r="K1422" s="2" t="s">
        <v>51</v>
      </c>
      <c r="L1422" s="1">
        <v>192</v>
      </c>
      <c r="M1422" s="1">
        <v>33</v>
      </c>
      <c r="N1422" s="1" t="str">
        <f t="shared" si="113"/>
        <v>Published</v>
      </c>
      <c r="O1422" s="1">
        <f t="shared" si="111"/>
        <v>63.36</v>
      </c>
      <c r="P1422" s="1">
        <v>9</v>
      </c>
      <c r="Q1422" s="1">
        <v>873</v>
      </c>
      <c r="R1422" s="1" t="str">
        <f t="shared" si="114"/>
        <v>1</v>
      </c>
      <c r="S1422" s="1">
        <v>171</v>
      </c>
      <c r="T1422" s="1" t="str">
        <f t="shared" si="112"/>
        <v>2</v>
      </c>
      <c r="U1422" s="1">
        <v>-34.559085000000003</v>
      </c>
      <c r="V1422" s="3">
        <v>150.84603200000001</v>
      </c>
    </row>
    <row r="1423" spans="1:22" x14ac:dyDescent="0.35">
      <c r="A1423" s="22" t="s">
        <v>4207</v>
      </c>
      <c r="B1423" s="1" t="s">
        <v>4208</v>
      </c>
      <c r="C1423" s="1" t="s">
        <v>4209</v>
      </c>
      <c r="D1423" s="1" t="s">
        <v>115</v>
      </c>
      <c r="E1423" s="1" t="s">
        <v>225</v>
      </c>
      <c r="F1423" s="1" t="s">
        <v>47</v>
      </c>
      <c r="G1423" s="1">
        <f t="shared" si="110"/>
        <v>1</v>
      </c>
      <c r="H1423" s="1" t="s">
        <v>48</v>
      </c>
      <c r="I1423" s="1" t="s">
        <v>49</v>
      </c>
      <c r="J1423" s="23" t="s">
        <v>50</v>
      </c>
      <c r="K1423" s="2" t="s">
        <v>51</v>
      </c>
      <c r="L1423" s="1">
        <v>232</v>
      </c>
      <c r="M1423" s="1"/>
      <c r="N1423" s="1" t="str">
        <f t="shared" si="113"/>
        <v>Suppressed</v>
      </c>
      <c r="O1423" s="1" t="str">
        <f t="shared" si="111"/>
        <v/>
      </c>
      <c r="P1423" s="1">
        <v>35</v>
      </c>
      <c r="Q1423" s="1">
        <v>1137</v>
      </c>
      <c r="R1423" s="1" t="str">
        <f t="shared" si="114"/>
        <v>4</v>
      </c>
      <c r="S1423" s="1">
        <v>21</v>
      </c>
      <c r="T1423" s="1" t="str">
        <f t="shared" si="112"/>
        <v>2</v>
      </c>
      <c r="U1423" s="1">
        <v>-33.895646999999997</v>
      </c>
      <c r="V1423" s="3">
        <v>151.15017499999999</v>
      </c>
    </row>
    <row r="1424" spans="1:22" x14ac:dyDescent="0.35">
      <c r="A1424" s="22" t="s">
        <v>4210</v>
      </c>
      <c r="B1424" s="1" t="s">
        <v>4211</v>
      </c>
      <c r="C1424" s="1" t="s">
        <v>465</v>
      </c>
      <c r="D1424" s="1" t="s">
        <v>465</v>
      </c>
      <c r="E1424" s="1" t="s">
        <v>281</v>
      </c>
      <c r="F1424" s="1" t="s">
        <v>57</v>
      </c>
      <c r="G1424" s="1">
        <f t="shared" si="110"/>
        <v>2</v>
      </c>
      <c r="H1424" s="1" t="s">
        <v>58</v>
      </c>
      <c r="I1424" s="1" t="s">
        <v>49</v>
      </c>
      <c r="J1424" s="23" t="s">
        <v>50</v>
      </c>
      <c r="K1424" s="2" t="s">
        <v>51</v>
      </c>
      <c r="L1424" s="1">
        <v>258</v>
      </c>
      <c r="M1424" s="1">
        <v>37</v>
      </c>
      <c r="N1424" s="1" t="str">
        <f t="shared" si="113"/>
        <v>Published</v>
      </c>
      <c r="O1424" s="1">
        <f t="shared" si="111"/>
        <v>95.46</v>
      </c>
      <c r="P1424" s="1">
        <v>17</v>
      </c>
      <c r="Q1424" s="1">
        <v>872</v>
      </c>
      <c r="R1424" s="1" t="str">
        <f t="shared" si="114"/>
        <v>1</v>
      </c>
      <c r="S1424" s="1">
        <v>154</v>
      </c>
      <c r="T1424" s="1" t="str">
        <f t="shared" si="112"/>
        <v>2</v>
      </c>
      <c r="U1424" s="1">
        <v>-30.283852</v>
      </c>
      <c r="V1424" s="3">
        <v>153.11236199999999</v>
      </c>
    </row>
    <row r="1425" spans="1:22" x14ac:dyDescent="0.35">
      <c r="A1425" s="22" t="s">
        <v>4212</v>
      </c>
      <c r="B1425" s="1" t="s">
        <v>4213</v>
      </c>
      <c r="C1425" s="1" t="s">
        <v>4214</v>
      </c>
      <c r="D1425" s="1" t="s">
        <v>837</v>
      </c>
      <c r="E1425" s="1" t="s">
        <v>838</v>
      </c>
      <c r="F1425" s="1" t="s">
        <v>47</v>
      </c>
      <c r="G1425" s="1">
        <f t="shared" si="110"/>
        <v>1</v>
      </c>
      <c r="H1425" s="1" t="s">
        <v>148</v>
      </c>
      <c r="I1425" s="1" t="s">
        <v>49</v>
      </c>
      <c r="J1425" s="23" t="s">
        <v>50</v>
      </c>
      <c r="K1425" s="2" t="s">
        <v>51</v>
      </c>
      <c r="L1425" s="1">
        <v>387</v>
      </c>
      <c r="M1425" s="1">
        <v>23</v>
      </c>
      <c r="N1425" s="1" t="str">
        <f t="shared" si="113"/>
        <v>Published</v>
      </c>
      <c r="O1425" s="1">
        <f t="shared" si="111"/>
        <v>89.01</v>
      </c>
      <c r="P1425" s="1">
        <v>49</v>
      </c>
      <c r="Q1425" s="1">
        <v>914</v>
      </c>
      <c r="R1425" s="1" t="str">
        <f t="shared" si="114"/>
        <v>2</v>
      </c>
      <c r="S1425" s="1">
        <v>147</v>
      </c>
      <c r="T1425" s="1" t="str">
        <f t="shared" si="112"/>
        <v>3</v>
      </c>
      <c r="U1425" s="1">
        <v>-33.75479</v>
      </c>
      <c r="V1425" s="3">
        <v>150.86882499999999</v>
      </c>
    </row>
    <row r="1426" spans="1:22" x14ac:dyDescent="0.35">
      <c r="A1426" s="22" t="s">
        <v>4215</v>
      </c>
      <c r="B1426" s="1" t="s">
        <v>4216</v>
      </c>
      <c r="C1426" s="1" t="s">
        <v>4217</v>
      </c>
      <c r="D1426" s="1" t="s">
        <v>689</v>
      </c>
      <c r="E1426" s="1" t="s">
        <v>122</v>
      </c>
      <c r="F1426" s="1" t="s">
        <v>47</v>
      </c>
      <c r="G1426" s="1">
        <f t="shared" si="110"/>
        <v>1</v>
      </c>
      <c r="H1426" s="1" t="s">
        <v>86</v>
      </c>
      <c r="I1426" s="1" t="s">
        <v>49</v>
      </c>
      <c r="J1426" s="23" t="s">
        <v>50</v>
      </c>
      <c r="K1426" s="2" t="s">
        <v>51</v>
      </c>
      <c r="L1426" s="1">
        <v>433</v>
      </c>
      <c r="M1426" s="1">
        <v>17</v>
      </c>
      <c r="N1426" s="1" t="str">
        <f t="shared" si="113"/>
        <v>Published</v>
      </c>
      <c r="O1426" s="1">
        <f t="shared" si="111"/>
        <v>73.61</v>
      </c>
      <c r="P1426" s="1">
        <v>43</v>
      </c>
      <c r="Q1426" s="1">
        <v>944</v>
      </c>
      <c r="R1426" s="1" t="str">
        <f t="shared" si="114"/>
        <v>2</v>
      </c>
      <c r="S1426" s="1">
        <v>128</v>
      </c>
      <c r="T1426" s="1" t="str">
        <f t="shared" si="112"/>
        <v>3</v>
      </c>
      <c r="U1426" s="1">
        <v>-34.086423000000003</v>
      </c>
      <c r="V1426" s="3">
        <v>150.798192</v>
      </c>
    </row>
    <row r="1427" spans="1:22" x14ac:dyDescent="0.35">
      <c r="A1427" s="22" t="s">
        <v>4218</v>
      </c>
      <c r="B1427" s="1" t="s">
        <v>4219</v>
      </c>
      <c r="C1427" s="1" t="s">
        <v>4220</v>
      </c>
      <c r="D1427" s="1" t="s">
        <v>465</v>
      </c>
      <c r="E1427" s="1" t="s">
        <v>281</v>
      </c>
      <c r="F1427" s="1" t="s">
        <v>57</v>
      </c>
      <c r="G1427" s="1">
        <f t="shared" si="110"/>
        <v>2</v>
      </c>
      <c r="H1427" s="1" t="s">
        <v>58</v>
      </c>
      <c r="I1427" s="1" t="s">
        <v>49</v>
      </c>
      <c r="J1427" s="23" t="s">
        <v>50</v>
      </c>
      <c r="K1427" s="2" t="s">
        <v>51</v>
      </c>
      <c r="L1427" s="1">
        <v>174</v>
      </c>
      <c r="M1427" s="1">
        <v>25</v>
      </c>
      <c r="N1427" s="1" t="str">
        <f t="shared" si="113"/>
        <v>Published</v>
      </c>
      <c r="O1427" s="1">
        <f t="shared" si="111"/>
        <v>43.5</v>
      </c>
      <c r="P1427" s="1">
        <v>10</v>
      </c>
      <c r="Q1427" s="1">
        <v>922</v>
      </c>
      <c r="R1427" s="1" t="str">
        <f t="shared" si="114"/>
        <v>2</v>
      </c>
      <c r="S1427" s="1">
        <v>133</v>
      </c>
      <c r="T1427" s="1" t="str">
        <f t="shared" si="112"/>
        <v>2</v>
      </c>
      <c r="U1427" s="1">
        <v>-30.353470000000002</v>
      </c>
      <c r="V1427" s="3">
        <v>153.08335</v>
      </c>
    </row>
    <row r="1428" spans="1:22" x14ac:dyDescent="0.35">
      <c r="A1428" s="22" t="s">
        <v>4221</v>
      </c>
      <c r="B1428" s="1" t="s">
        <v>4222</v>
      </c>
      <c r="C1428" s="1" t="s">
        <v>4223</v>
      </c>
      <c r="D1428" s="1" t="s">
        <v>737</v>
      </c>
      <c r="E1428" s="1" t="s">
        <v>738</v>
      </c>
      <c r="F1428" s="1" t="s">
        <v>47</v>
      </c>
      <c r="G1428" s="1">
        <f t="shared" si="110"/>
        <v>1</v>
      </c>
      <c r="H1428" s="1" t="s">
        <v>182</v>
      </c>
      <c r="I1428" s="1" t="s">
        <v>49</v>
      </c>
      <c r="J1428" s="23" t="s">
        <v>50</v>
      </c>
      <c r="K1428" s="2" t="s">
        <v>51</v>
      </c>
      <c r="L1428" s="1">
        <v>197</v>
      </c>
      <c r="M1428" s="1">
        <v>4</v>
      </c>
      <c r="N1428" s="1" t="str">
        <f t="shared" si="113"/>
        <v>Published</v>
      </c>
      <c r="O1428" s="1">
        <f t="shared" si="111"/>
        <v>7.88</v>
      </c>
      <c r="P1428" s="1">
        <v>16</v>
      </c>
      <c r="Q1428" s="1">
        <v>1090</v>
      </c>
      <c r="R1428" s="1" t="str">
        <f t="shared" si="114"/>
        <v>3</v>
      </c>
      <c r="S1428" s="1">
        <v>44</v>
      </c>
      <c r="T1428" s="1" t="str">
        <f t="shared" si="112"/>
        <v>2</v>
      </c>
      <c r="U1428" s="1">
        <v>-34.012607000000003</v>
      </c>
      <c r="V1428" s="3">
        <v>151.05625699999999</v>
      </c>
    </row>
    <row r="1429" spans="1:22" x14ac:dyDescent="0.35">
      <c r="A1429" s="22" t="s">
        <v>4224</v>
      </c>
      <c r="B1429" s="1" t="s">
        <v>4225</v>
      </c>
      <c r="C1429" s="1" t="s">
        <v>3986</v>
      </c>
      <c r="D1429" s="1" t="s">
        <v>186</v>
      </c>
      <c r="E1429" s="1" t="s">
        <v>187</v>
      </c>
      <c r="F1429" s="1" t="s">
        <v>47</v>
      </c>
      <c r="G1429" s="1">
        <f t="shared" si="110"/>
        <v>1</v>
      </c>
      <c r="H1429" s="1" t="s">
        <v>63</v>
      </c>
      <c r="I1429" s="1" t="s">
        <v>49</v>
      </c>
      <c r="J1429" s="23" t="s">
        <v>50</v>
      </c>
      <c r="K1429" s="2" t="s">
        <v>51</v>
      </c>
      <c r="L1429" s="1">
        <v>325</v>
      </c>
      <c r="M1429" s="1">
        <v>14</v>
      </c>
      <c r="N1429" s="1" t="str">
        <f t="shared" si="113"/>
        <v>Published</v>
      </c>
      <c r="O1429" s="1">
        <f t="shared" si="111"/>
        <v>45.500000000000007</v>
      </c>
      <c r="P1429" s="1">
        <v>18</v>
      </c>
      <c r="Q1429" s="1">
        <v>987</v>
      </c>
      <c r="R1429" s="1" t="str">
        <f t="shared" si="114"/>
        <v>2</v>
      </c>
      <c r="S1429" s="1">
        <v>99</v>
      </c>
      <c r="T1429" s="1" t="str">
        <f t="shared" si="112"/>
        <v>3</v>
      </c>
      <c r="U1429" s="1">
        <v>-33.400215000000003</v>
      </c>
      <c r="V1429" s="3">
        <v>151.361943</v>
      </c>
    </row>
    <row r="1430" spans="1:22" x14ac:dyDescent="0.35">
      <c r="A1430" s="22" t="s">
        <v>4226</v>
      </c>
      <c r="B1430" s="1" t="s">
        <v>4227</v>
      </c>
      <c r="C1430" s="1" t="s">
        <v>4182</v>
      </c>
      <c r="D1430" s="1" t="s">
        <v>689</v>
      </c>
      <c r="E1430" s="1" t="s">
        <v>122</v>
      </c>
      <c r="F1430" s="1" t="s">
        <v>47</v>
      </c>
      <c r="G1430" s="1">
        <f t="shared" si="110"/>
        <v>1</v>
      </c>
      <c r="H1430" s="1" t="s">
        <v>182</v>
      </c>
      <c r="I1430" s="1" t="s">
        <v>49</v>
      </c>
      <c r="J1430" s="23" t="s">
        <v>50</v>
      </c>
      <c r="K1430" s="2" t="s">
        <v>51</v>
      </c>
      <c r="L1430" s="1">
        <v>311</v>
      </c>
      <c r="M1430" s="1">
        <v>11</v>
      </c>
      <c r="N1430" s="1" t="str">
        <f t="shared" si="113"/>
        <v>Published</v>
      </c>
      <c r="O1430" s="1">
        <f t="shared" si="111"/>
        <v>34.21</v>
      </c>
      <c r="P1430" s="1">
        <v>83</v>
      </c>
      <c r="Q1430" s="1">
        <v>991</v>
      </c>
      <c r="R1430" s="1" t="str">
        <f t="shared" si="114"/>
        <v>2</v>
      </c>
      <c r="S1430" s="1">
        <v>88</v>
      </c>
      <c r="T1430" s="1" t="str">
        <f t="shared" si="112"/>
        <v>3</v>
      </c>
      <c r="U1430" s="1">
        <v>-34.027650000000001</v>
      </c>
      <c r="V1430" s="3">
        <v>150.85091</v>
      </c>
    </row>
    <row r="1431" spans="1:22" x14ac:dyDescent="0.35">
      <c r="A1431" s="22" t="s">
        <v>4228</v>
      </c>
      <c r="B1431" s="1" t="s">
        <v>4229</v>
      </c>
      <c r="C1431" s="1" t="s">
        <v>4230</v>
      </c>
      <c r="D1431" s="1" t="s">
        <v>689</v>
      </c>
      <c r="E1431" s="1" t="s">
        <v>122</v>
      </c>
      <c r="F1431" s="1" t="s">
        <v>47</v>
      </c>
      <c r="G1431" s="1">
        <f t="shared" si="110"/>
        <v>1</v>
      </c>
      <c r="H1431" s="1" t="s">
        <v>86</v>
      </c>
      <c r="I1431" s="1" t="s">
        <v>49</v>
      </c>
      <c r="J1431" s="23" t="s">
        <v>50</v>
      </c>
      <c r="K1431" s="2" t="s">
        <v>51</v>
      </c>
      <c r="L1431" s="1">
        <v>236</v>
      </c>
      <c r="M1431" s="1">
        <v>17</v>
      </c>
      <c r="N1431" s="1" t="str">
        <f t="shared" si="113"/>
        <v>Published</v>
      </c>
      <c r="O1431" s="1">
        <f t="shared" si="111"/>
        <v>40.120000000000005</v>
      </c>
      <c r="P1431" s="1">
        <v>39</v>
      </c>
      <c r="Q1431" s="1">
        <v>903</v>
      </c>
      <c r="R1431" s="1" t="str">
        <f t="shared" si="114"/>
        <v>2</v>
      </c>
      <c r="S1431" s="1">
        <v>160</v>
      </c>
      <c r="T1431" s="1" t="str">
        <f t="shared" si="112"/>
        <v>2</v>
      </c>
      <c r="U1431" s="1">
        <v>-34.043125000000003</v>
      </c>
      <c r="V1431" s="3">
        <v>150.809517</v>
      </c>
    </row>
    <row r="1432" spans="1:22" x14ac:dyDescent="0.35">
      <c r="A1432" s="22" t="s">
        <v>4231</v>
      </c>
      <c r="B1432" s="1" t="s">
        <v>4232</v>
      </c>
      <c r="C1432" s="1" t="s">
        <v>595</v>
      </c>
      <c r="D1432" s="1" t="s">
        <v>595</v>
      </c>
      <c r="E1432" s="1" t="s">
        <v>56</v>
      </c>
      <c r="F1432" s="1" t="s">
        <v>57</v>
      </c>
      <c r="G1432" s="1">
        <f t="shared" si="110"/>
        <v>2</v>
      </c>
      <c r="H1432" s="1" t="s">
        <v>58</v>
      </c>
      <c r="I1432" s="1" t="s">
        <v>49</v>
      </c>
      <c r="J1432" s="23" t="s">
        <v>50</v>
      </c>
      <c r="K1432" s="2" t="s">
        <v>51</v>
      </c>
      <c r="L1432" s="1">
        <v>433</v>
      </c>
      <c r="M1432" s="1">
        <v>27</v>
      </c>
      <c r="N1432" s="1" t="str">
        <f t="shared" si="113"/>
        <v>Published</v>
      </c>
      <c r="O1432" s="1">
        <f t="shared" si="111"/>
        <v>116.91000000000001</v>
      </c>
      <c r="P1432" s="1">
        <v>9</v>
      </c>
      <c r="Q1432" s="1">
        <v>900</v>
      </c>
      <c r="R1432" s="1" t="str">
        <f t="shared" si="114"/>
        <v>2</v>
      </c>
      <c r="S1432" s="1">
        <v>135</v>
      </c>
      <c r="T1432" s="1" t="str">
        <f t="shared" si="112"/>
        <v>3</v>
      </c>
      <c r="U1432" s="1">
        <v>-32.569546000000003</v>
      </c>
      <c r="V1432" s="3">
        <v>151.17526599999999</v>
      </c>
    </row>
    <row r="1433" spans="1:22" x14ac:dyDescent="0.35">
      <c r="A1433" s="22" t="s">
        <v>4233</v>
      </c>
      <c r="B1433" s="1" t="s">
        <v>4234</v>
      </c>
      <c r="C1433" s="1" t="s">
        <v>4235</v>
      </c>
      <c r="D1433" s="1" t="s">
        <v>224</v>
      </c>
      <c r="E1433" s="1" t="s">
        <v>225</v>
      </c>
      <c r="F1433" s="1" t="s">
        <v>47</v>
      </c>
      <c r="G1433" s="1">
        <f t="shared" si="110"/>
        <v>1</v>
      </c>
      <c r="H1433" s="1" t="s">
        <v>48</v>
      </c>
      <c r="I1433" s="1" t="s">
        <v>49</v>
      </c>
      <c r="J1433" s="23" t="s">
        <v>50</v>
      </c>
      <c r="K1433" s="2" t="s">
        <v>51</v>
      </c>
      <c r="L1433" s="1">
        <v>154</v>
      </c>
      <c r="M1433" s="1">
        <v>5</v>
      </c>
      <c r="N1433" s="1" t="str">
        <f t="shared" si="113"/>
        <v>Published</v>
      </c>
      <c r="O1433" s="1">
        <f t="shared" si="111"/>
        <v>7.7</v>
      </c>
      <c r="P1433" s="1">
        <v>88</v>
      </c>
      <c r="Q1433" s="1">
        <v>1046</v>
      </c>
      <c r="R1433" s="1" t="str">
        <f t="shared" si="114"/>
        <v>3</v>
      </c>
      <c r="S1433" s="1">
        <v>53</v>
      </c>
      <c r="T1433" s="1" t="str">
        <f t="shared" si="112"/>
        <v>2</v>
      </c>
      <c r="U1433" s="1">
        <v>-33.928064999999997</v>
      </c>
      <c r="V1433" s="3">
        <v>151.21383599999999</v>
      </c>
    </row>
    <row r="1434" spans="1:22" x14ac:dyDescent="0.35">
      <c r="A1434" s="22" t="s">
        <v>4236</v>
      </c>
      <c r="B1434" s="1" t="s">
        <v>4237</v>
      </c>
      <c r="C1434" s="1" t="s">
        <v>4238</v>
      </c>
      <c r="D1434" s="1" t="s">
        <v>186</v>
      </c>
      <c r="E1434" s="1" t="s">
        <v>187</v>
      </c>
      <c r="F1434" s="1" t="s">
        <v>47</v>
      </c>
      <c r="G1434" s="1">
        <f t="shared" si="110"/>
        <v>1</v>
      </c>
      <c r="H1434" s="1" t="s">
        <v>63</v>
      </c>
      <c r="I1434" s="1" t="s">
        <v>49</v>
      </c>
      <c r="J1434" s="23" t="s">
        <v>50</v>
      </c>
      <c r="K1434" s="2" t="s">
        <v>51</v>
      </c>
      <c r="L1434" s="1">
        <v>620</v>
      </c>
      <c r="M1434" s="1">
        <v>25</v>
      </c>
      <c r="N1434" s="1" t="str">
        <f t="shared" si="113"/>
        <v>Published</v>
      </c>
      <c r="O1434" s="1">
        <f t="shared" si="111"/>
        <v>155</v>
      </c>
      <c r="P1434" s="1">
        <v>11</v>
      </c>
      <c r="Q1434" s="1">
        <v>913</v>
      </c>
      <c r="R1434" s="1" t="str">
        <f t="shared" si="114"/>
        <v>2</v>
      </c>
      <c r="S1434" s="1">
        <v>139</v>
      </c>
      <c r="T1434" s="1" t="str">
        <f t="shared" si="112"/>
        <v>4</v>
      </c>
      <c r="U1434" s="1">
        <v>-33.252454</v>
      </c>
      <c r="V1434" s="3">
        <v>151.51020500000001</v>
      </c>
    </row>
    <row r="1435" spans="1:22" x14ac:dyDescent="0.35">
      <c r="A1435" s="22" t="s">
        <v>4239</v>
      </c>
      <c r="B1435" s="1" t="s">
        <v>4240</v>
      </c>
      <c r="C1435" s="1" t="s">
        <v>1963</v>
      </c>
      <c r="D1435" s="1" t="s">
        <v>689</v>
      </c>
      <c r="E1435" s="1" t="s">
        <v>122</v>
      </c>
      <c r="F1435" s="1" t="s">
        <v>47</v>
      </c>
      <c r="G1435" s="1">
        <f t="shared" si="110"/>
        <v>1</v>
      </c>
      <c r="H1435" s="1" t="s">
        <v>182</v>
      </c>
      <c r="I1435" s="1" t="s">
        <v>49</v>
      </c>
      <c r="J1435" s="23" t="s">
        <v>50</v>
      </c>
      <c r="K1435" s="2" t="s">
        <v>51</v>
      </c>
      <c r="L1435" s="1">
        <v>282</v>
      </c>
      <c r="M1435" s="1">
        <v>8</v>
      </c>
      <c r="N1435" s="1" t="str">
        <f t="shared" si="113"/>
        <v>Published</v>
      </c>
      <c r="O1435" s="1">
        <f t="shared" si="111"/>
        <v>22.56</v>
      </c>
      <c r="P1435" s="1">
        <v>69</v>
      </c>
      <c r="Q1435" s="1">
        <v>981</v>
      </c>
      <c r="R1435" s="1" t="str">
        <f t="shared" si="114"/>
        <v>2</v>
      </c>
      <c r="S1435" s="1">
        <v>108</v>
      </c>
      <c r="T1435" s="1" t="str">
        <f t="shared" si="112"/>
        <v>2</v>
      </c>
      <c r="U1435" s="1">
        <v>-34.022050999999998</v>
      </c>
      <c r="V1435" s="3">
        <v>150.857358</v>
      </c>
    </row>
    <row r="1436" spans="1:22" x14ac:dyDescent="0.35">
      <c r="A1436" s="22" t="s">
        <v>4241</v>
      </c>
      <c r="B1436" s="1" t="s">
        <v>4242</v>
      </c>
      <c r="C1436" s="1" t="s">
        <v>4243</v>
      </c>
      <c r="D1436" s="1" t="s">
        <v>186</v>
      </c>
      <c r="E1436" s="1" t="s">
        <v>187</v>
      </c>
      <c r="F1436" s="1" t="s">
        <v>47</v>
      </c>
      <c r="G1436" s="1">
        <f t="shared" si="110"/>
        <v>1</v>
      </c>
      <c r="H1436" s="1" t="s">
        <v>63</v>
      </c>
      <c r="I1436" s="1" t="s">
        <v>49</v>
      </c>
      <c r="J1436" s="23" t="s">
        <v>50</v>
      </c>
      <c r="K1436" s="2" t="s">
        <v>51</v>
      </c>
      <c r="L1436" s="1">
        <v>614</v>
      </c>
      <c r="M1436" s="1">
        <v>9</v>
      </c>
      <c r="N1436" s="1" t="str">
        <f t="shared" si="113"/>
        <v>Published</v>
      </c>
      <c r="O1436" s="1">
        <f t="shared" si="111"/>
        <v>55.26</v>
      </c>
      <c r="P1436" s="1">
        <v>4</v>
      </c>
      <c r="Q1436" s="1">
        <v>1029</v>
      </c>
      <c r="R1436" s="1" t="str">
        <f t="shared" si="114"/>
        <v>3</v>
      </c>
      <c r="S1436" s="1">
        <v>74</v>
      </c>
      <c r="T1436" s="1" t="str">
        <f t="shared" si="112"/>
        <v>4</v>
      </c>
      <c r="U1436" s="1">
        <v>-33.391770999999999</v>
      </c>
      <c r="V1436" s="3">
        <v>151.47614300000001</v>
      </c>
    </row>
    <row r="1437" spans="1:22" x14ac:dyDescent="0.35">
      <c r="A1437" s="22" t="s">
        <v>4244</v>
      </c>
      <c r="B1437" s="1" t="s">
        <v>4245</v>
      </c>
      <c r="C1437" s="1" t="s">
        <v>4246</v>
      </c>
      <c r="D1437" s="1" t="s">
        <v>489</v>
      </c>
      <c r="E1437" s="1" t="s">
        <v>56</v>
      </c>
      <c r="F1437" s="1" t="s">
        <v>47</v>
      </c>
      <c r="G1437" s="1">
        <f t="shared" si="110"/>
        <v>1</v>
      </c>
      <c r="H1437" s="1" t="s">
        <v>58</v>
      </c>
      <c r="I1437" s="1" t="s">
        <v>49</v>
      </c>
      <c r="J1437" s="23" t="s">
        <v>50</v>
      </c>
      <c r="K1437" s="2" t="s">
        <v>51</v>
      </c>
      <c r="L1437" s="1">
        <v>265</v>
      </c>
      <c r="M1437" s="1">
        <v>28</v>
      </c>
      <c r="N1437" s="1" t="str">
        <f t="shared" si="113"/>
        <v>Published</v>
      </c>
      <c r="O1437" s="1">
        <f t="shared" si="111"/>
        <v>74.2</v>
      </c>
      <c r="P1437" s="1">
        <v>11</v>
      </c>
      <c r="Q1437" s="1">
        <v>887</v>
      </c>
      <c r="R1437" s="1" t="str">
        <f t="shared" si="114"/>
        <v>1</v>
      </c>
      <c r="S1437" s="1">
        <v>139</v>
      </c>
      <c r="T1437" s="1" t="str">
        <f t="shared" si="112"/>
        <v>2</v>
      </c>
      <c r="U1437" s="1">
        <v>-32.765067000000002</v>
      </c>
      <c r="V1437" s="3">
        <v>151.61271600000001</v>
      </c>
    </row>
    <row r="1438" spans="1:22" x14ac:dyDescent="0.35">
      <c r="A1438" s="22" t="s">
        <v>4247</v>
      </c>
      <c r="B1438" s="1" t="s">
        <v>4248</v>
      </c>
      <c r="C1438" s="1" t="s">
        <v>4249</v>
      </c>
      <c r="D1438" s="1" t="s">
        <v>186</v>
      </c>
      <c r="E1438" s="1" t="s">
        <v>187</v>
      </c>
      <c r="F1438" s="1" t="s">
        <v>47</v>
      </c>
      <c r="G1438" s="1">
        <f t="shared" si="110"/>
        <v>1</v>
      </c>
      <c r="H1438" s="1" t="s">
        <v>63</v>
      </c>
      <c r="I1438" s="1" t="s">
        <v>49</v>
      </c>
      <c r="J1438" s="23" t="s">
        <v>50</v>
      </c>
      <c r="K1438" s="2" t="s">
        <v>51</v>
      </c>
      <c r="L1438" s="1">
        <v>475</v>
      </c>
      <c r="M1438" s="1">
        <v>7</v>
      </c>
      <c r="N1438" s="1" t="str">
        <f t="shared" si="113"/>
        <v>Published</v>
      </c>
      <c r="O1438" s="1">
        <f t="shared" si="111"/>
        <v>33.25</v>
      </c>
      <c r="P1438" s="1">
        <v>8</v>
      </c>
      <c r="Q1438" s="1">
        <v>1048</v>
      </c>
      <c r="R1438" s="1" t="str">
        <f t="shared" si="114"/>
        <v>3</v>
      </c>
      <c r="S1438" s="1">
        <v>59</v>
      </c>
      <c r="T1438" s="1" t="str">
        <f t="shared" si="112"/>
        <v>3</v>
      </c>
      <c r="U1438" s="1">
        <v>-33.412196999999999</v>
      </c>
      <c r="V1438" s="3">
        <v>151.44825800000001</v>
      </c>
    </row>
    <row r="1439" spans="1:22" x14ac:dyDescent="0.35">
      <c r="A1439" s="22" t="s">
        <v>4250</v>
      </c>
      <c r="B1439" s="1" t="s">
        <v>4251</v>
      </c>
      <c r="C1439" s="1" t="s">
        <v>1754</v>
      </c>
      <c r="D1439" s="1" t="s">
        <v>95</v>
      </c>
      <c r="E1439" s="1" t="s">
        <v>96</v>
      </c>
      <c r="F1439" s="1" t="s">
        <v>57</v>
      </c>
      <c r="G1439" s="1">
        <f t="shared" si="110"/>
        <v>2</v>
      </c>
      <c r="H1439" s="1" t="s">
        <v>70</v>
      </c>
      <c r="I1439" s="1" t="s">
        <v>49</v>
      </c>
      <c r="J1439" s="23" t="s">
        <v>50</v>
      </c>
      <c r="K1439" s="2" t="s">
        <v>51</v>
      </c>
      <c r="L1439" s="1">
        <v>223</v>
      </c>
      <c r="M1439" s="1">
        <v>17</v>
      </c>
      <c r="N1439" s="1" t="str">
        <f t="shared" si="113"/>
        <v>Published</v>
      </c>
      <c r="O1439" s="1">
        <f t="shared" si="111"/>
        <v>37.910000000000004</v>
      </c>
      <c r="P1439" s="1">
        <v>17</v>
      </c>
      <c r="Q1439" s="1">
        <v>926</v>
      </c>
      <c r="R1439" s="1" t="str">
        <f t="shared" si="114"/>
        <v>2</v>
      </c>
      <c r="S1439" s="1">
        <v>151</v>
      </c>
      <c r="T1439" s="1" t="str">
        <f t="shared" si="112"/>
        <v>2</v>
      </c>
      <c r="U1439" s="1">
        <v>-36.031931999999998</v>
      </c>
      <c r="V1439" s="3">
        <v>146.94968399999999</v>
      </c>
    </row>
    <row r="1440" spans="1:22" x14ac:dyDescent="0.35">
      <c r="A1440" s="22" t="s">
        <v>4252</v>
      </c>
      <c r="B1440" s="1" t="s">
        <v>4253</v>
      </c>
      <c r="C1440" s="1" t="s">
        <v>4021</v>
      </c>
      <c r="D1440" s="1" t="s">
        <v>302</v>
      </c>
      <c r="E1440" s="1" t="s">
        <v>276</v>
      </c>
      <c r="F1440" s="1" t="s">
        <v>57</v>
      </c>
      <c r="G1440" s="1">
        <f t="shared" si="110"/>
        <v>2</v>
      </c>
      <c r="H1440" s="1" t="s">
        <v>58</v>
      </c>
      <c r="I1440" s="1" t="s">
        <v>49</v>
      </c>
      <c r="J1440" s="23" t="s">
        <v>50</v>
      </c>
      <c r="K1440" s="2" t="s">
        <v>51</v>
      </c>
      <c r="L1440" s="1">
        <v>526</v>
      </c>
      <c r="M1440" s="1">
        <v>12</v>
      </c>
      <c r="N1440" s="1" t="str">
        <f t="shared" si="113"/>
        <v>Published</v>
      </c>
      <c r="O1440" s="1">
        <f t="shared" si="111"/>
        <v>63.12</v>
      </c>
      <c r="P1440" s="1">
        <v>12</v>
      </c>
      <c r="Q1440" s="1">
        <v>1019</v>
      </c>
      <c r="R1440" s="1" t="str">
        <f t="shared" si="114"/>
        <v>3</v>
      </c>
      <c r="S1440" s="1">
        <v>73</v>
      </c>
      <c r="T1440" s="1" t="str">
        <f t="shared" si="112"/>
        <v>3</v>
      </c>
      <c r="U1440" s="1">
        <v>-31.453116000000001</v>
      </c>
      <c r="V1440" s="3">
        <v>152.91820000000001</v>
      </c>
    </row>
    <row r="1441" spans="1:22" x14ac:dyDescent="0.35">
      <c r="A1441" s="22" t="s">
        <v>4254</v>
      </c>
      <c r="B1441" s="1" t="s">
        <v>4255</v>
      </c>
      <c r="C1441" s="1" t="s">
        <v>4256</v>
      </c>
      <c r="D1441" s="1" t="s">
        <v>1131</v>
      </c>
      <c r="E1441" s="1" t="s">
        <v>429</v>
      </c>
      <c r="F1441" s="1" t="s">
        <v>47</v>
      </c>
      <c r="G1441" s="1">
        <f t="shared" si="110"/>
        <v>1</v>
      </c>
      <c r="H1441" s="1" t="s">
        <v>148</v>
      </c>
      <c r="I1441" s="1" t="s">
        <v>49</v>
      </c>
      <c r="J1441" s="23" t="s">
        <v>50</v>
      </c>
      <c r="K1441" s="2" t="s">
        <v>51</v>
      </c>
      <c r="L1441" s="1">
        <v>332</v>
      </c>
      <c r="M1441" s="1">
        <v>29</v>
      </c>
      <c r="N1441" s="1" t="str">
        <f t="shared" si="113"/>
        <v>Published</v>
      </c>
      <c r="O1441" s="1">
        <f t="shared" si="111"/>
        <v>96.279999999999987</v>
      </c>
      <c r="P1441" s="1">
        <v>13</v>
      </c>
      <c r="Q1441" s="1">
        <v>880</v>
      </c>
      <c r="R1441" s="1" t="str">
        <f t="shared" si="114"/>
        <v>1</v>
      </c>
      <c r="S1441" s="1">
        <v>159</v>
      </c>
      <c r="T1441" s="1" t="str">
        <f t="shared" si="112"/>
        <v>3</v>
      </c>
      <c r="U1441" s="1">
        <v>-33.722492000000003</v>
      </c>
      <c r="V1441" s="3">
        <v>150.708382</v>
      </c>
    </row>
    <row r="1442" spans="1:22" x14ac:dyDescent="0.35">
      <c r="A1442" s="22" t="s">
        <v>4257</v>
      </c>
      <c r="B1442" s="1" t="s">
        <v>4258</v>
      </c>
      <c r="C1442" s="1" t="s">
        <v>3951</v>
      </c>
      <c r="D1442" s="1" t="s">
        <v>761</v>
      </c>
      <c r="E1442" s="1" t="s">
        <v>127</v>
      </c>
      <c r="F1442" s="1" t="s">
        <v>47</v>
      </c>
      <c r="G1442" s="1">
        <f t="shared" si="110"/>
        <v>1</v>
      </c>
      <c r="H1442" s="1" t="s">
        <v>148</v>
      </c>
      <c r="I1442" s="1" t="s">
        <v>49</v>
      </c>
      <c r="J1442" s="23" t="s">
        <v>50</v>
      </c>
      <c r="K1442" s="2" t="s">
        <v>51</v>
      </c>
      <c r="L1442" s="1">
        <v>1270</v>
      </c>
      <c r="M1442" s="1"/>
      <c r="N1442" s="1" t="str">
        <f t="shared" si="113"/>
        <v>Suppressed</v>
      </c>
      <c r="O1442" s="1" t="str">
        <f t="shared" si="111"/>
        <v/>
      </c>
      <c r="P1442" s="1">
        <v>91</v>
      </c>
      <c r="Q1442" s="1">
        <v>1177</v>
      </c>
      <c r="R1442" s="1" t="str">
        <f t="shared" si="114"/>
        <v>4</v>
      </c>
      <c r="S1442" s="1">
        <v>0</v>
      </c>
      <c r="T1442" s="1" t="str">
        <f t="shared" si="112"/>
        <v>5</v>
      </c>
      <c r="U1442" s="1">
        <v>-33.758183000000002</v>
      </c>
      <c r="V1442" s="3">
        <v>150.96355399999999</v>
      </c>
    </row>
    <row r="1443" spans="1:22" x14ac:dyDescent="0.35">
      <c r="A1443" s="22" t="s">
        <v>4259</v>
      </c>
      <c r="B1443" s="1" t="s">
        <v>4260</v>
      </c>
      <c r="C1443" s="1" t="s">
        <v>4261</v>
      </c>
      <c r="D1443" s="1" t="s">
        <v>1131</v>
      </c>
      <c r="E1443" s="1" t="s">
        <v>429</v>
      </c>
      <c r="F1443" s="1" t="s">
        <v>47</v>
      </c>
      <c r="G1443" s="1">
        <f t="shared" si="110"/>
        <v>1</v>
      </c>
      <c r="H1443" s="1" t="s">
        <v>182</v>
      </c>
      <c r="I1443" s="1" t="s">
        <v>49</v>
      </c>
      <c r="J1443" s="23" t="s">
        <v>50</v>
      </c>
      <c r="K1443" s="2" t="s">
        <v>51</v>
      </c>
      <c r="L1443" s="1">
        <v>409</v>
      </c>
      <c r="M1443" s="1">
        <v>10</v>
      </c>
      <c r="N1443" s="1" t="str">
        <f t="shared" si="113"/>
        <v>Published</v>
      </c>
      <c r="O1443" s="1">
        <f t="shared" si="111"/>
        <v>40.900000000000006</v>
      </c>
      <c r="P1443" s="1">
        <v>36</v>
      </c>
      <c r="Q1443" s="1">
        <v>982</v>
      </c>
      <c r="R1443" s="1" t="str">
        <f t="shared" si="114"/>
        <v>2</v>
      </c>
      <c r="S1443" s="1">
        <v>119</v>
      </c>
      <c r="T1443" s="1" t="str">
        <f t="shared" si="112"/>
        <v>3</v>
      </c>
      <c r="U1443" s="1">
        <v>-33.796329</v>
      </c>
      <c r="V1443" s="3">
        <v>150.799228</v>
      </c>
    </row>
    <row r="1444" spans="1:22" x14ac:dyDescent="0.35">
      <c r="A1444" s="22" t="s">
        <v>4262</v>
      </c>
      <c r="B1444" s="1" t="s">
        <v>4263</v>
      </c>
      <c r="C1444" s="1" t="s">
        <v>4264</v>
      </c>
      <c r="D1444" s="1" t="s">
        <v>837</v>
      </c>
      <c r="E1444" s="1" t="s">
        <v>838</v>
      </c>
      <c r="F1444" s="1" t="s">
        <v>47</v>
      </c>
      <c r="G1444" s="1">
        <f t="shared" si="110"/>
        <v>1</v>
      </c>
      <c r="H1444" s="1" t="s">
        <v>148</v>
      </c>
      <c r="I1444" s="1" t="s">
        <v>49</v>
      </c>
      <c r="J1444" s="23" t="s">
        <v>50</v>
      </c>
      <c r="K1444" s="2" t="s">
        <v>51</v>
      </c>
      <c r="L1444" s="1">
        <v>567</v>
      </c>
      <c r="M1444" s="1">
        <v>3</v>
      </c>
      <c r="N1444" s="1" t="str">
        <f t="shared" si="113"/>
        <v>Published</v>
      </c>
      <c r="O1444" s="1">
        <f t="shared" si="111"/>
        <v>17.009999999999998</v>
      </c>
      <c r="P1444" s="1">
        <v>34</v>
      </c>
      <c r="Q1444" s="1">
        <v>1081</v>
      </c>
      <c r="R1444" s="1" t="str">
        <f t="shared" si="114"/>
        <v>3</v>
      </c>
      <c r="S1444" s="1">
        <v>49</v>
      </c>
      <c r="T1444" s="1" t="str">
        <f t="shared" si="112"/>
        <v>3</v>
      </c>
      <c r="U1444" s="1">
        <v>-33.745131000000001</v>
      </c>
      <c r="V1444" s="3">
        <v>150.92443299999999</v>
      </c>
    </row>
    <row r="1445" spans="1:22" x14ac:dyDescent="0.35">
      <c r="A1445" s="22" t="s">
        <v>4265</v>
      </c>
      <c r="B1445" s="1" t="s">
        <v>4266</v>
      </c>
      <c r="C1445" s="1" t="s">
        <v>1292</v>
      </c>
      <c r="D1445" s="1" t="s">
        <v>689</v>
      </c>
      <c r="E1445" s="1" t="s">
        <v>122</v>
      </c>
      <c r="F1445" s="1" t="s">
        <v>47</v>
      </c>
      <c r="G1445" s="1">
        <f t="shared" si="110"/>
        <v>1</v>
      </c>
      <c r="H1445" s="1" t="s">
        <v>182</v>
      </c>
      <c r="I1445" s="1" t="s">
        <v>49</v>
      </c>
      <c r="J1445" s="23" t="s">
        <v>50</v>
      </c>
      <c r="K1445" s="2" t="s">
        <v>51</v>
      </c>
      <c r="L1445" s="1">
        <v>216</v>
      </c>
      <c r="M1445" s="1">
        <v>9</v>
      </c>
      <c r="N1445" s="1" t="str">
        <f t="shared" si="113"/>
        <v>Published</v>
      </c>
      <c r="O1445" s="1">
        <f t="shared" si="111"/>
        <v>19.439999999999998</v>
      </c>
      <c r="P1445" s="1">
        <v>57</v>
      </c>
      <c r="Q1445" s="1">
        <v>988</v>
      </c>
      <c r="R1445" s="1" t="str">
        <f t="shared" si="114"/>
        <v>2</v>
      </c>
      <c r="S1445" s="1">
        <v>112</v>
      </c>
      <c r="T1445" s="1" t="str">
        <f t="shared" si="112"/>
        <v>2</v>
      </c>
      <c r="U1445" s="1">
        <v>-33.974542</v>
      </c>
      <c r="V1445" s="3">
        <v>150.90302800000001</v>
      </c>
    </row>
    <row r="1446" spans="1:22" x14ac:dyDescent="0.35">
      <c r="A1446" s="22" t="s">
        <v>4267</v>
      </c>
      <c r="B1446" s="1" t="s">
        <v>4268</v>
      </c>
      <c r="C1446" s="1" t="s">
        <v>4269</v>
      </c>
      <c r="D1446" s="1" t="s">
        <v>1131</v>
      </c>
      <c r="E1446" s="1" t="s">
        <v>429</v>
      </c>
      <c r="F1446" s="1" t="s">
        <v>47</v>
      </c>
      <c r="G1446" s="1">
        <f t="shared" si="110"/>
        <v>1</v>
      </c>
      <c r="H1446" s="1" t="s">
        <v>182</v>
      </c>
      <c r="I1446" s="1" t="s">
        <v>49</v>
      </c>
      <c r="J1446" s="23" t="s">
        <v>50</v>
      </c>
      <c r="K1446" s="2" t="s">
        <v>51</v>
      </c>
      <c r="L1446" s="1">
        <v>325</v>
      </c>
      <c r="M1446" s="1">
        <v>8</v>
      </c>
      <c r="N1446" s="1" t="str">
        <f t="shared" si="113"/>
        <v>Published</v>
      </c>
      <c r="O1446" s="1">
        <f t="shared" si="111"/>
        <v>26</v>
      </c>
      <c r="P1446" s="1">
        <v>45</v>
      </c>
      <c r="Q1446" s="1">
        <v>975</v>
      </c>
      <c r="R1446" s="1" t="str">
        <f t="shared" si="114"/>
        <v>2</v>
      </c>
      <c r="S1446" s="1">
        <v>109</v>
      </c>
      <c r="T1446" s="1" t="str">
        <f t="shared" si="112"/>
        <v>3</v>
      </c>
      <c r="U1446" s="1">
        <v>-33.796323999999998</v>
      </c>
      <c r="V1446" s="3">
        <v>150.78689900000001</v>
      </c>
    </row>
    <row r="1447" spans="1:22" x14ac:dyDescent="0.35">
      <c r="A1447" s="22" t="s">
        <v>4270</v>
      </c>
      <c r="B1447" s="1" t="s">
        <v>4271</v>
      </c>
      <c r="C1447" s="1" t="s">
        <v>4272</v>
      </c>
      <c r="D1447" s="1" t="s">
        <v>275</v>
      </c>
      <c r="E1447" s="1" t="s">
        <v>276</v>
      </c>
      <c r="F1447" s="1" t="s">
        <v>57</v>
      </c>
      <c r="G1447" s="1">
        <f t="shared" si="110"/>
        <v>2</v>
      </c>
      <c r="H1447" s="1" t="s">
        <v>58</v>
      </c>
      <c r="I1447" s="1" t="s">
        <v>49</v>
      </c>
      <c r="J1447" s="23" t="s">
        <v>50</v>
      </c>
      <c r="K1447" s="2" t="s">
        <v>51</v>
      </c>
      <c r="L1447" s="1">
        <v>366</v>
      </c>
      <c r="M1447" s="1">
        <v>21</v>
      </c>
      <c r="N1447" s="1" t="str">
        <f t="shared" si="113"/>
        <v>Published</v>
      </c>
      <c r="O1447" s="1">
        <f t="shared" si="111"/>
        <v>76.86</v>
      </c>
      <c r="P1447" s="1">
        <v>8</v>
      </c>
      <c r="Q1447" s="1">
        <v>930</v>
      </c>
      <c r="R1447" s="1" t="str">
        <f t="shared" si="114"/>
        <v>2</v>
      </c>
      <c r="S1447" s="1">
        <v>116</v>
      </c>
      <c r="T1447" s="1" t="str">
        <f t="shared" si="112"/>
        <v>3</v>
      </c>
      <c r="U1447" s="1">
        <v>-32.171593000000001</v>
      </c>
      <c r="V1447" s="3">
        <v>152.49513400000001</v>
      </c>
    </row>
    <row r="1448" spans="1:22" x14ac:dyDescent="0.35">
      <c r="A1448" s="22" t="s">
        <v>4273</v>
      </c>
      <c r="B1448" s="1" t="s">
        <v>4274</v>
      </c>
      <c r="C1448" s="1" t="s">
        <v>4275</v>
      </c>
      <c r="D1448" s="1" t="s">
        <v>333</v>
      </c>
      <c r="E1448" s="1" t="s">
        <v>281</v>
      </c>
      <c r="F1448" s="1" t="s">
        <v>69</v>
      </c>
      <c r="G1448" s="1">
        <f t="shared" si="110"/>
        <v>3</v>
      </c>
      <c r="H1448" s="1" t="s">
        <v>58</v>
      </c>
      <c r="I1448" s="1" t="s">
        <v>49</v>
      </c>
      <c r="J1448" s="23" t="s">
        <v>50</v>
      </c>
      <c r="K1448" s="2" t="s">
        <v>51</v>
      </c>
      <c r="L1448" s="1">
        <v>32</v>
      </c>
      <c r="M1448" s="1"/>
      <c r="N1448" s="1" t="str">
        <f t="shared" si="113"/>
        <v>Suppressed</v>
      </c>
      <c r="O1448" s="1" t="str">
        <f t="shared" si="111"/>
        <v/>
      </c>
      <c r="P1448" s="1"/>
      <c r="Q1448" s="1">
        <v>983</v>
      </c>
      <c r="R1448" s="1" t="str">
        <f t="shared" si="114"/>
        <v>2</v>
      </c>
      <c r="S1448" s="1">
        <v>111</v>
      </c>
      <c r="T1448" s="1" t="str">
        <f t="shared" si="112"/>
        <v>1</v>
      </c>
      <c r="U1448" s="1">
        <v>-30.432500999999998</v>
      </c>
      <c r="V1448" s="3">
        <v>152.69181599999999</v>
      </c>
    </row>
    <row r="1449" spans="1:22" x14ac:dyDescent="0.35">
      <c r="A1449" s="22" t="s">
        <v>4276</v>
      </c>
      <c r="B1449" s="1" t="s">
        <v>4277</v>
      </c>
      <c r="C1449" s="1" t="s">
        <v>4278</v>
      </c>
      <c r="D1449" s="1" t="s">
        <v>689</v>
      </c>
      <c r="E1449" s="1" t="s">
        <v>122</v>
      </c>
      <c r="F1449" s="1" t="s">
        <v>47</v>
      </c>
      <c r="G1449" s="1">
        <f t="shared" si="110"/>
        <v>1</v>
      </c>
      <c r="H1449" s="1" t="s">
        <v>86</v>
      </c>
      <c r="I1449" s="1" t="s">
        <v>49</v>
      </c>
      <c r="J1449" s="23" t="s">
        <v>50</v>
      </c>
      <c r="K1449" s="2" t="s">
        <v>51</v>
      </c>
      <c r="L1449" s="1">
        <v>450</v>
      </c>
      <c r="M1449" s="1">
        <v>10</v>
      </c>
      <c r="N1449" s="1" t="str">
        <f t="shared" si="113"/>
        <v>Published</v>
      </c>
      <c r="O1449" s="1">
        <f t="shared" si="111"/>
        <v>45</v>
      </c>
      <c r="P1449" s="1">
        <v>51</v>
      </c>
      <c r="Q1449" s="1">
        <v>978</v>
      </c>
      <c r="R1449" s="1" t="str">
        <f t="shared" si="114"/>
        <v>2</v>
      </c>
      <c r="S1449" s="1">
        <v>108</v>
      </c>
      <c r="T1449" s="1" t="str">
        <f t="shared" si="112"/>
        <v>3</v>
      </c>
      <c r="U1449" s="1">
        <v>-34.048006999999998</v>
      </c>
      <c r="V1449" s="3">
        <v>150.80244400000001</v>
      </c>
    </row>
    <row r="1450" spans="1:22" x14ac:dyDescent="0.35">
      <c r="A1450" s="22" t="s">
        <v>4279</v>
      </c>
      <c r="B1450" s="1" t="s">
        <v>4280</v>
      </c>
      <c r="C1450" s="1" t="s">
        <v>4281</v>
      </c>
      <c r="D1450" s="1" t="s">
        <v>737</v>
      </c>
      <c r="E1450" s="1" t="s">
        <v>738</v>
      </c>
      <c r="F1450" s="1" t="s">
        <v>47</v>
      </c>
      <c r="G1450" s="1">
        <f t="shared" si="110"/>
        <v>1</v>
      </c>
      <c r="H1450" s="1" t="s">
        <v>182</v>
      </c>
      <c r="I1450" s="1" t="s">
        <v>49</v>
      </c>
      <c r="J1450" s="23" t="s">
        <v>50</v>
      </c>
      <c r="K1450" s="2" t="s">
        <v>51</v>
      </c>
      <c r="L1450" s="1">
        <v>503</v>
      </c>
      <c r="M1450" s="1">
        <v>2</v>
      </c>
      <c r="N1450" s="1" t="str">
        <f t="shared" si="113"/>
        <v>Published</v>
      </c>
      <c r="O1450" s="1">
        <f t="shared" si="111"/>
        <v>10.06</v>
      </c>
      <c r="P1450" s="1">
        <v>16</v>
      </c>
      <c r="Q1450" s="1">
        <v>1077</v>
      </c>
      <c r="R1450" s="1" t="str">
        <f t="shared" si="114"/>
        <v>3</v>
      </c>
      <c r="S1450" s="1">
        <v>54</v>
      </c>
      <c r="T1450" s="1" t="str">
        <f t="shared" si="112"/>
        <v>3</v>
      </c>
      <c r="U1450" s="1">
        <v>-34.019534</v>
      </c>
      <c r="V1450" s="3">
        <v>151.02911800000001</v>
      </c>
    </row>
    <row r="1451" spans="1:22" x14ac:dyDescent="0.35">
      <c r="A1451" s="22" t="s">
        <v>4282</v>
      </c>
      <c r="B1451" s="1" t="s">
        <v>4283</v>
      </c>
      <c r="C1451" s="1" t="s">
        <v>4284</v>
      </c>
      <c r="D1451" s="1" t="s">
        <v>689</v>
      </c>
      <c r="E1451" s="1" t="s">
        <v>122</v>
      </c>
      <c r="F1451" s="1" t="s">
        <v>47</v>
      </c>
      <c r="G1451" s="1">
        <f t="shared" si="110"/>
        <v>1</v>
      </c>
      <c r="H1451" s="1" t="s">
        <v>86</v>
      </c>
      <c r="I1451" s="1" t="s">
        <v>49</v>
      </c>
      <c r="J1451" s="23" t="s">
        <v>50</v>
      </c>
      <c r="K1451" s="2" t="s">
        <v>51</v>
      </c>
      <c r="L1451" s="1">
        <v>724</v>
      </c>
      <c r="M1451" s="1">
        <v>15</v>
      </c>
      <c r="N1451" s="1" t="str">
        <f t="shared" si="113"/>
        <v>Published</v>
      </c>
      <c r="O1451" s="1">
        <f t="shared" si="111"/>
        <v>108.6</v>
      </c>
      <c r="P1451" s="1">
        <v>40</v>
      </c>
      <c r="Q1451" s="1">
        <v>945</v>
      </c>
      <c r="R1451" s="1" t="str">
        <f t="shared" si="114"/>
        <v>2</v>
      </c>
      <c r="S1451" s="1">
        <v>127</v>
      </c>
      <c r="T1451" s="1" t="str">
        <f t="shared" si="112"/>
        <v>4</v>
      </c>
      <c r="U1451" s="1">
        <v>-34.104647</v>
      </c>
      <c r="V1451" s="3">
        <v>150.79453699999999</v>
      </c>
    </row>
    <row r="1452" spans="1:22" x14ac:dyDescent="0.35">
      <c r="A1452" s="22" t="s">
        <v>4285</v>
      </c>
      <c r="B1452" s="1" t="s">
        <v>4286</v>
      </c>
      <c r="C1452" s="1" t="s">
        <v>703</v>
      </c>
      <c r="D1452" s="1" t="s">
        <v>703</v>
      </c>
      <c r="E1452" s="1" t="s">
        <v>261</v>
      </c>
      <c r="F1452" s="1" t="s">
        <v>57</v>
      </c>
      <c r="G1452" s="1">
        <f t="shared" si="110"/>
        <v>2</v>
      </c>
      <c r="H1452" s="1" t="s">
        <v>70</v>
      </c>
      <c r="I1452" s="1" t="s">
        <v>49</v>
      </c>
      <c r="J1452" s="23" t="s">
        <v>50</v>
      </c>
      <c r="K1452" s="2" t="s">
        <v>51</v>
      </c>
      <c r="L1452" s="1">
        <v>217</v>
      </c>
      <c r="M1452" s="1">
        <v>57</v>
      </c>
      <c r="N1452" s="1" t="str">
        <f t="shared" si="113"/>
        <v>Published</v>
      </c>
      <c r="O1452" s="1">
        <f t="shared" si="111"/>
        <v>123.68999999999998</v>
      </c>
      <c r="P1452" s="1">
        <v>8</v>
      </c>
      <c r="Q1452" s="1">
        <v>811</v>
      </c>
      <c r="R1452" s="1" t="str">
        <f t="shared" si="114"/>
        <v>1</v>
      </c>
      <c r="S1452" s="1">
        <v>162</v>
      </c>
      <c r="T1452" s="1" t="str">
        <f t="shared" si="112"/>
        <v>2</v>
      </c>
      <c r="U1452" s="1">
        <v>-33.280751000000002</v>
      </c>
      <c r="V1452" s="3">
        <v>149.117874</v>
      </c>
    </row>
    <row r="1453" spans="1:22" x14ac:dyDescent="0.35">
      <c r="A1453" s="22" t="s">
        <v>4287</v>
      </c>
      <c r="B1453" s="1" t="s">
        <v>4288</v>
      </c>
      <c r="C1453" s="1" t="s">
        <v>4217</v>
      </c>
      <c r="D1453" s="1" t="s">
        <v>689</v>
      </c>
      <c r="E1453" s="1" t="s">
        <v>122</v>
      </c>
      <c r="F1453" s="1" t="s">
        <v>47</v>
      </c>
      <c r="G1453" s="1">
        <f t="shared" si="110"/>
        <v>1</v>
      </c>
      <c r="H1453" s="1" t="s">
        <v>86</v>
      </c>
      <c r="I1453" s="1" t="s">
        <v>49</v>
      </c>
      <c r="J1453" s="23" t="s">
        <v>50</v>
      </c>
      <c r="K1453" s="2" t="s">
        <v>51</v>
      </c>
      <c r="L1453" s="1">
        <v>495</v>
      </c>
      <c r="M1453" s="1">
        <v>15</v>
      </c>
      <c r="N1453" s="1" t="str">
        <f t="shared" si="113"/>
        <v>Published</v>
      </c>
      <c r="O1453" s="1">
        <f t="shared" si="111"/>
        <v>74.25</v>
      </c>
      <c r="P1453" s="1">
        <v>38</v>
      </c>
      <c r="Q1453" s="1">
        <v>942</v>
      </c>
      <c r="R1453" s="1" t="str">
        <f t="shared" si="114"/>
        <v>2</v>
      </c>
      <c r="S1453" s="1">
        <v>134</v>
      </c>
      <c r="T1453" s="1" t="str">
        <f t="shared" si="112"/>
        <v>3</v>
      </c>
      <c r="U1453" s="1">
        <v>-34.093620999999999</v>
      </c>
      <c r="V1453" s="3">
        <v>150.78924699999999</v>
      </c>
    </row>
    <row r="1454" spans="1:22" x14ac:dyDescent="0.35">
      <c r="A1454" s="22" t="s">
        <v>4289</v>
      </c>
      <c r="B1454" s="1" t="s">
        <v>4290</v>
      </c>
      <c r="C1454" s="1" t="s">
        <v>4141</v>
      </c>
      <c r="D1454" s="1" t="s">
        <v>1131</v>
      </c>
      <c r="E1454" s="1" t="s">
        <v>429</v>
      </c>
      <c r="F1454" s="1" t="s">
        <v>47</v>
      </c>
      <c r="G1454" s="1">
        <f t="shared" si="110"/>
        <v>1</v>
      </c>
      <c r="H1454" s="1" t="s">
        <v>148</v>
      </c>
      <c r="I1454" s="1" t="s">
        <v>49</v>
      </c>
      <c r="J1454" s="23" t="s">
        <v>50</v>
      </c>
      <c r="K1454" s="2" t="s">
        <v>51</v>
      </c>
      <c r="L1454" s="1">
        <v>319</v>
      </c>
      <c r="M1454" s="1">
        <v>19</v>
      </c>
      <c r="N1454" s="1" t="str">
        <f t="shared" si="113"/>
        <v>Published</v>
      </c>
      <c r="O1454" s="1">
        <f t="shared" si="111"/>
        <v>60.61</v>
      </c>
      <c r="P1454" s="1">
        <v>16</v>
      </c>
      <c r="Q1454" s="1">
        <v>961</v>
      </c>
      <c r="R1454" s="1" t="str">
        <f t="shared" si="114"/>
        <v>2</v>
      </c>
      <c r="S1454" s="1">
        <v>117</v>
      </c>
      <c r="T1454" s="1" t="str">
        <f t="shared" si="112"/>
        <v>3</v>
      </c>
      <c r="U1454" s="1">
        <v>-33.745130000000003</v>
      </c>
      <c r="V1454" s="3">
        <v>150.74755400000001</v>
      </c>
    </row>
    <row r="1455" spans="1:22" x14ac:dyDescent="0.35">
      <c r="A1455" s="22" t="s">
        <v>4291</v>
      </c>
      <c r="B1455" s="1" t="s">
        <v>4292</v>
      </c>
      <c r="C1455" s="1" t="s">
        <v>4293</v>
      </c>
      <c r="D1455" s="1" t="s">
        <v>186</v>
      </c>
      <c r="E1455" s="1" t="s">
        <v>187</v>
      </c>
      <c r="F1455" s="1" t="s">
        <v>47</v>
      </c>
      <c r="G1455" s="1">
        <f t="shared" si="110"/>
        <v>1</v>
      </c>
      <c r="H1455" s="1" t="s">
        <v>63</v>
      </c>
      <c r="I1455" s="1" t="s">
        <v>49</v>
      </c>
      <c r="J1455" s="23" t="s">
        <v>50</v>
      </c>
      <c r="K1455" s="2" t="s">
        <v>51</v>
      </c>
      <c r="L1455" s="1">
        <v>479</v>
      </c>
      <c r="M1455" s="1">
        <v>14</v>
      </c>
      <c r="N1455" s="1" t="str">
        <f t="shared" si="113"/>
        <v>Published</v>
      </c>
      <c r="O1455" s="1">
        <f t="shared" si="111"/>
        <v>67.06</v>
      </c>
      <c r="P1455" s="1">
        <v>9</v>
      </c>
      <c r="Q1455" s="1">
        <v>992</v>
      </c>
      <c r="R1455" s="1" t="str">
        <f t="shared" si="114"/>
        <v>2</v>
      </c>
      <c r="S1455" s="1">
        <v>96</v>
      </c>
      <c r="T1455" s="1" t="str">
        <f t="shared" si="112"/>
        <v>3</v>
      </c>
      <c r="U1455" s="1">
        <v>-33.325977999999999</v>
      </c>
      <c r="V1455" s="3">
        <v>151.43200999999999</v>
      </c>
    </row>
    <row r="1456" spans="1:22" x14ac:dyDescent="0.35">
      <c r="A1456" s="22" t="s">
        <v>4294</v>
      </c>
      <c r="B1456" s="1" t="s">
        <v>4295</v>
      </c>
      <c r="C1456" s="1" t="s">
        <v>3357</v>
      </c>
      <c r="D1456" s="1" t="s">
        <v>115</v>
      </c>
      <c r="E1456" s="1" t="s">
        <v>225</v>
      </c>
      <c r="F1456" s="1" t="s">
        <v>47</v>
      </c>
      <c r="G1456" s="1">
        <f t="shared" si="110"/>
        <v>1</v>
      </c>
      <c r="H1456" s="1" t="s">
        <v>48</v>
      </c>
      <c r="I1456" s="1" t="s">
        <v>49</v>
      </c>
      <c r="J1456" s="23" t="s">
        <v>50</v>
      </c>
      <c r="K1456" s="2" t="s">
        <v>51</v>
      </c>
      <c r="L1456" s="1">
        <v>508</v>
      </c>
      <c r="M1456" s="1">
        <v>2</v>
      </c>
      <c r="N1456" s="1" t="str">
        <f t="shared" si="113"/>
        <v>Published</v>
      </c>
      <c r="O1456" s="1">
        <f t="shared" si="111"/>
        <v>10.16</v>
      </c>
      <c r="P1456" s="1">
        <v>43</v>
      </c>
      <c r="Q1456" s="1">
        <v>1135</v>
      </c>
      <c r="R1456" s="1" t="str">
        <f t="shared" si="114"/>
        <v>4</v>
      </c>
      <c r="S1456" s="1">
        <v>22</v>
      </c>
      <c r="T1456" s="1" t="str">
        <f t="shared" si="112"/>
        <v>3</v>
      </c>
      <c r="U1456" s="1">
        <v>-33.901966999999999</v>
      </c>
      <c r="V1456" s="3">
        <v>151.15508600000001</v>
      </c>
    </row>
    <row r="1457" spans="1:22" x14ac:dyDescent="0.35">
      <c r="A1457" s="22" t="s">
        <v>4296</v>
      </c>
      <c r="B1457" s="1" t="s">
        <v>4297</v>
      </c>
      <c r="C1457" s="1" t="s">
        <v>4162</v>
      </c>
      <c r="D1457" s="1" t="s">
        <v>1131</v>
      </c>
      <c r="E1457" s="1" t="s">
        <v>429</v>
      </c>
      <c r="F1457" s="1" t="s">
        <v>47</v>
      </c>
      <c r="G1457" s="1">
        <f t="shared" si="110"/>
        <v>1</v>
      </c>
      <c r="H1457" s="1" t="s">
        <v>182</v>
      </c>
      <c r="I1457" s="1" t="s">
        <v>49</v>
      </c>
      <c r="J1457" s="23" t="s">
        <v>50</v>
      </c>
      <c r="K1457" s="2" t="s">
        <v>51</v>
      </c>
      <c r="L1457" s="1">
        <v>317</v>
      </c>
      <c r="M1457" s="1">
        <v>13</v>
      </c>
      <c r="N1457" s="1" t="str">
        <f t="shared" si="113"/>
        <v>Published</v>
      </c>
      <c r="O1457" s="1">
        <f t="shared" si="111"/>
        <v>41.21</v>
      </c>
      <c r="P1457" s="1">
        <v>22</v>
      </c>
      <c r="Q1457" s="1">
        <v>980</v>
      </c>
      <c r="R1457" s="1" t="str">
        <f t="shared" si="114"/>
        <v>2</v>
      </c>
      <c r="S1457" s="1">
        <v>110</v>
      </c>
      <c r="T1457" s="1" t="str">
        <f t="shared" si="112"/>
        <v>3</v>
      </c>
      <c r="U1457" s="1">
        <v>-33.773060000000001</v>
      </c>
      <c r="V1457" s="3">
        <v>150.68308300000001</v>
      </c>
    </row>
    <row r="1458" spans="1:22" x14ac:dyDescent="0.35">
      <c r="A1458" s="22" t="s">
        <v>4298</v>
      </c>
      <c r="B1458" s="1" t="s">
        <v>4299</v>
      </c>
      <c r="C1458" s="1" t="s">
        <v>4300</v>
      </c>
      <c r="D1458" s="1" t="s">
        <v>537</v>
      </c>
      <c r="E1458" s="1" t="s">
        <v>181</v>
      </c>
      <c r="F1458" s="1" t="s">
        <v>47</v>
      </c>
      <c r="G1458" s="1">
        <f t="shared" si="110"/>
        <v>1</v>
      </c>
      <c r="H1458" s="1" t="s">
        <v>182</v>
      </c>
      <c r="I1458" s="1" t="s">
        <v>49</v>
      </c>
      <c r="J1458" s="23" t="s">
        <v>50</v>
      </c>
      <c r="K1458" s="2" t="s">
        <v>51</v>
      </c>
      <c r="L1458" s="1">
        <v>238</v>
      </c>
      <c r="M1458" s="1">
        <v>14</v>
      </c>
      <c r="N1458" s="1" t="str">
        <f t="shared" si="113"/>
        <v>Published</v>
      </c>
      <c r="O1458" s="1">
        <f t="shared" si="111"/>
        <v>33.32</v>
      </c>
      <c r="P1458" s="1">
        <v>81</v>
      </c>
      <c r="Q1458" s="1">
        <v>900</v>
      </c>
      <c r="R1458" s="1" t="str">
        <f t="shared" si="114"/>
        <v>2</v>
      </c>
      <c r="S1458" s="1">
        <v>163</v>
      </c>
      <c r="T1458" s="1" t="str">
        <f t="shared" si="112"/>
        <v>2</v>
      </c>
      <c r="U1458" s="1">
        <v>-33.887728000000003</v>
      </c>
      <c r="V1458" s="3">
        <v>150.88896199999999</v>
      </c>
    </row>
    <row r="1459" spans="1:22" x14ac:dyDescent="0.35">
      <c r="A1459" s="22" t="s">
        <v>4301</v>
      </c>
      <c r="B1459" s="1" t="s">
        <v>4302</v>
      </c>
      <c r="C1459" s="1" t="s">
        <v>3421</v>
      </c>
      <c r="D1459" s="1" t="s">
        <v>428</v>
      </c>
      <c r="E1459" s="1" t="s">
        <v>429</v>
      </c>
      <c r="F1459" s="1" t="s">
        <v>47</v>
      </c>
      <c r="G1459" s="1">
        <f t="shared" si="110"/>
        <v>1</v>
      </c>
      <c r="H1459" s="1" t="s">
        <v>63</v>
      </c>
      <c r="I1459" s="1" t="s">
        <v>49</v>
      </c>
      <c r="J1459" s="23" t="s">
        <v>50</v>
      </c>
      <c r="K1459" s="2" t="s">
        <v>51</v>
      </c>
      <c r="L1459" s="1">
        <v>210</v>
      </c>
      <c r="M1459" s="1">
        <v>8</v>
      </c>
      <c r="N1459" s="1" t="str">
        <f t="shared" si="113"/>
        <v>Published</v>
      </c>
      <c r="O1459" s="1">
        <f t="shared" si="111"/>
        <v>16.8</v>
      </c>
      <c r="P1459" s="1">
        <v>23</v>
      </c>
      <c r="Q1459" s="1">
        <v>1035</v>
      </c>
      <c r="R1459" s="1" t="str">
        <f t="shared" si="114"/>
        <v>3</v>
      </c>
      <c r="S1459" s="1">
        <v>63</v>
      </c>
      <c r="T1459" s="1" t="str">
        <f t="shared" si="112"/>
        <v>2</v>
      </c>
      <c r="U1459" s="1">
        <v>-33.718645000000002</v>
      </c>
      <c r="V1459" s="3">
        <v>150.31370799999999</v>
      </c>
    </row>
    <row r="1460" spans="1:22" x14ac:dyDescent="0.35">
      <c r="A1460" s="22" t="s">
        <v>4303</v>
      </c>
      <c r="B1460" s="1" t="s">
        <v>4304</v>
      </c>
      <c r="C1460" s="1" t="s">
        <v>4305</v>
      </c>
      <c r="D1460" s="1" t="s">
        <v>111</v>
      </c>
      <c r="E1460" s="1" t="s">
        <v>56</v>
      </c>
      <c r="F1460" s="1" t="s">
        <v>57</v>
      </c>
      <c r="G1460" s="1">
        <f t="shared" si="110"/>
        <v>2</v>
      </c>
      <c r="H1460" s="1" t="s">
        <v>63</v>
      </c>
      <c r="I1460" s="1" t="s">
        <v>49</v>
      </c>
      <c r="J1460" s="23" t="s">
        <v>50</v>
      </c>
      <c r="K1460" s="2" t="s">
        <v>51</v>
      </c>
      <c r="L1460" s="1">
        <v>354</v>
      </c>
      <c r="M1460" s="1">
        <v>29</v>
      </c>
      <c r="N1460" s="1" t="str">
        <f t="shared" si="113"/>
        <v>Published</v>
      </c>
      <c r="O1460" s="1">
        <f t="shared" si="111"/>
        <v>102.66</v>
      </c>
      <c r="P1460" s="1">
        <v>7</v>
      </c>
      <c r="Q1460" s="1">
        <v>901</v>
      </c>
      <c r="R1460" s="1" t="str">
        <f t="shared" si="114"/>
        <v>2</v>
      </c>
      <c r="S1460" s="1">
        <v>139</v>
      </c>
      <c r="T1460" s="1" t="str">
        <f t="shared" si="112"/>
        <v>3</v>
      </c>
      <c r="U1460" s="1">
        <v>-32.730055</v>
      </c>
      <c r="V1460" s="3">
        <v>152.00584499999999</v>
      </c>
    </row>
    <row r="1461" spans="1:22" x14ac:dyDescent="0.35">
      <c r="A1461" s="22" t="s">
        <v>4306</v>
      </c>
      <c r="B1461" s="1" t="s">
        <v>4307</v>
      </c>
      <c r="C1461" s="1" t="s">
        <v>4308</v>
      </c>
      <c r="D1461" s="1" t="s">
        <v>186</v>
      </c>
      <c r="E1461" s="1" t="s">
        <v>187</v>
      </c>
      <c r="F1461" s="1" t="s">
        <v>47</v>
      </c>
      <c r="G1461" s="1">
        <f t="shared" si="110"/>
        <v>1</v>
      </c>
      <c r="H1461" s="1" t="s">
        <v>63</v>
      </c>
      <c r="I1461" s="1" t="s">
        <v>49</v>
      </c>
      <c r="J1461" s="23" t="s">
        <v>50</v>
      </c>
      <c r="K1461" s="2" t="s">
        <v>51</v>
      </c>
      <c r="L1461" s="1">
        <v>259</v>
      </c>
      <c r="M1461" s="1">
        <v>7</v>
      </c>
      <c r="N1461" s="1" t="str">
        <f t="shared" si="113"/>
        <v>Published</v>
      </c>
      <c r="O1461" s="1">
        <f t="shared" si="111"/>
        <v>18.130000000000003</v>
      </c>
      <c r="P1461" s="1">
        <v>15</v>
      </c>
      <c r="Q1461" s="1">
        <v>1064</v>
      </c>
      <c r="R1461" s="1" t="str">
        <f t="shared" si="114"/>
        <v>3</v>
      </c>
      <c r="S1461" s="1">
        <v>51</v>
      </c>
      <c r="T1461" s="1" t="str">
        <f t="shared" si="112"/>
        <v>2</v>
      </c>
      <c r="U1461" s="1">
        <v>-33.485042</v>
      </c>
      <c r="V1461" s="3">
        <v>151.436848</v>
      </c>
    </row>
    <row r="1462" spans="1:22" x14ac:dyDescent="0.35">
      <c r="A1462" s="22" t="s">
        <v>4309</v>
      </c>
      <c r="B1462" s="1" t="s">
        <v>4310</v>
      </c>
      <c r="C1462" s="1" t="s">
        <v>211</v>
      </c>
      <c r="D1462" s="1" t="s">
        <v>211</v>
      </c>
      <c r="E1462" s="1" t="s">
        <v>102</v>
      </c>
      <c r="F1462" s="1" t="s">
        <v>57</v>
      </c>
      <c r="G1462" s="1">
        <f t="shared" si="110"/>
        <v>2</v>
      </c>
      <c r="H1462" s="1" t="s">
        <v>58</v>
      </c>
      <c r="I1462" s="1" t="s">
        <v>49</v>
      </c>
      <c r="J1462" s="23" t="s">
        <v>50</v>
      </c>
      <c r="K1462" s="2" t="s">
        <v>51</v>
      </c>
      <c r="L1462" s="1">
        <v>614</v>
      </c>
      <c r="M1462" s="1">
        <v>46</v>
      </c>
      <c r="N1462" s="1" t="str">
        <f t="shared" si="113"/>
        <v>Published</v>
      </c>
      <c r="O1462" s="1">
        <f t="shared" si="111"/>
        <v>282.44</v>
      </c>
      <c r="P1462" s="1">
        <v>8</v>
      </c>
      <c r="Q1462" s="1">
        <v>900</v>
      </c>
      <c r="R1462" s="1" t="str">
        <f t="shared" si="114"/>
        <v>2</v>
      </c>
      <c r="S1462" s="1">
        <v>112</v>
      </c>
      <c r="T1462" s="1" t="str">
        <f t="shared" si="112"/>
        <v>4</v>
      </c>
      <c r="U1462" s="1">
        <v>-32.252499999999998</v>
      </c>
      <c r="V1462" s="3">
        <v>148.62713199999999</v>
      </c>
    </row>
    <row r="1463" spans="1:22" x14ac:dyDescent="0.35">
      <c r="A1463" s="22" t="s">
        <v>4311</v>
      </c>
      <c r="B1463" s="1" t="s">
        <v>4312</v>
      </c>
      <c r="C1463" s="1" t="s">
        <v>4313</v>
      </c>
      <c r="D1463" s="1" t="s">
        <v>1003</v>
      </c>
      <c r="E1463" s="1" t="s">
        <v>225</v>
      </c>
      <c r="F1463" s="1" t="s">
        <v>47</v>
      </c>
      <c r="G1463" s="1">
        <f t="shared" si="110"/>
        <v>1</v>
      </c>
      <c r="H1463" s="1" t="s">
        <v>48</v>
      </c>
      <c r="I1463" s="1" t="s">
        <v>49</v>
      </c>
      <c r="J1463" s="23" t="s">
        <v>50</v>
      </c>
      <c r="K1463" s="2" t="s">
        <v>51</v>
      </c>
      <c r="L1463" s="1">
        <v>73</v>
      </c>
      <c r="M1463" s="1">
        <v>27</v>
      </c>
      <c r="N1463" s="1" t="str">
        <f t="shared" si="113"/>
        <v>Published</v>
      </c>
      <c r="O1463" s="1">
        <f t="shared" si="111"/>
        <v>19.71</v>
      </c>
      <c r="P1463" s="1">
        <v>58</v>
      </c>
      <c r="Q1463" s="1">
        <v>968</v>
      </c>
      <c r="R1463" s="1" t="str">
        <f t="shared" si="114"/>
        <v>2</v>
      </c>
      <c r="S1463" s="1">
        <v>91</v>
      </c>
      <c r="T1463" s="1" t="str">
        <f t="shared" si="112"/>
        <v>1</v>
      </c>
      <c r="U1463" s="1">
        <v>-33.870879000000002</v>
      </c>
      <c r="V1463" s="3">
        <v>151.22023999999999</v>
      </c>
    </row>
    <row r="1464" spans="1:22" x14ac:dyDescent="0.35">
      <c r="A1464" s="22" t="s">
        <v>4314</v>
      </c>
      <c r="B1464" s="1" t="s">
        <v>4315</v>
      </c>
      <c r="C1464" s="1" t="s">
        <v>2628</v>
      </c>
      <c r="D1464" s="1" t="s">
        <v>275</v>
      </c>
      <c r="E1464" s="1" t="s">
        <v>276</v>
      </c>
      <c r="F1464" s="1" t="s">
        <v>57</v>
      </c>
      <c r="G1464" s="1">
        <f t="shared" si="110"/>
        <v>2</v>
      </c>
      <c r="H1464" s="1" t="s">
        <v>58</v>
      </c>
      <c r="I1464" s="1" t="s">
        <v>49</v>
      </c>
      <c r="J1464" s="23" t="s">
        <v>50</v>
      </c>
      <c r="K1464" s="2" t="s">
        <v>51</v>
      </c>
      <c r="L1464" s="1">
        <v>207</v>
      </c>
      <c r="M1464" s="1">
        <v>63</v>
      </c>
      <c r="N1464" s="1" t="str">
        <f t="shared" si="113"/>
        <v>Published</v>
      </c>
      <c r="O1464" s="1">
        <f t="shared" si="111"/>
        <v>130.41</v>
      </c>
      <c r="P1464" s="1"/>
      <c r="Q1464" s="1">
        <v>724</v>
      </c>
      <c r="R1464" s="1" t="str">
        <f t="shared" si="114"/>
        <v>1</v>
      </c>
      <c r="S1464" s="1">
        <v>199</v>
      </c>
      <c r="T1464" s="1" t="str">
        <f t="shared" si="112"/>
        <v>2</v>
      </c>
      <c r="U1464" s="1">
        <v>-31.892305</v>
      </c>
      <c r="V1464" s="3">
        <v>152.459892</v>
      </c>
    </row>
    <row r="1465" spans="1:22" x14ac:dyDescent="0.35">
      <c r="A1465" s="22" t="s">
        <v>4316</v>
      </c>
      <c r="B1465" s="1" t="s">
        <v>4317</v>
      </c>
      <c r="C1465" s="1" t="s">
        <v>4318</v>
      </c>
      <c r="D1465" s="1" t="s">
        <v>152</v>
      </c>
      <c r="E1465" s="1" t="s">
        <v>229</v>
      </c>
      <c r="F1465" s="1" t="s">
        <v>47</v>
      </c>
      <c r="G1465" s="1">
        <f t="shared" si="110"/>
        <v>1</v>
      </c>
      <c r="H1465" s="1" t="s">
        <v>48</v>
      </c>
      <c r="I1465" s="1" t="s">
        <v>49</v>
      </c>
      <c r="J1465" s="23" t="s">
        <v>50</v>
      </c>
      <c r="K1465" s="2" t="s">
        <v>51</v>
      </c>
      <c r="L1465" s="1">
        <v>550</v>
      </c>
      <c r="M1465" s="1"/>
      <c r="N1465" s="1" t="str">
        <f t="shared" si="113"/>
        <v>Suppressed</v>
      </c>
      <c r="O1465" s="1" t="str">
        <f t="shared" si="111"/>
        <v/>
      </c>
      <c r="P1465" s="1">
        <v>98</v>
      </c>
      <c r="Q1465" s="1">
        <v>994</v>
      </c>
      <c r="R1465" s="1" t="str">
        <f t="shared" si="114"/>
        <v>2</v>
      </c>
      <c r="S1465" s="1">
        <v>107</v>
      </c>
      <c r="T1465" s="1" t="str">
        <f t="shared" si="112"/>
        <v>3</v>
      </c>
      <c r="U1465" s="1">
        <v>-33.924753000000003</v>
      </c>
      <c r="V1465" s="3">
        <v>151.06876099999999</v>
      </c>
    </row>
    <row r="1466" spans="1:22" x14ac:dyDescent="0.35">
      <c r="A1466" s="22" t="s">
        <v>4319</v>
      </c>
      <c r="B1466" s="1" t="s">
        <v>4320</v>
      </c>
      <c r="C1466" s="1" t="s">
        <v>536</v>
      </c>
      <c r="D1466" s="1" t="s">
        <v>537</v>
      </c>
      <c r="E1466" s="1" t="s">
        <v>181</v>
      </c>
      <c r="F1466" s="1" t="s">
        <v>47</v>
      </c>
      <c r="G1466" s="1">
        <f t="shared" si="110"/>
        <v>1</v>
      </c>
      <c r="H1466" s="1" t="s">
        <v>182</v>
      </c>
      <c r="I1466" s="1" t="s">
        <v>49</v>
      </c>
      <c r="J1466" s="23" t="s">
        <v>50</v>
      </c>
      <c r="K1466" s="2" t="s">
        <v>51</v>
      </c>
      <c r="L1466" s="1">
        <v>419</v>
      </c>
      <c r="M1466" s="1">
        <v>6</v>
      </c>
      <c r="N1466" s="1" t="str">
        <f t="shared" si="113"/>
        <v>Published</v>
      </c>
      <c r="O1466" s="1">
        <f t="shared" si="111"/>
        <v>25.14</v>
      </c>
      <c r="P1466" s="1">
        <v>91</v>
      </c>
      <c r="Q1466" s="1">
        <v>894</v>
      </c>
      <c r="R1466" s="1" t="str">
        <f t="shared" si="114"/>
        <v>1</v>
      </c>
      <c r="S1466" s="1">
        <v>173</v>
      </c>
      <c r="T1466" s="1" t="str">
        <f t="shared" si="112"/>
        <v>3</v>
      </c>
      <c r="U1466" s="1">
        <v>-33.866464000000001</v>
      </c>
      <c r="V1466" s="3">
        <v>150.89089799999999</v>
      </c>
    </row>
    <row r="1467" spans="1:22" x14ac:dyDescent="0.35">
      <c r="A1467" s="22" t="s">
        <v>4321</v>
      </c>
      <c r="B1467" s="1" t="s">
        <v>4322</v>
      </c>
      <c r="C1467" s="1" t="s">
        <v>2044</v>
      </c>
      <c r="D1467" s="1" t="s">
        <v>1399</v>
      </c>
      <c r="E1467" s="1" t="s">
        <v>261</v>
      </c>
      <c r="F1467" s="1" t="s">
        <v>57</v>
      </c>
      <c r="G1467" s="1">
        <f t="shared" si="110"/>
        <v>2</v>
      </c>
      <c r="H1467" s="1" t="s">
        <v>58</v>
      </c>
      <c r="I1467" s="1" t="s">
        <v>49</v>
      </c>
      <c r="J1467" s="23" t="s">
        <v>50</v>
      </c>
      <c r="K1467" s="2" t="s">
        <v>51</v>
      </c>
      <c r="L1467" s="1">
        <v>654</v>
      </c>
      <c r="M1467" s="1">
        <v>19</v>
      </c>
      <c r="N1467" s="1" t="str">
        <f t="shared" si="113"/>
        <v>Published</v>
      </c>
      <c r="O1467" s="1">
        <f t="shared" si="111"/>
        <v>124.26</v>
      </c>
      <c r="P1467" s="1">
        <v>4</v>
      </c>
      <c r="Q1467" s="1">
        <v>951</v>
      </c>
      <c r="R1467" s="1" t="str">
        <f t="shared" si="114"/>
        <v>2</v>
      </c>
      <c r="S1467" s="1">
        <v>105</v>
      </c>
      <c r="T1467" s="1" t="str">
        <f t="shared" si="112"/>
        <v>4</v>
      </c>
      <c r="U1467" s="1">
        <v>-32.606538999999998</v>
      </c>
      <c r="V1467" s="3">
        <v>149.583789</v>
      </c>
    </row>
    <row r="1468" spans="1:22" x14ac:dyDescent="0.35">
      <c r="A1468" s="22" t="s">
        <v>4323</v>
      </c>
      <c r="B1468" s="1" t="s">
        <v>4324</v>
      </c>
      <c r="C1468" s="1" t="s">
        <v>1298</v>
      </c>
      <c r="D1468" s="1" t="s">
        <v>1014</v>
      </c>
      <c r="E1468" s="1" t="s">
        <v>91</v>
      </c>
      <c r="F1468" s="1" t="s">
        <v>69</v>
      </c>
      <c r="G1468" s="1">
        <f t="shared" si="110"/>
        <v>3</v>
      </c>
      <c r="H1468" s="1" t="s">
        <v>92</v>
      </c>
      <c r="I1468" s="1" t="s">
        <v>49</v>
      </c>
      <c r="J1468" s="23" t="s">
        <v>50</v>
      </c>
      <c r="K1468" s="2" t="s">
        <v>51</v>
      </c>
      <c r="L1468" s="1">
        <v>13</v>
      </c>
      <c r="M1468" s="1"/>
      <c r="N1468" s="1" t="str">
        <f t="shared" si="113"/>
        <v>Suppressed</v>
      </c>
      <c r="O1468" s="1" t="str">
        <f t="shared" si="111"/>
        <v/>
      </c>
      <c r="P1468" s="1"/>
      <c r="Q1468" s="1">
        <v>923</v>
      </c>
      <c r="R1468" s="1" t="str">
        <f t="shared" si="114"/>
        <v>2</v>
      </c>
      <c r="S1468" s="1">
        <v>137</v>
      </c>
      <c r="T1468" s="1" t="str">
        <f t="shared" si="112"/>
        <v>1</v>
      </c>
      <c r="U1468" s="1">
        <v>-29.691603000000001</v>
      </c>
      <c r="V1468" s="3">
        <v>152.11035899999999</v>
      </c>
    </row>
    <row r="1469" spans="1:22" x14ac:dyDescent="0.35">
      <c r="A1469" s="22" t="s">
        <v>4325</v>
      </c>
      <c r="B1469" s="1" t="s">
        <v>4326</v>
      </c>
      <c r="C1469" s="1" t="s">
        <v>4327</v>
      </c>
      <c r="D1469" s="1" t="s">
        <v>465</v>
      </c>
      <c r="E1469" s="1" t="s">
        <v>281</v>
      </c>
      <c r="F1469" s="1" t="s">
        <v>57</v>
      </c>
      <c r="G1469" s="1">
        <f t="shared" si="110"/>
        <v>2</v>
      </c>
      <c r="H1469" s="1" t="s">
        <v>92</v>
      </c>
      <c r="I1469" s="1" t="s">
        <v>49</v>
      </c>
      <c r="J1469" s="23" t="s">
        <v>50</v>
      </c>
      <c r="K1469" s="2" t="s">
        <v>51</v>
      </c>
      <c r="L1469" s="1">
        <v>336</v>
      </c>
      <c r="M1469" s="1">
        <v>16</v>
      </c>
      <c r="N1469" s="1" t="str">
        <f t="shared" si="113"/>
        <v>Published</v>
      </c>
      <c r="O1469" s="1">
        <f t="shared" si="111"/>
        <v>53.76</v>
      </c>
      <c r="P1469" s="1">
        <v>9</v>
      </c>
      <c r="Q1469" s="1">
        <v>973</v>
      </c>
      <c r="R1469" s="1" t="str">
        <f t="shared" si="114"/>
        <v>2</v>
      </c>
      <c r="S1469" s="1">
        <v>102</v>
      </c>
      <c r="T1469" s="1" t="str">
        <f t="shared" si="112"/>
        <v>3</v>
      </c>
      <c r="U1469" s="1">
        <v>-30.153583999999999</v>
      </c>
      <c r="V1469" s="3">
        <v>153.18649600000001</v>
      </c>
    </row>
    <row r="1470" spans="1:22" x14ac:dyDescent="0.35">
      <c r="A1470" s="22" t="s">
        <v>4328</v>
      </c>
      <c r="B1470" s="1" t="s">
        <v>4329</v>
      </c>
      <c r="C1470" s="1" t="s">
        <v>4330</v>
      </c>
      <c r="D1470" s="1" t="s">
        <v>689</v>
      </c>
      <c r="E1470" s="1" t="s">
        <v>122</v>
      </c>
      <c r="F1470" s="1" t="s">
        <v>47</v>
      </c>
      <c r="G1470" s="1">
        <f t="shared" si="110"/>
        <v>1</v>
      </c>
      <c r="H1470" s="1" t="s">
        <v>182</v>
      </c>
      <c r="I1470" s="1" t="s">
        <v>49</v>
      </c>
      <c r="J1470" s="23" t="s">
        <v>50</v>
      </c>
      <c r="K1470" s="2" t="s">
        <v>51</v>
      </c>
      <c r="L1470" s="1">
        <v>326</v>
      </c>
      <c r="M1470" s="1">
        <v>12</v>
      </c>
      <c r="N1470" s="1" t="str">
        <f t="shared" si="113"/>
        <v>Published</v>
      </c>
      <c r="O1470" s="1">
        <f t="shared" si="111"/>
        <v>39.119999999999997</v>
      </c>
      <c r="P1470" s="1">
        <v>40</v>
      </c>
      <c r="Q1470" s="1">
        <v>979</v>
      </c>
      <c r="R1470" s="1" t="str">
        <f t="shared" si="114"/>
        <v>2</v>
      </c>
      <c r="S1470" s="1">
        <v>102</v>
      </c>
      <c r="T1470" s="1" t="str">
        <f t="shared" si="112"/>
        <v>3</v>
      </c>
      <c r="U1470" s="1">
        <v>-34.02834</v>
      </c>
      <c r="V1470" s="3">
        <v>150.81083799999999</v>
      </c>
    </row>
    <row r="1471" spans="1:22" x14ac:dyDescent="0.35">
      <c r="A1471" s="22" t="s">
        <v>4331</v>
      </c>
      <c r="B1471" s="1" t="s">
        <v>4332</v>
      </c>
      <c r="C1471" s="1" t="s">
        <v>4261</v>
      </c>
      <c r="D1471" s="1" t="s">
        <v>1131</v>
      </c>
      <c r="E1471" s="1" t="s">
        <v>429</v>
      </c>
      <c r="F1471" s="1" t="s">
        <v>47</v>
      </c>
      <c r="G1471" s="1">
        <f t="shared" si="110"/>
        <v>1</v>
      </c>
      <c r="H1471" s="1" t="s">
        <v>182</v>
      </c>
      <c r="I1471" s="1" t="s">
        <v>49</v>
      </c>
      <c r="J1471" s="23" t="s">
        <v>50</v>
      </c>
      <c r="K1471" s="2" t="s">
        <v>51</v>
      </c>
      <c r="L1471" s="1">
        <v>480</v>
      </c>
      <c r="M1471" s="1">
        <v>8</v>
      </c>
      <c r="N1471" s="1" t="str">
        <f t="shared" si="113"/>
        <v>Published</v>
      </c>
      <c r="O1471" s="1">
        <f t="shared" si="111"/>
        <v>38.4</v>
      </c>
      <c r="P1471" s="1">
        <v>31</v>
      </c>
      <c r="Q1471" s="1">
        <v>980</v>
      </c>
      <c r="R1471" s="1" t="str">
        <f t="shared" si="114"/>
        <v>2</v>
      </c>
      <c r="S1471" s="1">
        <v>111</v>
      </c>
      <c r="T1471" s="1" t="str">
        <f t="shared" si="112"/>
        <v>3</v>
      </c>
      <c r="U1471" s="1">
        <v>-33.806328000000001</v>
      </c>
      <c r="V1471" s="3">
        <v>150.783052</v>
      </c>
    </row>
    <row r="1472" spans="1:22" x14ac:dyDescent="0.35">
      <c r="A1472" s="22" t="s">
        <v>4333</v>
      </c>
      <c r="B1472" s="1" t="s">
        <v>4334</v>
      </c>
      <c r="C1472" s="1" t="s">
        <v>4335</v>
      </c>
      <c r="D1472" s="1" t="s">
        <v>1131</v>
      </c>
      <c r="E1472" s="1" t="s">
        <v>429</v>
      </c>
      <c r="F1472" s="1" t="s">
        <v>47</v>
      </c>
      <c r="G1472" s="1">
        <f t="shared" si="110"/>
        <v>1</v>
      </c>
      <c r="H1472" s="1" t="s">
        <v>148</v>
      </c>
      <c r="I1472" s="1" t="s">
        <v>49</v>
      </c>
      <c r="J1472" s="23" t="s">
        <v>50</v>
      </c>
      <c r="K1472" s="2" t="s">
        <v>51</v>
      </c>
      <c r="L1472" s="1">
        <v>521</v>
      </c>
      <c r="M1472" s="1">
        <v>14</v>
      </c>
      <c r="N1472" s="1" t="str">
        <f t="shared" si="113"/>
        <v>Published</v>
      </c>
      <c r="O1472" s="1">
        <f t="shared" si="111"/>
        <v>72.940000000000012</v>
      </c>
      <c r="P1472" s="1">
        <v>12</v>
      </c>
      <c r="Q1472" s="1">
        <v>980</v>
      </c>
      <c r="R1472" s="1" t="str">
        <f t="shared" si="114"/>
        <v>2</v>
      </c>
      <c r="S1472" s="1">
        <v>107</v>
      </c>
      <c r="T1472" s="1" t="str">
        <f t="shared" si="112"/>
        <v>3</v>
      </c>
      <c r="U1472" s="1">
        <v>-33.713307</v>
      </c>
      <c r="V1472" s="3">
        <v>150.70874499999999</v>
      </c>
    </row>
    <row r="1473" spans="1:22" x14ac:dyDescent="0.35">
      <c r="A1473" s="22" t="s">
        <v>4336</v>
      </c>
      <c r="B1473" s="1" t="s">
        <v>4337</v>
      </c>
      <c r="C1473" s="1" t="s">
        <v>4338</v>
      </c>
      <c r="D1473" s="1" t="s">
        <v>489</v>
      </c>
      <c r="E1473" s="1" t="s">
        <v>56</v>
      </c>
      <c r="F1473" s="1" t="s">
        <v>47</v>
      </c>
      <c r="G1473" s="1">
        <f t="shared" si="110"/>
        <v>1</v>
      </c>
      <c r="H1473" s="1" t="s">
        <v>58</v>
      </c>
      <c r="I1473" s="1" t="s">
        <v>49</v>
      </c>
      <c r="J1473" s="23" t="s">
        <v>50</v>
      </c>
      <c r="K1473" s="2" t="s">
        <v>51</v>
      </c>
      <c r="L1473" s="1">
        <v>1007</v>
      </c>
      <c r="M1473" s="1">
        <v>24</v>
      </c>
      <c r="N1473" s="1" t="str">
        <f t="shared" si="113"/>
        <v>Published</v>
      </c>
      <c r="O1473" s="1">
        <f t="shared" si="111"/>
        <v>241.67999999999998</v>
      </c>
      <c r="P1473" s="1">
        <v>12</v>
      </c>
      <c r="Q1473" s="1">
        <v>933</v>
      </c>
      <c r="R1473" s="1" t="str">
        <f t="shared" si="114"/>
        <v>2</v>
      </c>
      <c r="S1473" s="1">
        <v>123</v>
      </c>
      <c r="T1473" s="1" t="str">
        <f t="shared" si="112"/>
        <v>5</v>
      </c>
      <c r="U1473" s="1">
        <v>-32.710925000000003</v>
      </c>
      <c r="V1473" s="3">
        <v>151.52839</v>
      </c>
    </row>
    <row r="1474" spans="1:22" x14ac:dyDescent="0.35">
      <c r="A1474" s="22" t="s">
        <v>4339</v>
      </c>
      <c r="B1474" s="1" t="s">
        <v>4340</v>
      </c>
      <c r="C1474" s="1" t="s">
        <v>4341</v>
      </c>
      <c r="D1474" s="1" t="s">
        <v>288</v>
      </c>
      <c r="E1474" s="1" t="s">
        <v>68</v>
      </c>
      <c r="F1474" s="1" t="s">
        <v>57</v>
      </c>
      <c r="G1474" s="1">
        <f t="shared" ref="G1474:G1537" si="115">IF(F1474="Major Cities of Australia",1,IF(F1474="Inner Regional Australia",2,IF(F1474="Outer Regional Australia",3,IF(F1474="Remote Australia",4,IF(F1474="Very Remote Australia",5,6)))))</f>
        <v>2</v>
      </c>
      <c r="H1474" s="1" t="s">
        <v>86</v>
      </c>
      <c r="I1474" s="1" t="s">
        <v>49</v>
      </c>
      <c r="J1474" s="23" t="s">
        <v>50</v>
      </c>
      <c r="K1474" s="2" t="s">
        <v>51</v>
      </c>
      <c r="L1474" s="1">
        <v>203</v>
      </c>
      <c r="M1474" s="1">
        <v>27</v>
      </c>
      <c r="N1474" s="1" t="str">
        <f t="shared" si="113"/>
        <v>Published</v>
      </c>
      <c r="O1474" s="1">
        <f t="shared" ref="O1474:O1537" si="116">IF(OR(M1474="",L1474=""),"",M1474/100*L1474)</f>
        <v>54.81</v>
      </c>
      <c r="P1474" s="1">
        <v>11</v>
      </c>
      <c r="Q1474" s="1">
        <v>903</v>
      </c>
      <c r="R1474" s="1" t="str">
        <f t="shared" si="114"/>
        <v>2</v>
      </c>
      <c r="S1474" s="1">
        <v>137</v>
      </c>
      <c r="T1474" s="1" t="str">
        <f t="shared" ref="T1474:T1537" si="117">IF(L1474="","No enrolment",IF(L1474&lt;100,"1",IF(L1474&lt;300,"2",IF(L1474&lt;600,"3",IF(L1474&lt;1000,"4","5")))))</f>
        <v>2</v>
      </c>
      <c r="U1474" s="1">
        <v>-35.740734000000003</v>
      </c>
      <c r="V1474" s="3">
        <v>150.20996099999999</v>
      </c>
    </row>
    <row r="1475" spans="1:22" x14ac:dyDescent="0.35">
      <c r="A1475" s="22" t="s">
        <v>4342</v>
      </c>
      <c r="B1475" s="1" t="s">
        <v>4343</v>
      </c>
      <c r="C1475" s="1" t="s">
        <v>3913</v>
      </c>
      <c r="D1475" s="1" t="s">
        <v>537</v>
      </c>
      <c r="E1475" s="1" t="s">
        <v>181</v>
      </c>
      <c r="F1475" s="1" t="s">
        <v>47</v>
      </c>
      <c r="G1475" s="1">
        <f t="shared" si="115"/>
        <v>1</v>
      </c>
      <c r="H1475" s="1" t="s">
        <v>182</v>
      </c>
      <c r="I1475" s="1" t="s">
        <v>49</v>
      </c>
      <c r="J1475" s="23" t="s">
        <v>50</v>
      </c>
      <c r="K1475" s="2" t="s">
        <v>51</v>
      </c>
      <c r="L1475" s="1">
        <v>459</v>
      </c>
      <c r="M1475" s="1">
        <v>3</v>
      </c>
      <c r="N1475" s="1" t="str">
        <f t="shared" ref="N1475:N1538" si="118">IF(M1475="","Suppressed","Published")</f>
        <v>Published</v>
      </c>
      <c r="O1475" s="1">
        <f t="shared" si="116"/>
        <v>13.77</v>
      </c>
      <c r="P1475" s="1">
        <v>77</v>
      </c>
      <c r="Q1475" s="1">
        <v>973</v>
      </c>
      <c r="R1475" s="1" t="str">
        <f t="shared" ref="R1475:R1538" si="119">IF(Q1475="","No ICSEA",IF(Q1475&lt;900,"1",IF(Q1475&lt;1000,"2",IF(Q1475&lt;1100,"3","4"))))</f>
        <v>2</v>
      </c>
      <c r="S1475" s="1">
        <v>132</v>
      </c>
      <c r="T1475" s="1" t="str">
        <f t="shared" si="117"/>
        <v>3</v>
      </c>
      <c r="U1475" s="1">
        <v>-33.854622999999997</v>
      </c>
      <c r="V1475" s="3">
        <v>150.90578199999999</v>
      </c>
    </row>
    <row r="1476" spans="1:22" x14ac:dyDescent="0.35">
      <c r="A1476" s="22" t="s">
        <v>4344</v>
      </c>
      <c r="B1476" s="1" t="s">
        <v>4345</v>
      </c>
      <c r="C1476" s="1" t="s">
        <v>1903</v>
      </c>
      <c r="D1476" s="1" t="s">
        <v>111</v>
      </c>
      <c r="E1476" s="1" t="s">
        <v>56</v>
      </c>
      <c r="F1476" s="1" t="s">
        <v>57</v>
      </c>
      <c r="G1476" s="1">
        <f t="shared" si="115"/>
        <v>2</v>
      </c>
      <c r="H1476" s="1" t="s">
        <v>63</v>
      </c>
      <c r="I1476" s="1" t="s">
        <v>49</v>
      </c>
      <c r="J1476" s="23" t="s">
        <v>50</v>
      </c>
      <c r="K1476" s="2" t="s">
        <v>51</v>
      </c>
      <c r="L1476" s="1">
        <v>530</v>
      </c>
      <c r="M1476" s="1">
        <v>17</v>
      </c>
      <c r="N1476" s="1" t="str">
        <f t="shared" si="118"/>
        <v>Published</v>
      </c>
      <c r="O1476" s="1">
        <f t="shared" si="116"/>
        <v>90.100000000000009</v>
      </c>
      <c r="P1476" s="1">
        <v>5</v>
      </c>
      <c r="Q1476" s="1">
        <v>988</v>
      </c>
      <c r="R1476" s="1" t="str">
        <f t="shared" si="119"/>
        <v>2</v>
      </c>
      <c r="S1476" s="1">
        <v>101</v>
      </c>
      <c r="T1476" s="1" t="str">
        <f t="shared" si="117"/>
        <v>3</v>
      </c>
      <c r="U1476" s="1">
        <v>-32.743910999999997</v>
      </c>
      <c r="V1476" s="3">
        <v>151.87521899999999</v>
      </c>
    </row>
    <row r="1477" spans="1:22" x14ac:dyDescent="0.35">
      <c r="A1477" s="22" t="s">
        <v>4346</v>
      </c>
      <c r="B1477" s="1" t="s">
        <v>4347</v>
      </c>
      <c r="C1477" s="1" t="s">
        <v>4348</v>
      </c>
      <c r="D1477" s="1" t="s">
        <v>216</v>
      </c>
      <c r="E1477" s="1" t="s">
        <v>96</v>
      </c>
      <c r="F1477" s="1" t="s">
        <v>241</v>
      </c>
      <c r="G1477" s="1">
        <f t="shared" si="115"/>
        <v>4</v>
      </c>
      <c r="H1477" s="1" t="s">
        <v>70</v>
      </c>
      <c r="I1477" s="1" t="s">
        <v>49</v>
      </c>
      <c r="J1477" s="23" t="s">
        <v>50</v>
      </c>
      <c r="K1477" s="2" t="s">
        <v>51</v>
      </c>
      <c r="L1477" s="1">
        <v>9</v>
      </c>
      <c r="M1477" s="1">
        <v>0</v>
      </c>
      <c r="N1477" s="1" t="str">
        <f t="shared" si="118"/>
        <v>Published</v>
      </c>
      <c r="O1477" s="1">
        <f t="shared" si="116"/>
        <v>0</v>
      </c>
      <c r="P1477" s="1">
        <v>0</v>
      </c>
      <c r="Q1477" s="1">
        <v>1009</v>
      </c>
      <c r="R1477" s="1" t="str">
        <f t="shared" si="119"/>
        <v>3</v>
      </c>
      <c r="S1477" s="1">
        <v>93</v>
      </c>
      <c r="T1477" s="1" t="str">
        <f t="shared" si="117"/>
        <v>1</v>
      </c>
      <c r="U1477" s="1">
        <v>-33.401375520000002</v>
      </c>
      <c r="V1477" s="3">
        <v>143.94441979999999</v>
      </c>
    </row>
    <row r="1478" spans="1:22" x14ac:dyDescent="0.35">
      <c r="A1478" s="22" t="s">
        <v>4349</v>
      </c>
      <c r="B1478" s="1" t="s">
        <v>4350</v>
      </c>
      <c r="C1478" s="1" t="s">
        <v>4351</v>
      </c>
      <c r="D1478" s="1" t="s">
        <v>186</v>
      </c>
      <c r="E1478" s="1" t="s">
        <v>187</v>
      </c>
      <c r="F1478" s="1" t="s">
        <v>47</v>
      </c>
      <c r="G1478" s="1">
        <f t="shared" si="115"/>
        <v>1</v>
      </c>
      <c r="H1478" s="1" t="s">
        <v>63</v>
      </c>
      <c r="I1478" s="1" t="s">
        <v>49</v>
      </c>
      <c r="J1478" s="23" t="s">
        <v>50</v>
      </c>
      <c r="K1478" s="2" t="s">
        <v>51</v>
      </c>
      <c r="L1478" s="1">
        <v>420</v>
      </c>
      <c r="M1478" s="1">
        <v>30</v>
      </c>
      <c r="N1478" s="1" t="str">
        <f t="shared" si="118"/>
        <v>Published</v>
      </c>
      <c r="O1478" s="1">
        <f t="shared" si="116"/>
        <v>126</v>
      </c>
      <c r="P1478" s="1">
        <v>8</v>
      </c>
      <c r="Q1478" s="1">
        <v>931</v>
      </c>
      <c r="R1478" s="1" t="str">
        <f t="shared" si="119"/>
        <v>2</v>
      </c>
      <c r="S1478" s="1">
        <v>128</v>
      </c>
      <c r="T1478" s="1" t="str">
        <f t="shared" si="117"/>
        <v>3</v>
      </c>
      <c r="U1478" s="1">
        <v>-33.376109999999997</v>
      </c>
      <c r="V1478" s="3">
        <v>151.46613300000001</v>
      </c>
    </row>
    <row r="1479" spans="1:22" x14ac:dyDescent="0.35">
      <c r="A1479" s="22" t="s">
        <v>4352</v>
      </c>
      <c r="B1479" s="1" t="s">
        <v>4353</v>
      </c>
      <c r="C1479" s="1" t="s">
        <v>4354</v>
      </c>
      <c r="D1479" s="1" t="s">
        <v>537</v>
      </c>
      <c r="E1479" s="1" t="s">
        <v>181</v>
      </c>
      <c r="F1479" s="1" t="s">
        <v>47</v>
      </c>
      <c r="G1479" s="1">
        <f t="shared" si="115"/>
        <v>1</v>
      </c>
      <c r="H1479" s="1" t="s">
        <v>182</v>
      </c>
      <c r="I1479" s="1" t="s">
        <v>49</v>
      </c>
      <c r="J1479" s="23" t="s">
        <v>50</v>
      </c>
      <c r="K1479" s="2" t="s">
        <v>51</v>
      </c>
      <c r="L1479" s="1">
        <v>568</v>
      </c>
      <c r="M1479" s="1"/>
      <c r="N1479" s="1" t="str">
        <f t="shared" si="118"/>
        <v>Suppressed</v>
      </c>
      <c r="O1479" s="1" t="str">
        <f t="shared" si="116"/>
        <v/>
      </c>
      <c r="P1479" s="1">
        <v>81</v>
      </c>
      <c r="Q1479" s="1">
        <v>979</v>
      </c>
      <c r="R1479" s="1" t="str">
        <f t="shared" si="119"/>
        <v>2</v>
      </c>
      <c r="S1479" s="1">
        <v>131</v>
      </c>
      <c r="T1479" s="1" t="str">
        <f t="shared" si="117"/>
        <v>3</v>
      </c>
      <c r="U1479" s="1">
        <v>-33.873792999999999</v>
      </c>
      <c r="V1479" s="3">
        <v>150.879107</v>
      </c>
    </row>
    <row r="1480" spans="1:22" x14ac:dyDescent="0.35">
      <c r="A1480" s="22" t="s">
        <v>4355</v>
      </c>
      <c r="B1480" s="1" t="s">
        <v>4356</v>
      </c>
      <c r="C1480" s="1" t="s">
        <v>2543</v>
      </c>
      <c r="D1480" s="1" t="s">
        <v>428</v>
      </c>
      <c r="E1480" s="1" t="s">
        <v>429</v>
      </c>
      <c r="F1480" s="1" t="s">
        <v>47</v>
      </c>
      <c r="G1480" s="1">
        <f t="shared" si="115"/>
        <v>1</v>
      </c>
      <c r="H1480" s="1" t="s">
        <v>63</v>
      </c>
      <c r="I1480" s="1" t="s">
        <v>49</v>
      </c>
      <c r="J1480" s="23" t="s">
        <v>50</v>
      </c>
      <c r="K1480" s="2" t="s">
        <v>51</v>
      </c>
      <c r="L1480" s="1">
        <v>283</v>
      </c>
      <c r="M1480" s="1">
        <v>4</v>
      </c>
      <c r="N1480" s="1" t="str">
        <f t="shared" si="118"/>
        <v>Published</v>
      </c>
      <c r="O1480" s="1">
        <f t="shared" si="116"/>
        <v>11.32</v>
      </c>
      <c r="P1480" s="1">
        <v>6</v>
      </c>
      <c r="Q1480" s="1">
        <v>1051</v>
      </c>
      <c r="R1480" s="1" t="str">
        <f t="shared" si="119"/>
        <v>3</v>
      </c>
      <c r="S1480" s="1">
        <v>67</v>
      </c>
      <c r="T1480" s="1" t="str">
        <f t="shared" si="117"/>
        <v>2</v>
      </c>
      <c r="U1480" s="1">
        <v>-33.690350000000002</v>
      </c>
      <c r="V1480" s="3">
        <v>150.58532700000001</v>
      </c>
    </row>
    <row r="1481" spans="1:22" x14ac:dyDescent="0.35">
      <c r="A1481" s="22" t="s">
        <v>4357</v>
      </c>
      <c r="B1481" s="1" t="s">
        <v>4358</v>
      </c>
      <c r="C1481" s="1" t="s">
        <v>4359</v>
      </c>
      <c r="D1481" s="1" t="s">
        <v>689</v>
      </c>
      <c r="E1481" s="1" t="s">
        <v>122</v>
      </c>
      <c r="F1481" s="1" t="s">
        <v>47</v>
      </c>
      <c r="G1481" s="1">
        <f t="shared" si="115"/>
        <v>1</v>
      </c>
      <c r="H1481" s="1" t="s">
        <v>182</v>
      </c>
      <c r="I1481" s="1" t="s">
        <v>49</v>
      </c>
      <c r="J1481" s="23" t="s">
        <v>50</v>
      </c>
      <c r="K1481" s="2" t="s">
        <v>51</v>
      </c>
      <c r="L1481" s="1">
        <v>430</v>
      </c>
      <c r="M1481" s="1">
        <v>8</v>
      </c>
      <c r="N1481" s="1" t="str">
        <f t="shared" si="118"/>
        <v>Published</v>
      </c>
      <c r="O1481" s="1">
        <f t="shared" si="116"/>
        <v>34.4</v>
      </c>
      <c r="P1481" s="1">
        <v>52</v>
      </c>
      <c r="Q1481" s="1">
        <v>988</v>
      </c>
      <c r="R1481" s="1" t="str">
        <f t="shared" si="119"/>
        <v>2</v>
      </c>
      <c r="S1481" s="1">
        <v>107</v>
      </c>
      <c r="T1481" s="1" t="str">
        <f t="shared" si="117"/>
        <v>3</v>
      </c>
      <c r="U1481" s="1">
        <v>-34.016173000000002</v>
      </c>
      <c r="V1481" s="3">
        <v>150.81889200000001</v>
      </c>
    </row>
    <row r="1482" spans="1:22" x14ac:dyDescent="0.35">
      <c r="A1482" s="22" t="s">
        <v>4360</v>
      </c>
      <c r="B1482" s="1" t="s">
        <v>4361</v>
      </c>
      <c r="C1482" s="1" t="s">
        <v>4269</v>
      </c>
      <c r="D1482" s="1" t="s">
        <v>1131</v>
      </c>
      <c r="E1482" s="1" t="s">
        <v>429</v>
      </c>
      <c r="F1482" s="1" t="s">
        <v>47</v>
      </c>
      <c r="G1482" s="1">
        <f t="shared" si="115"/>
        <v>1</v>
      </c>
      <c r="H1482" s="1" t="s">
        <v>182</v>
      </c>
      <c r="I1482" s="1" t="s">
        <v>49</v>
      </c>
      <c r="J1482" s="23" t="s">
        <v>50</v>
      </c>
      <c r="K1482" s="2" t="s">
        <v>51</v>
      </c>
      <c r="L1482" s="1">
        <v>417</v>
      </c>
      <c r="M1482" s="1">
        <v>8</v>
      </c>
      <c r="N1482" s="1" t="str">
        <f t="shared" si="118"/>
        <v>Published</v>
      </c>
      <c r="O1482" s="1">
        <f t="shared" si="116"/>
        <v>33.36</v>
      </c>
      <c r="P1482" s="1">
        <v>35</v>
      </c>
      <c r="Q1482" s="1">
        <v>971</v>
      </c>
      <c r="R1482" s="1" t="str">
        <f t="shared" si="119"/>
        <v>2</v>
      </c>
      <c r="S1482" s="1">
        <v>121</v>
      </c>
      <c r="T1482" s="1" t="str">
        <f t="shared" si="117"/>
        <v>3</v>
      </c>
      <c r="U1482" s="1">
        <v>-33.793717000000001</v>
      </c>
      <c r="V1482" s="3">
        <v>150.773098</v>
      </c>
    </row>
    <row r="1483" spans="1:22" x14ac:dyDescent="0.35">
      <c r="A1483" s="22" t="s">
        <v>4362</v>
      </c>
      <c r="B1483" s="1" t="s">
        <v>4363</v>
      </c>
      <c r="C1483" s="1" t="s">
        <v>4072</v>
      </c>
      <c r="D1483" s="1" t="s">
        <v>126</v>
      </c>
      <c r="E1483" s="1" t="s">
        <v>127</v>
      </c>
      <c r="F1483" s="1" t="s">
        <v>47</v>
      </c>
      <c r="G1483" s="1">
        <f t="shared" si="115"/>
        <v>1</v>
      </c>
      <c r="H1483" s="1" t="s">
        <v>148</v>
      </c>
      <c r="I1483" s="1" t="s">
        <v>49</v>
      </c>
      <c r="J1483" s="23" t="s">
        <v>50</v>
      </c>
      <c r="K1483" s="2" t="s">
        <v>51</v>
      </c>
      <c r="L1483" s="1">
        <v>550</v>
      </c>
      <c r="M1483" s="1"/>
      <c r="N1483" s="1" t="str">
        <f t="shared" si="118"/>
        <v>Suppressed</v>
      </c>
      <c r="O1483" s="1" t="str">
        <f t="shared" si="116"/>
        <v/>
      </c>
      <c r="P1483" s="1">
        <v>80</v>
      </c>
      <c r="Q1483" s="1">
        <v>1168</v>
      </c>
      <c r="R1483" s="1" t="str">
        <f t="shared" si="119"/>
        <v>4</v>
      </c>
      <c r="S1483" s="1">
        <v>0</v>
      </c>
      <c r="T1483" s="1" t="str">
        <f t="shared" si="117"/>
        <v>3</v>
      </c>
      <c r="U1483" s="1">
        <v>-33.718798</v>
      </c>
      <c r="V1483" s="3">
        <v>151.038895</v>
      </c>
    </row>
    <row r="1484" spans="1:22" x14ac:dyDescent="0.35">
      <c r="A1484" s="22" t="s">
        <v>4364</v>
      </c>
      <c r="B1484" s="1" t="s">
        <v>4365</v>
      </c>
      <c r="C1484" s="1" t="s">
        <v>1909</v>
      </c>
      <c r="D1484" s="1" t="s">
        <v>737</v>
      </c>
      <c r="E1484" s="1" t="s">
        <v>738</v>
      </c>
      <c r="F1484" s="1" t="s">
        <v>47</v>
      </c>
      <c r="G1484" s="1">
        <f t="shared" si="115"/>
        <v>1</v>
      </c>
      <c r="H1484" s="1" t="s">
        <v>182</v>
      </c>
      <c r="I1484" s="1" t="s">
        <v>49</v>
      </c>
      <c r="J1484" s="23" t="s">
        <v>50</v>
      </c>
      <c r="K1484" s="2" t="s">
        <v>51</v>
      </c>
      <c r="L1484" s="1">
        <v>328</v>
      </c>
      <c r="M1484" s="1">
        <v>3</v>
      </c>
      <c r="N1484" s="1" t="str">
        <f t="shared" si="118"/>
        <v>Published</v>
      </c>
      <c r="O1484" s="1">
        <f t="shared" si="116"/>
        <v>9.84</v>
      </c>
      <c r="P1484" s="1">
        <v>24</v>
      </c>
      <c r="Q1484" s="1">
        <v>1085</v>
      </c>
      <c r="R1484" s="1" t="str">
        <f t="shared" si="119"/>
        <v>3</v>
      </c>
      <c r="S1484" s="1">
        <v>48</v>
      </c>
      <c r="T1484" s="1" t="str">
        <f t="shared" si="117"/>
        <v>3</v>
      </c>
      <c r="U1484" s="1">
        <v>-34.003289000000002</v>
      </c>
      <c r="V1484" s="3">
        <v>151.02592899999999</v>
      </c>
    </row>
    <row r="1485" spans="1:22" x14ac:dyDescent="0.35">
      <c r="A1485" s="22" t="s">
        <v>4366</v>
      </c>
      <c r="B1485" s="1" t="s">
        <v>4367</v>
      </c>
      <c r="C1485" s="1" t="s">
        <v>760</v>
      </c>
      <c r="D1485" s="1" t="s">
        <v>761</v>
      </c>
      <c r="E1485" s="1" t="s">
        <v>127</v>
      </c>
      <c r="F1485" s="1" t="s">
        <v>47</v>
      </c>
      <c r="G1485" s="1">
        <f t="shared" si="115"/>
        <v>1</v>
      </c>
      <c r="H1485" s="1" t="s">
        <v>148</v>
      </c>
      <c r="I1485" s="1" t="s">
        <v>49</v>
      </c>
      <c r="J1485" s="23" t="s">
        <v>50</v>
      </c>
      <c r="K1485" s="2" t="s">
        <v>51</v>
      </c>
      <c r="L1485" s="1">
        <v>643</v>
      </c>
      <c r="M1485" s="1">
        <v>2</v>
      </c>
      <c r="N1485" s="1" t="str">
        <f t="shared" si="118"/>
        <v>Published</v>
      </c>
      <c r="O1485" s="1">
        <f t="shared" si="116"/>
        <v>12.86</v>
      </c>
      <c r="P1485" s="1">
        <v>53</v>
      </c>
      <c r="Q1485" s="1">
        <v>1128</v>
      </c>
      <c r="R1485" s="1" t="str">
        <f t="shared" si="119"/>
        <v>4</v>
      </c>
      <c r="S1485" s="1">
        <v>18</v>
      </c>
      <c r="T1485" s="1" t="str">
        <f t="shared" si="117"/>
        <v>4</v>
      </c>
      <c r="U1485" s="1">
        <v>-33.713106000000003</v>
      </c>
      <c r="V1485" s="3">
        <v>150.99202700000001</v>
      </c>
    </row>
    <row r="1486" spans="1:22" x14ac:dyDescent="0.35">
      <c r="A1486" s="22" t="s">
        <v>4368</v>
      </c>
      <c r="B1486" s="1" t="s">
        <v>4369</v>
      </c>
      <c r="C1486" s="1" t="s">
        <v>4370</v>
      </c>
      <c r="D1486" s="1" t="s">
        <v>275</v>
      </c>
      <c r="E1486" s="1" t="s">
        <v>276</v>
      </c>
      <c r="F1486" s="1" t="s">
        <v>57</v>
      </c>
      <c r="G1486" s="1">
        <f t="shared" si="115"/>
        <v>2</v>
      </c>
      <c r="H1486" s="1" t="s">
        <v>58</v>
      </c>
      <c r="I1486" s="1" t="s">
        <v>49</v>
      </c>
      <c r="J1486" s="23" t="s">
        <v>50</v>
      </c>
      <c r="K1486" s="2" t="s">
        <v>51</v>
      </c>
      <c r="L1486" s="1">
        <v>203</v>
      </c>
      <c r="M1486" s="1">
        <v>25</v>
      </c>
      <c r="N1486" s="1" t="str">
        <f t="shared" si="118"/>
        <v>Published</v>
      </c>
      <c r="O1486" s="1">
        <f t="shared" si="116"/>
        <v>50.75</v>
      </c>
      <c r="P1486" s="1">
        <v>3</v>
      </c>
      <c r="Q1486" s="1">
        <v>895</v>
      </c>
      <c r="R1486" s="1" t="str">
        <f t="shared" si="119"/>
        <v>1</v>
      </c>
      <c r="S1486" s="1">
        <v>146</v>
      </c>
      <c r="T1486" s="1" t="str">
        <f t="shared" si="117"/>
        <v>2</v>
      </c>
      <c r="U1486" s="1">
        <v>-31.870239999999999</v>
      </c>
      <c r="V1486" s="3">
        <v>152.376982</v>
      </c>
    </row>
    <row r="1487" spans="1:22" x14ac:dyDescent="0.35">
      <c r="A1487" s="22" t="s">
        <v>4371</v>
      </c>
      <c r="B1487" s="1" t="s">
        <v>4372</v>
      </c>
      <c r="C1487" s="1" t="s">
        <v>4373</v>
      </c>
      <c r="D1487" s="1" t="s">
        <v>837</v>
      </c>
      <c r="E1487" s="1" t="s">
        <v>838</v>
      </c>
      <c r="F1487" s="1" t="s">
        <v>47</v>
      </c>
      <c r="G1487" s="1">
        <f t="shared" si="115"/>
        <v>1</v>
      </c>
      <c r="H1487" s="1" t="s">
        <v>148</v>
      </c>
      <c r="I1487" s="1" t="s">
        <v>49</v>
      </c>
      <c r="J1487" s="23" t="s">
        <v>50</v>
      </c>
      <c r="K1487" s="2" t="s">
        <v>51</v>
      </c>
      <c r="L1487" s="1">
        <v>382</v>
      </c>
      <c r="M1487" s="1">
        <v>6</v>
      </c>
      <c r="N1487" s="1" t="str">
        <f t="shared" si="118"/>
        <v>Published</v>
      </c>
      <c r="O1487" s="1">
        <f t="shared" si="116"/>
        <v>22.919999999999998</v>
      </c>
      <c r="P1487" s="1">
        <v>56</v>
      </c>
      <c r="Q1487" s="1">
        <v>995</v>
      </c>
      <c r="R1487" s="1" t="str">
        <f t="shared" si="119"/>
        <v>2</v>
      </c>
      <c r="S1487" s="1">
        <v>98</v>
      </c>
      <c r="T1487" s="1" t="str">
        <f t="shared" si="117"/>
        <v>3</v>
      </c>
      <c r="U1487" s="1">
        <v>-33.734259000000002</v>
      </c>
      <c r="V1487" s="3">
        <v>150.85869299999999</v>
      </c>
    </row>
    <row r="1488" spans="1:22" x14ac:dyDescent="0.35">
      <c r="A1488" s="22" t="s">
        <v>4374</v>
      </c>
      <c r="B1488" s="1" t="s">
        <v>4375</v>
      </c>
      <c r="C1488" s="1" t="s">
        <v>4376</v>
      </c>
      <c r="D1488" s="1" t="s">
        <v>837</v>
      </c>
      <c r="E1488" s="1" t="s">
        <v>838</v>
      </c>
      <c r="F1488" s="1" t="s">
        <v>47</v>
      </c>
      <c r="G1488" s="1">
        <f t="shared" si="115"/>
        <v>1</v>
      </c>
      <c r="H1488" s="1" t="s">
        <v>182</v>
      </c>
      <c r="I1488" s="1" t="s">
        <v>49</v>
      </c>
      <c r="J1488" s="23" t="s">
        <v>50</v>
      </c>
      <c r="K1488" s="2" t="s">
        <v>51</v>
      </c>
      <c r="L1488" s="1">
        <v>439</v>
      </c>
      <c r="M1488" s="1">
        <v>8</v>
      </c>
      <c r="N1488" s="1" t="str">
        <f t="shared" si="118"/>
        <v>Published</v>
      </c>
      <c r="O1488" s="1">
        <f t="shared" si="116"/>
        <v>35.119999999999997</v>
      </c>
      <c r="P1488" s="1">
        <v>50</v>
      </c>
      <c r="Q1488" s="1">
        <v>975</v>
      </c>
      <c r="R1488" s="1" t="str">
        <f t="shared" si="119"/>
        <v>2</v>
      </c>
      <c r="S1488" s="1">
        <v>108</v>
      </c>
      <c r="T1488" s="1" t="str">
        <f t="shared" si="117"/>
        <v>3</v>
      </c>
      <c r="U1488" s="1">
        <v>-33.788620000000002</v>
      </c>
      <c r="V1488" s="3">
        <v>150.832427</v>
      </c>
    </row>
    <row r="1489" spans="1:22" x14ac:dyDescent="0.35">
      <c r="A1489" s="22" t="s">
        <v>4377</v>
      </c>
      <c r="B1489" s="1" t="s">
        <v>4378</v>
      </c>
      <c r="C1489" s="1" t="s">
        <v>4379</v>
      </c>
      <c r="D1489" s="1" t="s">
        <v>106</v>
      </c>
      <c r="E1489" s="1" t="s">
        <v>107</v>
      </c>
      <c r="F1489" s="1" t="s">
        <v>57</v>
      </c>
      <c r="G1489" s="1">
        <f t="shared" si="115"/>
        <v>2</v>
      </c>
      <c r="H1489" s="1" t="s">
        <v>92</v>
      </c>
      <c r="I1489" s="1" t="s">
        <v>49</v>
      </c>
      <c r="J1489" s="23" t="s">
        <v>50</v>
      </c>
      <c r="K1489" s="2" t="s">
        <v>51</v>
      </c>
      <c r="L1489" s="1">
        <v>133</v>
      </c>
      <c r="M1489" s="1">
        <v>5</v>
      </c>
      <c r="N1489" s="1" t="str">
        <f t="shared" si="118"/>
        <v>Published</v>
      </c>
      <c r="O1489" s="1">
        <f t="shared" si="116"/>
        <v>6.65</v>
      </c>
      <c r="P1489" s="1">
        <v>11</v>
      </c>
      <c r="Q1489" s="1">
        <v>1057</v>
      </c>
      <c r="R1489" s="1" t="str">
        <f t="shared" si="119"/>
        <v>3</v>
      </c>
      <c r="S1489" s="1">
        <v>67</v>
      </c>
      <c r="T1489" s="1" t="str">
        <f t="shared" si="117"/>
        <v>2</v>
      </c>
      <c r="U1489" s="1">
        <v>-28.794805</v>
      </c>
      <c r="V1489" s="3">
        <v>153.50067100000001</v>
      </c>
    </row>
    <row r="1490" spans="1:22" x14ac:dyDescent="0.35">
      <c r="A1490" s="22" t="s">
        <v>4380</v>
      </c>
      <c r="B1490" s="1" t="s">
        <v>4381</v>
      </c>
      <c r="C1490" s="1" t="s">
        <v>4382</v>
      </c>
      <c r="D1490" s="1" t="s">
        <v>1131</v>
      </c>
      <c r="E1490" s="1" t="s">
        <v>429</v>
      </c>
      <c r="F1490" s="1" t="s">
        <v>47</v>
      </c>
      <c r="G1490" s="1">
        <f t="shared" si="115"/>
        <v>1</v>
      </c>
      <c r="H1490" s="1" t="s">
        <v>182</v>
      </c>
      <c r="I1490" s="1" t="s">
        <v>49</v>
      </c>
      <c r="J1490" s="23" t="s">
        <v>50</v>
      </c>
      <c r="K1490" s="2" t="s">
        <v>51</v>
      </c>
      <c r="L1490" s="1">
        <v>486</v>
      </c>
      <c r="M1490" s="1">
        <v>9</v>
      </c>
      <c r="N1490" s="1" t="str">
        <f t="shared" si="118"/>
        <v>Published</v>
      </c>
      <c r="O1490" s="1">
        <f t="shared" si="116"/>
        <v>43.739999999999995</v>
      </c>
      <c r="P1490" s="1">
        <v>47</v>
      </c>
      <c r="Q1490" s="1">
        <v>980</v>
      </c>
      <c r="R1490" s="1" t="str">
        <f t="shared" si="119"/>
        <v>2</v>
      </c>
      <c r="S1490" s="1">
        <v>103</v>
      </c>
      <c r="T1490" s="1" t="str">
        <f t="shared" si="117"/>
        <v>3</v>
      </c>
      <c r="U1490" s="1">
        <v>-33.805166999999997</v>
      </c>
      <c r="V1490" s="3">
        <v>150.80388400000001</v>
      </c>
    </row>
    <row r="1491" spans="1:22" x14ac:dyDescent="0.35">
      <c r="A1491" s="22" t="s">
        <v>4383</v>
      </c>
      <c r="B1491" s="1" t="s">
        <v>4384</v>
      </c>
      <c r="C1491" s="1" t="s">
        <v>4385</v>
      </c>
      <c r="D1491" s="1" t="s">
        <v>186</v>
      </c>
      <c r="E1491" s="1" t="s">
        <v>187</v>
      </c>
      <c r="F1491" s="1" t="s">
        <v>47</v>
      </c>
      <c r="G1491" s="1">
        <f t="shared" si="115"/>
        <v>1</v>
      </c>
      <c r="H1491" s="1" t="s">
        <v>63</v>
      </c>
      <c r="I1491" s="1" t="s">
        <v>49</v>
      </c>
      <c r="J1491" s="23" t="s">
        <v>50</v>
      </c>
      <c r="K1491" s="2" t="s">
        <v>51</v>
      </c>
      <c r="L1491" s="1">
        <v>502</v>
      </c>
      <c r="M1491" s="1">
        <v>10</v>
      </c>
      <c r="N1491" s="1" t="str">
        <f t="shared" si="118"/>
        <v>Published</v>
      </c>
      <c r="O1491" s="1">
        <f t="shared" si="116"/>
        <v>50.2</v>
      </c>
      <c r="P1491" s="1">
        <v>15</v>
      </c>
      <c r="Q1491" s="1">
        <v>1007</v>
      </c>
      <c r="R1491" s="1" t="str">
        <f t="shared" si="119"/>
        <v>3</v>
      </c>
      <c r="S1491" s="1">
        <v>91</v>
      </c>
      <c r="T1491" s="1" t="str">
        <f t="shared" si="117"/>
        <v>3</v>
      </c>
      <c r="U1491" s="1">
        <v>-33.441014000000003</v>
      </c>
      <c r="V1491" s="3">
        <v>151.28963200000001</v>
      </c>
    </row>
    <row r="1492" spans="1:22" x14ac:dyDescent="0.35">
      <c r="A1492" s="22" t="s">
        <v>4386</v>
      </c>
      <c r="B1492" s="1" t="s">
        <v>4387</v>
      </c>
      <c r="C1492" s="1" t="s">
        <v>2094</v>
      </c>
      <c r="D1492" s="1" t="s">
        <v>554</v>
      </c>
      <c r="E1492" s="1" t="s">
        <v>276</v>
      </c>
      <c r="F1492" s="1" t="s">
        <v>57</v>
      </c>
      <c r="G1492" s="1">
        <f t="shared" si="115"/>
        <v>2</v>
      </c>
      <c r="H1492" s="1" t="s">
        <v>58</v>
      </c>
      <c r="I1492" s="1" t="s">
        <v>49</v>
      </c>
      <c r="J1492" s="23" t="s">
        <v>50</v>
      </c>
      <c r="K1492" s="2" t="s">
        <v>51</v>
      </c>
      <c r="L1492" s="1">
        <v>217</v>
      </c>
      <c r="M1492" s="1">
        <v>41</v>
      </c>
      <c r="N1492" s="1" t="str">
        <f t="shared" si="118"/>
        <v>Published</v>
      </c>
      <c r="O1492" s="1">
        <f t="shared" si="116"/>
        <v>88.97</v>
      </c>
      <c r="P1492" s="1">
        <v>19</v>
      </c>
      <c r="Q1492" s="1">
        <v>886</v>
      </c>
      <c r="R1492" s="1" t="str">
        <f t="shared" si="119"/>
        <v>1</v>
      </c>
      <c r="S1492" s="1">
        <v>142</v>
      </c>
      <c r="T1492" s="1" t="str">
        <f t="shared" si="117"/>
        <v>2</v>
      </c>
      <c r="U1492" s="1">
        <v>-30.641818000000001</v>
      </c>
      <c r="V1492" s="3">
        <v>152.98625699999999</v>
      </c>
    </row>
    <row r="1493" spans="1:22" x14ac:dyDescent="0.35">
      <c r="A1493" s="22" t="s">
        <v>4388</v>
      </c>
      <c r="B1493" s="1" t="s">
        <v>4389</v>
      </c>
      <c r="C1493" s="1" t="s">
        <v>4390</v>
      </c>
      <c r="D1493" s="1" t="s">
        <v>537</v>
      </c>
      <c r="E1493" s="1" t="s">
        <v>181</v>
      </c>
      <c r="F1493" s="1" t="s">
        <v>47</v>
      </c>
      <c r="G1493" s="1">
        <f t="shared" si="115"/>
        <v>1</v>
      </c>
      <c r="H1493" s="1" t="s">
        <v>182</v>
      </c>
      <c r="I1493" s="1" t="s">
        <v>49</v>
      </c>
      <c r="J1493" s="23" t="s">
        <v>50</v>
      </c>
      <c r="K1493" s="2" t="s">
        <v>51</v>
      </c>
      <c r="L1493" s="1">
        <v>286</v>
      </c>
      <c r="M1493" s="1">
        <v>3</v>
      </c>
      <c r="N1493" s="1" t="str">
        <f t="shared" si="118"/>
        <v>Published</v>
      </c>
      <c r="O1493" s="1">
        <f t="shared" si="116"/>
        <v>8.58</v>
      </c>
      <c r="P1493" s="1">
        <v>79</v>
      </c>
      <c r="Q1493" s="1">
        <v>963</v>
      </c>
      <c r="R1493" s="1" t="str">
        <f t="shared" si="119"/>
        <v>2</v>
      </c>
      <c r="S1493" s="1">
        <v>135</v>
      </c>
      <c r="T1493" s="1" t="str">
        <f t="shared" si="117"/>
        <v>2</v>
      </c>
      <c r="U1493" s="1">
        <v>-33.882055999999999</v>
      </c>
      <c r="V1493" s="3">
        <v>150.87612100000001</v>
      </c>
    </row>
    <row r="1494" spans="1:22" x14ac:dyDescent="0.35">
      <c r="A1494" s="22" t="s">
        <v>4391</v>
      </c>
      <c r="B1494" s="1" t="s">
        <v>4392</v>
      </c>
      <c r="C1494" s="1" t="s">
        <v>4393</v>
      </c>
      <c r="D1494" s="1" t="s">
        <v>404</v>
      </c>
      <c r="E1494" s="1" t="s">
        <v>429</v>
      </c>
      <c r="F1494" s="1" t="s">
        <v>47</v>
      </c>
      <c r="G1494" s="1">
        <f t="shared" si="115"/>
        <v>1</v>
      </c>
      <c r="H1494" s="1" t="s">
        <v>148</v>
      </c>
      <c r="I1494" s="1" t="s">
        <v>49</v>
      </c>
      <c r="J1494" s="23" t="s">
        <v>50</v>
      </c>
      <c r="K1494" s="2" t="s">
        <v>51</v>
      </c>
      <c r="L1494" s="1">
        <v>283</v>
      </c>
      <c r="M1494" s="1">
        <v>18</v>
      </c>
      <c r="N1494" s="1" t="str">
        <f t="shared" si="118"/>
        <v>Published</v>
      </c>
      <c r="O1494" s="1">
        <f t="shared" si="116"/>
        <v>50.94</v>
      </c>
      <c r="P1494" s="1">
        <v>15</v>
      </c>
      <c r="Q1494" s="1">
        <v>933</v>
      </c>
      <c r="R1494" s="1" t="str">
        <f t="shared" si="119"/>
        <v>2</v>
      </c>
      <c r="S1494" s="1">
        <v>134</v>
      </c>
      <c r="T1494" s="1" t="str">
        <f t="shared" si="117"/>
        <v>2</v>
      </c>
      <c r="U1494" s="1">
        <v>-33.639133000000001</v>
      </c>
      <c r="V1494" s="3">
        <v>150.79456500000001</v>
      </c>
    </row>
    <row r="1495" spans="1:22" x14ac:dyDescent="0.35">
      <c r="A1495" s="22" t="s">
        <v>4394</v>
      </c>
      <c r="B1495" s="1" t="s">
        <v>4395</v>
      </c>
      <c r="C1495" s="1" t="s">
        <v>3329</v>
      </c>
      <c r="D1495" s="1" t="s">
        <v>1003</v>
      </c>
      <c r="E1495" s="1" t="s">
        <v>225</v>
      </c>
      <c r="F1495" s="1" t="s">
        <v>47</v>
      </c>
      <c r="G1495" s="1">
        <f t="shared" si="115"/>
        <v>1</v>
      </c>
      <c r="H1495" s="1" t="s">
        <v>48</v>
      </c>
      <c r="I1495" s="1" t="s">
        <v>49</v>
      </c>
      <c r="J1495" s="23" t="s">
        <v>50</v>
      </c>
      <c r="K1495" s="2" t="s">
        <v>51</v>
      </c>
      <c r="L1495" s="1">
        <v>124</v>
      </c>
      <c r="M1495" s="1"/>
      <c r="N1495" s="1" t="str">
        <f t="shared" si="118"/>
        <v>Suppressed</v>
      </c>
      <c r="O1495" s="1" t="str">
        <f t="shared" si="116"/>
        <v/>
      </c>
      <c r="P1495" s="1">
        <v>30</v>
      </c>
      <c r="Q1495" s="1">
        <v>1094</v>
      </c>
      <c r="R1495" s="1" t="str">
        <f t="shared" si="119"/>
        <v>3</v>
      </c>
      <c r="S1495" s="1">
        <v>44</v>
      </c>
      <c r="T1495" s="1" t="str">
        <f t="shared" si="117"/>
        <v>2</v>
      </c>
      <c r="U1495" s="1">
        <v>-33.886270000000003</v>
      </c>
      <c r="V1495" s="3">
        <v>151.212706</v>
      </c>
    </row>
    <row r="1496" spans="1:22" x14ac:dyDescent="0.35">
      <c r="A1496" s="22" t="s">
        <v>4396</v>
      </c>
      <c r="B1496" s="1" t="s">
        <v>4397</v>
      </c>
      <c r="C1496" s="1" t="s">
        <v>211</v>
      </c>
      <c r="D1496" s="1" t="s">
        <v>211</v>
      </c>
      <c r="E1496" s="1" t="s">
        <v>102</v>
      </c>
      <c r="F1496" s="1" t="s">
        <v>57</v>
      </c>
      <c r="G1496" s="1">
        <f t="shared" si="115"/>
        <v>2</v>
      </c>
      <c r="H1496" s="1" t="s">
        <v>58</v>
      </c>
      <c r="I1496" s="1" t="s">
        <v>132</v>
      </c>
      <c r="J1496" s="23" t="s">
        <v>50</v>
      </c>
      <c r="K1496" s="2" t="s">
        <v>51</v>
      </c>
      <c r="L1496" s="1">
        <v>182</v>
      </c>
      <c r="M1496" s="1">
        <v>34</v>
      </c>
      <c r="N1496" s="1" t="str">
        <f t="shared" si="118"/>
        <v>Published</v>
      </c>
      <c r="O1496" s="1">
        <f t="shared" si="116"/>
        <v>61.88</v>
      </c>
      <c r="P1496" s="1"/>
      <c r="Q1496" s="1">
        <v>888</v>
      </c>
      <c r="R1496" s="1" t="str">
        <f t="shared" si="119"/>
        <v>1</v>
      </c>
      <c r="S1496" s="1">
        <v>143</v>
      </c>
      <c r="T1496" s="1" t="str">
        <f t="shared" si="117"/>
        <v>2</v>
      </c>
      <c r="U1496" s="1">
        <v>-32.242936999999998</v>
      </c>
      <c r="V1496" s="3">
        <v>148.63896700000001</v>
      </c>
    </row>
    <row r="1497" spans="1:22" x14ac:dyDescent="0.35">
      <c r="A1497" s="22" t="s">
        <v>4398</v>
      </c>
      <c r="B1497" s="1" t="s">
        <v>4399</v>
      </c>
      <c r="C1497" s="1" t="s">
        <v>4400</v>
      </c>
      <c r="D1497" s="1" t="s">
        <v>186</v>
      </c>
      <c r="E1497" s="1" t="s">
        <v>187</v>
      </c>
      <c r="F1497" s="1" t="s">
        <v>47</v>
      </c>
      <c r="G1497" s="1">
        <f t="shared" si="115"/>
        <v>1</v>
      </c>
      <c r="H1497" s="1" t="s">
        <v>63</v>
      </c>
      <c r="I1497" s="1" t="s">
        <v>49</v>
      </c>
      <c r="J1497" s="23" t="s">
        <v>50</v>
      </c>
      <c r="K1497" s="2" t="s">
        <v>51</v>
      </c>
      <c r="L1497" s="1">
        <v>341</v>
      </c>
      <c r="M1497" s="1">
        <v>20</v>
      </c>
      <c r="N1497" s="1" t="str">
        <f t="shared" si="118"/>
        <v>Published</v>
      </c>
      <c r="O1497" s="1">
        <f t="shared" si="116"/>
        <v>68.2</v>
      </c>
      <c r="P1497" s="1">
        <v>8</v>
      </c>
      <c r="Q1497" s="1">
        <v>905</v>
      </c>
      <c r="R1497" s="1" t="str">
        <f t="shared" si="119"/>
        <v>2</v>
      </c>
      <c r="S1497" s="1">
        <v>146</v>
      </c>
      <c r="T1497" s="1" t="str">
        <f t="shared" si="117"/>
        <v>3</v>
      </c>
      <c r="U1497" s="1">
        <v>-33.214542000000002</v>
      </c>
      <c r="V1497" s="3">
        <v>151.51478800000001</v>
      </c>
    </row>
    <row r="1498" spans="1:22" x14ac:dyDescent="0.35">
      <c r="A1498" s="22" t="s">
        <v>4401</v>
      </c>
      <c r="B1498" s="1" t="s">
        <v>4402</v>
      </c>
      <c r="C1498" s="1" t="s">
        <v>4403</v>
      </c>
      <c r="D1498" s="1" t="s">
        <v>111</v>
      </c>
      <c r="E1498" s="1" t="s">
        <v>56</v>
      </c>
      <c r="F1498" s="1" t="s">
        <v>57</v>
      </c>
      <c r="G1498" s="1">
        <f t="shared" si="115"/>
        <v>2</v>
      </c>
      <c r="H1498" s="1" t="s">
        <v>63</v>
      </c>
      <c r="I1498" s="1" t="s">
        <v>49</v>
      </c>
      <c r="J1498" s="23" t="s">
        <v>50</v>
      </c>
      <c r="K1498" s="2" t="s">
        <v>51</v>
      </c>
      <c r="L1498" s="1">
        <v>237</v>
      </c>
      <c r="M1498" s="1">
        <v>16</v>
      </c>
      <c r="N1498" s="1" t="str">
        <f t="shared" si="118"/>
        <v>Published</v>
      </c>
      <c r="O1498" s="1">
        <f t="shared" si="116"/>
        <v>37.92</v>
      </c>
      <c r="P1498" s="1">
        <v>12</v>
      </c>
      <c r="Q1498" s="1">
        <v>962</v>
      </c>
      <c r="R1498" s="1" t="str">
        <f t="shared" si="119"/>
        <v>2</v>
      </c>
      <c r="S1498" s="1">
        <v>105</v>
      </c>
      <c r="T1498" s="1" t="str">
        <f t="shared" si="117"/>
        <v>2</v>
      </c>
      <c r="U1498" s="1">
        <v>-32.729061999999999</v>
      </c>
      <c r="V1498" s="3">
        <v>152.17393300000001</v>
      </c>
    </row>
    <row r="1499" spans="1:22" x14ac:dyDescent="0.35">
      <c r="A1499" s="22" t="s">
        <v>4404</v>
      </c>
      <c r="B1499" s="1" t="s">
        <v>4405</v>
      </c>
      <c r="C1499" s="1" t="s">
        <v>2362</v>
      </c>
      <c r="D1499" s="1" t="s">
        <v>837</v>
      </c>
      <c r="E1499" s="1" t="s">
        <v>838</v>
      </c>
      <c r="F1499" s="1" t="s">
        <v>47</v>
      </c>
      <c r="G1499" s="1">
        <f t="shared" si="115"/>
        <v>1</v>
      </c>
      <c r="H1499" s="1" t="s">
        <v>148</v>
      </c>
      <c r="I1499" s="1" t="s">
        <v>49</v>
      </c>
      <c r="J1499" s="23" t="s">
        <v>50</v>
      </c>
      <c r="K1499" s="2" t="s">
        <v>51</v>
      </c>
      <c r="L1499" s="1">
        <v>633</v>
      </c>
      <c r="M1499" s="1">
        <v>4</v>
      </c>
      <c r="N1499" s="1" t="str">
        <f t="shared" si="118"/>
        <v>Published</v>
      </c>
      <c r="O1499" s="1">
        <f t="shared" si="116"/>
        <v>25.32</v>
      </c>
      <c r="P1499" s="1">
        <v>65</v>
      </c>
      <c r="Q1499" s="1">
        <v>1072</v>
      </c>
      <c r="R1499" s="1" t="str">
        <f t="shared" si="119"/>
        <v>3</v>
      </c>
      <c r="S1499" s="1">
        <v>41</v>
      </c>
      <c r="T1499" s="1" t="str">
        <f t="shared" si="117"/>
        <v>4</v>
      </c>
      <c r="U1499" s="1">
        <v>-33.716450000000002</v>
      </c>
      <c r="V1499" s="3">
        <v>150.88721100000001</v>
      </c>
    </row>
    <row r="1500" spans="1:22" x14ac:dyDescent="0.35">
      <c r="A1500" s="22" t="s">
        <v>4406</v>
      </c>
      <c r="B1500" s="1" t="s">
        <v>4407</v>
      </c>
      <c r="C1500" s="1" t="s">
        <v>4408</v>
      </c>
      <c r="D1500" s="1" t="s">
        <v>1131</v>
      </c>
      <c r="E1500" s="1" t="s">
        <v>429</v>
      </c>
      <c r="F1500" s="1" t="s">
        <v>47</v>
      </c>
      <c r="G1500" s="1">
        <f t="shared" si="115"/>
        <v>1</v>
      </c>
      <c r="H1500" s="1" t="s">
        <v>182</v>
      </c>
      <c r="I1500" s="1" t="s">
        <v>49</v>
      </c>
      <c r="J1500" s="23" t="s">
        <v>50</v>
      </c>
      <c r="K1500" s="2" t="s">
        <v>51</v>
      </c>
      <c r="L1500" s="1">
        <v>455</v>
      </c>
      <c r="M1500" s="1">
        <v>13</v>
      </c>
      <c r="N1500" s="1" t="str">
        <f t="shared" si="118"/>
        <v>Published</v>
      </c>
      <c r="O1500" s="1">
        <f t="shared" si="116"/>
        <v>59.15</v>
      </c>
      <c r="P1500" s="1">
        <v>23</v>
      </c>
      <c r="Q1500" s="1">
        <v>994</v>
      </c>
      <c r="R1500" s="1" t="str">
        <f t="shared" si="119"/>
        <v>2</v>
      </c>
      <c r="S1500" s="1">
        <v>98</v>
      </c>
      <c r="T1500" s="1" t="str">
        <f t="shared" si="117"/>
        <v>3</v>
      </c>
      <c r="U1500" s="1">
        <v>-33.783388000000002</v>
      </c>
      <c r="V1500" s="3">
        <v>150.681117</v>
      </c>
    </row>
    <row r="1501" spans="1:22" x14ac:dyDescent="0.35">
      <c r="A1501" s="22" t="s">
        <v>4409</v>
      </c>
      <c r="B1501" s="1" t="s">
        <v>4410</v>
      </c>
      <c r="C1501" s="1" t="s">
        <v>4411</v>
      </c>
      <c r="D1501" s="1" t="s">
        <v>382</v>
      </c>
      <c r="E1501" s="1" t="s">
        <v>196</v>
      </c>
      <c r="F1501" s="1" t="s">
        <v>57</v>
      </c>
      <c r="G1501" s="1">
        <f t="shared" si="115"/>
        <v>2</v>
      </c>
      <c r="H1501" s="1" t="s">
        <v>86</v>
      </c>
      <c r="I1501" s="1" t="s">
        <v>49</v>
      </c>
      <c r="J1501" s="23" t="s">
        <v>50</v>
      </c>
      <c r="K1501" s="2" t="s">
        <v>51</v>
      </c>
      <c r="L1501" s="1">
        <v>251</v>
      </c>
      <c r="M1501" s="1">
        <v>8</v>
      </c>
      <c r="N1501" s="1" t="str">
        <f t="shared" si="118"/>
        <v>Published</v>
      </c>
      <c r="O1501" s="1">
        <f t="shared" si="116"/>
        <v>20.080000000000002</v>
      </c>
      <c r="P1501" s="1">
        <v>11</v>
      </c>
      <c r="Q1501" s="1">
        <v>1012</v>
      </c>
      <c r="R1501" s="1" t="str">
        <f t="shared" si="119"/>
        <v>3</v>
      </c>
      <c r="S1501" s="1">
        <v>82</v>
      </c>
      <c r="T1501" s="1" t="str">
        <f t="shared" si="117"/>
        <v>2</v>
      </c>
      <c r="U1501" s="1">
        <v>-35.073352999999997</v>
      </c>
      <c r="V1501" s="3">
        <v>150.66954899999999</v>
      </c>
    </row>
    <row r="1502" spans="1:22" x14ac:dyDescent="0.35">
      <c r="A1502" s="22" t="s">
        <v>4412</v>
      </c>
      <c r="B1502" s="1" t="s">
        <v>4413</v>
      </c>
      <c r="C1502" s="1" t="s">
        <v>4414</v>
      </c>
      <c r="D1502" s="1" t="s">
        <v>689</v>
      </c>
      <c r="E1502" s="1" t="s">
        <v>122</v>
      </c>
      <c r="F1502" s="1" t="s">
        <v>47</v>
      </c>
      <c r="G1502" s="1">
        <f t="shared" si="115"/>
        <v>1</v>
      </c>
      <c r="H1502" s="1" t="s">
        <v>182</v>
      </c>
      <c r="I1502" s="1" t="s">
        <v>49</v>
      </c>
      <c r="J1502" s="23" t="s">
        <v>50</v>
      </c>
      <c r="K1502" s="2" t="s">
        <v>51</v>
      </c>
      <c r="L1502" s="1">
        <v>178</v>
      </c>
      <c r="M1502" s="1">
        <v>7</v>
      </c>
      <c r="N1502" s="1" t="str">
        <f t="shared" si="118"/>
        <v>Published</v>
      </c>
      <c r="O1502" s="1">
        <f t="shared" si="116"/>
        <v>12.46</v>
      </c>
      <c r="P1502" s="1">
        <v>48</v>
      </c>
      <c r="Q1502" s="1">
        <v>985</v>
      </c>
      <c r="R1502" s="1" t="str">
        <f t="shared" si="119"/>
        <v>2</v>
      </c>
      <c r="S1502" s="1">
        <v>105</v>
      </c>
      <c r="T1502" s="1" t="str">
        <f t="shared" si="117"/>
        <v>2</v>
      </c>
      <c r="U1502" s="1">
        <v>-34.021486000000003</v>
      </c>
      <c r="V1502" s="3">
        <v>150.80444600000001</v>
      </c>
    </row>
    <row r="1503" spans="1:22" x14ac:dyDescent="0.35">
      <c r="A1503" s="22" t="s">
        <v>4415</v>
      </c>
      <c r="B1503" s="1" t="s">
        <v>4416</v>
      </c>
      <c r="C1503" s="1" t="s">
        <v>4417</v>
      </c>
      <c r="D1503" s="1" t="s">
        <v>537</v>
      </c>
      <c r="E1503" s="1" t="s">
        <v>181</v>
      </c>
      <c r="F1503" s="1" t="s">
        <v>47</v>
      </c>
      <c r="G1503" s="1">
        <f t="shared" si="115"/>
        <v>1</v>
      </c>
      <c r="H1503" s="1" t="s">
        <v>182</v>
      </c>
      <c r="I1503" s="1" t="s">
        <v>49</v>
      </c>
      <c r="J1503" s="23" t="s">
        <v>50</v>
      </c>
      <c r="K1503" s="2" t="s">
        <v>51</v>
      </c>
      <c r="L1503" s="1">
        <v>769</v>
      </c>
      <c r="M1503" s="1">
        <v>1</v>
      </c>
      <c r="N1503" s="1" t="str">
        <f t="shared" si="118"/>
        <v>Published</v>
      </c>
      <c r="O1503" s="1">
        <f t="shared" si="116"/>
        <v>7.69</v>
      </c>
      <c r="P1503" s="1">
        <v>89</v>
      </c>
      <c r="Q1503" s="1">
        <v>989</v>
      </c>
      <c r="R1503" s="1" t="str">
        <f t="shared" si="119"/>
        <v>2</v>
      </c>
      <c r="S1503" s="1">
        <v>120</v>
      </c>
      <c r="T1503" s="1" t="str">
        <f t="shared" si="117"/>
        <v>4</v>
      </c>
      <c r="U1503" s="1">
        <v>-33.88935</v>
      </c>
      <c r="V1503" s="3">
        <v>150.867681</v>
      </c>
    </row>
    <row r="1504" spans="1:22" x14ac:dyDescent="0.35">
      <c r="A1504" s="22" t="s">
        <v>4418</v>
      </c>
      <c r="B1504" s="1" t="s">
        <v>4419</v>
      </c>
      <c r="C1504" s="1" t="s">
        <v>4420</v>
      </c>
      <c r="D1504" s="1" t="s">
        <v>678</v>
      </c>
      <c r="E1504" s="1" t="s">
        <v>122</v>
      </c>
      <c r="F1504" s="1" t="s">
        <v>47</v>
      </c>
      <c r="G1504" s="1">
        <f t="shared" si="115"/>
        <v>1</v>
      </c>
      <c r="H1504" s="1" t="s">
        <v>86</v>
      </c>
      <c r="I1504" s="1" t="s">
        <v>49</v>
      </c>
      <c r="J1504" s="23" t="s">
        <v>50</v>
      </c>
      <c r="K1504" s="2" t="s">
        <v>51</v>
      </c>
      <c r="L1504" s="1">
        <v>653</v>
      </c>
      <c r="M1504" s="1">
        <v>7</v>
      </c>
      <c r="N1504" s="1" t="str">
        <f t="shared" si="118"/>
        <v>Published</v>
      </c>
      <c r="O1504" s="1">
        <f t="shared" si="116"/>
        <v>45.71</v>
      </c>
      <c r="P1504" s="1">
        <v>27</v>
      </c>
      <c r="Q1504" s="1">
        <v>1005</v>
      </c>
      <c r="R1504" s="1" t="str">
        <f t="shared" si="119"/>
        <v>3</v>
      </c>
      <c r="S1504" s="1">
        <v>100</v>
      </c>
      <c r="T1504" s="1" t="str">
        <f t="shared" si="117"/>
        <v>4</v>
      </c>
      <c r="U1504" s="1">
        <v>-34.061714000000002</v>
      </c>
      <c r="V1504" s="3">
        <v>150.76049699999999</v>
      </c>
    </row>
    <row r="1505" spans="1:22" x14ac:dyDescent="0.35">
      <c r="A1505" s="22" t="s">
        <v>4421</v>
      </c>
      <c r="B1505" s="1" t="s">
        <v>4422</v>
      </c>
      <c r="C1505" s="1" t="s">
        <v>4423</v>
      </c>
      <c r="D1505" s="1" t="s">
        <v>837</v>
      </c>
      <c r="E1505" s="1" t="s">
        <v>838</v>
      </c>
      <c r="F1505" s="1" t="s">
        <v>47</v>
      </c>
      <c r="G1505" s="1">
        <f t="shared" si="115"/>
        <v>1</v>
      </c>
      <c r="H1505" s="1" t="s">
        <v>148</v>
      </c>
      <c r="I1505" s="1" t="s">
        <v>49</v>
      </c>
      <c r="J1505" s="23" t="s">
        <v>50</v>
      </c>
      <c r="K1505" s="2" t="s">
        <v>51</v>
      </c>
      <c r="L1505" s="1">
        <v>623</v>
      </c>
      <c r="M1505" s="1">
        <v>12</v>
      </c>
      <c r="N1505" s="1" t="str">
        <f t="shared" si="118"/>
        <v>Published</v>
      </c>
      <c r="O1505" s="1">
        <f t="shared" si="116"/>
        <v>74.759999999999991</v>
      </c>
      <c r="P1505" s="1">
        <v>50</v>
      </c>
      <c r="Q1505" s="1">
        <v>959</v>
      </c>
      <c r="R1505" s="1" t="str">
        <f t="shared" si="119"/>
        <v>2</v>
      </c>
      <c r="S1505" s="1">
        <v>124</v>
      </c>
      <c r="T1505" s="1" t="str">
        <f t="shared" si="117"/>
        <v>4</v>
      </c>
      <c r="U1505" s="1">
        <v>-33.735480000000003</v>
      </c>
      <c r="V1505" s="3">
        <v>150.838504</v>
      </c>
    </row>
    <row r="1506" spans="1:22" x14ac:dyDescent="0.35">
      <c r="A1506" s="22" t="s">
        <v>4424</v>
      </c>
      <c r="B1506" s="1" t="s">
        <v>4425</v>
      </c>
      <c r="C1506" s="1" t="s">
        <v>4426</v>
      </c>
      <c r="D1506" s="1" t="s">
        <v>837</v>
      </c>
      <c r="E1506" s="1" t="s">
        <v>838</v>
      </c>
      <c r="F1506" s="1" t="s">
        <v>47</v>
      </c>
      <c r="G1506" s="1">
        <f t="shared" si="115"/>
        <v>1</v>
      </c>
      <c r="H1506" s="1" t="s">
        <v>148</v>
      </c>
      <c r="I1506" s="1" t="s">
        <v>49</v>
      </c>
      <c r="J1506" s="23" t="s">
        <v>50</v>
      </c>
      <c r="K1506" s="2" t="s">
        <v>51</v>
      </c>
      <c r="L1506" s="1">
        <v>788</v>
      </c>
      <c r="M1506" s="1">
        <v>3</v>
      </c>
      <c r="N1506" s="1" t="str">
        <f t="shared" si="118"/>
        <v>Published</v>
      </c>
      <c r="O1506" s="1">
        <f t="shared" si="116"/>
        <v>23.64</v>
      </c>
      <c r="P1506" s="1">
        <v>65</v>
      </c>
      <c r="Q1506" s="1">
        <v>1078</v>
      </c>
      <c r="R1506" s="1" t="str">
        <f t="shared" si="119"/>
        <v>3</v>
      </c>
      <c r="S1506" s="1">
        <v>41</v>
      </c>
      <c r="T1506" s="1" t="str">
        <f t="shared" si="117"/>
        <v>4</v>
      </c>
      <c r="U1506" s="1">
        <v>-33.720509999999997</v>
      </c>
      <c r="V1506" s="3">
        <v>150.901824</v>
      </c>
    </row>
    <row r="1507" spans="1:22" x14ac:dyDescent="0.35">
      <c r="A1507" s="22" t="s">
        <v>4427</v>
      </c>
      <c r="B1507" s="1" t="s">
        <v>4428</v>
      </c>
      <c r="C1507" s="1" t="s">
        <v>4429</v>
      </c>
      <c r="D1507" s="1" t="s">
        <v>74</v>
      </c>
      <c r="E1507" s="1" t="s">
        <v>75</v>
      </c>
      <c r="F1507" s="1" t="s">
        <v>47</v>
      </c>
      <c r="G1507" s="1">
        <f t="shared" si="115"/>
        <v>1</v>
      </c>
      <c r="H1507" s="1" t="s">
        <v>63</v>
      </c>
      <c r="I1507" s="1" t="s">
        <v>49</v>
      </c>
      <c r="J1507" s="23" t="s">
        <v>50</v>
      </c>
      <c r="K1507" s="2" t="s">
        <v>51</v>
      </c>
      <c r="L1507" s="1">
        <v>368</v>
      </c>
      <c r="M1507" s="1">
        <v>15</v>
      </c>
      <c r="N1507" s="1" t="str">
        <f t="shared" si="118"/>
        <v>Published</v>
      </c>
      <c r="O1507" s="1">
        <f t="shared" si="116"/>
        <v>55.199999999999996</v>
      </c>
      <c r="P1507" s="1">
        <v>25</v>
      </c>
      <c r="Q1507" s="1">
        <v>996</v>
      </c>
      <c r="R1507" s="1" t="str">
        <f t="shared" si="119"/>
        <v>2</v>
      </c>
      <c r="S1507" s="1">
        <v>90</v>
      </c>
      <c r="T1507" s="1" t="str">
        <f t="shared" si="117"/>
        <v>3</v>
      </c>
      <c r="U1507" s="1">
        <v>-32.881427000000002</v>
      </c>
      <c r="V1507" s="3">
        <v>151.65880799999999</v>
      </c>
    </row>
    <row r="1508" spans="1:22" x14ac:dyDescent="0.35">
      <c r="A1508" s="22" t="s">
        <v>4430</v>
      </c>
      <c r="B1508" s="1" t="s">
        <v>4431</v>
      </c>
      <c r="C1508" s="1" t="s">
        <v>4432</v>
      </c>
      <c r="D1508" s="1" t="s">
        <v>325</v>
      </c>
      <c r="E1508" s="1" t="s">
        <v>276</v>
      </c>
      <c r="F1508" s="1" t="s">
        <v>57</v>
      </c>
      <c r="G1508" s="1">
        <f t="shared" si="115"/>
        <v>2</v>
      </c>
      <c r="H1508" s="1" t="s">
        <v>58</v>
      </c>
      <c r="I1508" s="1" t="s">
        <v>49</v>
      </c>
      <c r="J1508" s="23" t="s">
        <v>50</v>
      </c>
      <c r="K1508" s="2" t="s">
        <v>51</v>
      </c>
      <c r="L1508" s="1">
        <v>263</v>
      </c>
      <c r="M1508" s="1">
        <v>38</v>
      </c>
      <c r="N1508" s="1" t="str">
        <f t="shared" si="118"/>
        <v>Published</v>
      </c>
      <c r="O1508" s="1">
        <f t="shared" si="116"/>
        <v>99.94</v>
      </c>
      <c r="P1508" s="1">
        <v>3</v>
      </c>
      <c r="Q1508" s="1">
        <v>896</v>
      </c>
      <c r="R1508" s="1" t="str">
        <f t="shared" si="119"/>
        <v>1</v>
      </c>
      <c r="S1508" s="1">
        <v>129</v>
      </c>
      <c r="T1508" s="1" t="str">
        <f t="shared" si="117"/>
        <v>2</v>
      </c>
      <c r="U1508" s="1">
        <v>-31.055771</v>
      </c>
      <c r="V1508" s="3">
        <v>152.78697199999999</v>
      </c>
    </row>
    <row r="1509" spans="1:22" x14ac:dyDescent="0.35">
      <c r="A1509" s="22" t="s">
        <v>4433</v>
      </c>
      <c r="B1509" s="1" t="s">
        <v>4434</v>
      </c>
      <c r="C1509" s="1" t="s">
        <v>2495</v>
      </c>
      <c r="D1509" s="1" t="s">
        <v>465</v>
      </c>
      <c r="E1509" s="1" t="s">
        <v>281</v>
      </c>
      <c r="F1509" s="1" t="s">
        <v>57</v>
      </c>
      <c r="G1509" s="1">
        <f t="shared" si="115"/>
        <v>2</v>
      </c>
      <c r="H1509" s="1" t="s">
        <v>58</v>
      </c>
      <c r="I1509" s="1" t="s">
        <v>49</v>
      </c>
      <c r="J1509" s="23" t="s">
        <v>50</v>
      </c>
      <c r="K1509" s="2" t="s">
        <v>51</v>
      </c>
      <c r="L1509" s="1">
        <v>159</v>
      </c>
      <c r="M1509" s="1">
        <v>54</v>
      </c>
      <c r="N1509" s="1" t="str">
        <f t="shared" si="118"/>
        <v>Published</v>
      </c>
      <c r="O1509" s="1">
        <f t="shared" si="116"/>
        <v>85.86</v>
      </c>
      <c r="P1509" s="1">
        <v>5</v>
      </c>
      <c r="Q1509" s="1">
        <v>812</v>
      </c>
      <c r="R1509" s="1" t="str">
        <f t="shared" si="119"/>
        <v>1</v>
      </c>
      <c r="S1509" s="1">
        <v>177</v>
      </c>
      <c r="T1509" s="1" t="str">
        <f t="shared" si="117"/>
        <v>2</v>
      </c>
      <c r="U1509" s="1">
        <v>-30.363714000000002</v>
      </c>
      <c r="V1509" s="3">
        <v>153.08034799999999</v>
      </c>
    </row>
    <row r="1510" spans="1:22" x14ac:dyDescent="0.35">
      <c r="A1510" s="22" t="s">
        <v>4435</v>
      </c>
      <c r="B1510" s="1" t="s">
        <v>4436</v>
      </c>
      <c r="C1510" s="1" t="s">
        <v>4437</v>
      </c>
      <c r="D1510" s="1" t="s">
        <v>689</v>
      </c>
      <c r="E1510" s="1" t="s">
        <v>122</v>
      </c>
      <c r="F1510" s="1" t="s">
        <v>47</v>
      </c>
      <c r="G1510" s="1">
        <f t="shared" si="115"/>
        <v>1</v>
      </c>
      <c r="H1510" s="1" t="s">
        <v>86</v>
      </c>
      <c r="I1510" s="1" t="s">
        <v>49</v>
      </c>
      <c r="J1510" s="23" t="s">
        <v>50</v>
      </c>
      <c r="K1510" s="2" t="s">
        <v>51</v>
      </c>
      <c r="L1510" s="1">
        <v>363</v>
      </c>
      <c r="M1510" s="1">
        <v>15</v>
      </c>
      <c r="N1510" s="1" t="str">
        <f t="shared" si="118"/>
        <v>Published</v>
      </c>
      <c r="O1510" s="1">
        <f t="shared" si="116"/>
        <v>54.449999999999996</v>
      </c>
      <c r="P1510" s="1">
        <v>32</v>
      </c>
      <c r="Q1510" s="1">
        <v>968</v>
      </c>
      <c r="R1510" s="1" t="str">
        <f t="shared" si="119"/>
        <v>2</v>
      </c>
      <c r="S1510" s="1">
        <v>114</v>
      </c>
      <c r="T1510" s="1" t="str">
        <f t="shared" si="117"/>
        <v>3</v>
      </c>
      <c r="U1510" s="1">
        <v>-34.110232000000003</v>
      </c>
      <c r="V1510" s="3">
        <v>150.804035</v>
      </c>
    </row>
    <row r="1511" spans="1:22" x14ac:dyDescent="0.35">
      <c r="A1511" s="22" t="s">
        <v>4438</v>
      </c>
      <c r="B1511" s="1" t="s">
        <v>4439</v>
      </c>
      <c r="C1511" s="1" t="s">
        <v>760</v>
      </c>
      <c r="D1511" s="1" t="s">
        <v>126</v>
      </c>
      <c r="E1511" s="1" t="s">
        <v>127</v>
      </c>
      <c r="F1511" s="1" t="s">
        <v>47</v>
      </c>
      <c r="G1511" s="1">
        <f t="shared" si="115"/>
        <v>1</v>
      </c>
      <c r="H1511" s="1" t="s">
        <v>148</v>
      </c>
      <c r="I1511" s="1" t="s">
        <v>49</v>
      </c>
      <c r="J1511" s="23" t="s">
        <v>50</v>
      </c>
      <c r="K1511" s="2" t="s">
        <v>51</v>
      </c>
      <c r="L1511" s="1">
        <v>756</v>
      </c>
      <c r="M1511" s="1">
        <v>0</v>
      </c>
      <c r="N1511" s="1" t="str">
        <f t="shared" si="118"/>
        <v>Published</v>
      </c>
      <c r="O1511" s="1">
        <f t="shared" si="116"/>
        <v>0</v>
      </c>
      <c r="P1511" s="1">
        <v>80</v>
      </c>
      <c r="Q1511" s="1">
        <v>1152</v>
      </c>
      <c r="R1511" s="1" t="str">
        <f t="shared" si="119"/>
        <v>4</v>
      </c>
      <c r="S1511" s="1">
        <v>3</v>
      </c>
      <c r="T1511" s="1" t="str">
        <f t="shared" si="117"/>
        <v>4</v>
      </c>
      <c r="U1511" s="1">
        <v>-33.721563000000003</v>
      </c>
      <c r="V1511" s="3">
        <v>151.022997</v>
      </c>
    </row>
    <row r="1512" spans="1:22" x14ac:dyDescent="0.35">
      <c r="A1512" s="22" t="s">
        <v>4440</v>
      </c>
      <c r="B1512" s="1" t="s">
        <v>4441</v>
      </c>
      <c r="C1512" s="1" t="s">
        <v>4442</v>
      </c>
      <c r="D1512" s="1" t="s">
        <v>737</v>
      </c>
      <c r="E1512" s="1" t="s">
        <v>738</v>
      </c>
      <c r="F1512" s="1" t="s">
        <v>47</v>
      </c>
      <c r="G1512" s="1">
        <f t="shared" si="115"/>
        <v>1</v>
      </c>
      <c r="H1512" s="1" t="s">
        <v>182</v>
      </c>
      <c r="I1512" s="1" t="s">
        <v>49</v>
      </c>
      <c r="J1512" s="23" t="s">
        <v>50</v>
      </c>
      <c r="K1512" s="2" t="s">
        <v>51</v>
      </c>
      <c r="L1512" s="1">
        <v>165</v>
      </c>
      <c r="M1512" s="1">
        <v>5</v>
      </c>
      <c r="N1512" s="1" t="str">
        <f t="shared" si="118"/>
        <v>Published</v>
      </c>
      <c r="O1512" s="1">
        <f t="shared" si="116"/>
        <v>8.25</v>
      </c>
      <c r="P1512" s="1">
        <v>49</v>
      </c>
      <c r="Q1512" s="1">
        <v>1037</v>
      </c>
      <c r="R1512" s="1" t="str">
        <f t="shared" si="119"/>
        <v>3</v>
      </c>
      <c r="S1512" s="1">
        <v>75</v>
      </c>
      <c r="T1512" s="1" t="str">
        <f t="shared" si="117"/>
        <v>2</v>
      </c>
      <c r="U1512" s="1">
        <v>-33.992403000000003</v>
      </c>
      <c r="V1512" s="3">
        <v>151.02399</v>
      </c>
    </row>
    <row r="1513" spans="1:22" x14ac:dyDescent="0.35">
      <c r="A1513" s="22" t="s">
        <v>4443</v>
      </c>
      <c r="B1513" s="1" t="s">
        <v>4444</v>
      </c>
      <c r="C1513" s="1" t="s">
        <v>4445</v>
      </c>
      <c r="D1513" s="1" t="s">
        <v>465</v>
      </c>
      <c r="E1513" s="1" t="s">
        <v>281</v>
      </c>
      <c r="F1513" s="1" t="s">
        <v>57</v>
      </c>
      <c r="G1513" s="1">
        <f t="shared" si="115"/>
        <v>2</v>
      </c>
      <c r="H1513" s="1" t="s">
        <v>92</v>
      </c>
      <c r="I1513" s="1" t="s">
        <v>49</v>
      </c>
      <c r="J1513" s="23" t="s">
        <v>50</v>
      </c>
      <c r="K1513" s="2" t="s">
        <v>51</v>
      </c>
      <c r="L1513" s="1">
        <v>266</v>
      </c>
      <c r="M1513" s="1">
        <v>8</v>
      </c>
      <c r="N1513" s="1" t="str">
        <f t="shared" si="118"/>
        <v>Published</v>
      </c>
      <c r="O1513" s="1">
        <f t="shared" si="116"/>
        <v>21.28</v>
      </c>
      <c r="P1513" s="1">
        <v>9</v>
      </c>
      <c r="Q1513" s="1">
        <v>1033</v>
      </c>
      <c r="R1513" s="1" t="str">
        <f t="shared" si="119"/>
        <v>3</v>
      </c>
      <c r="S1513" s="1">
        <v>63</v>
      </c>
      <c r="T1513" s="1" t="str">
        <f t="shared" si="117"/>
        <v>2</v>
      </c>
      <c r="U1513" s="1">
        <v>-30.077957999999999</v>
      </c>
      <c r="V1513" s="3">
        <v>153.19018299999999</v>
      </c>
    </row>
    <row r="1514" spans="1:22" x14ac:dyDescent="0.35">
      <c r="A1514" s="22" t="s">
        <v>4446</v>
      </c>
      <c r="B1514" s="1" t="s">
        <v>4447</v>
      </c>
      <c r="C1514" s="1" t="s">
        <v>4448</v>
      </c>
      <c r="D1514" s="1" t="s">
        <v>236</v>
      </c>
      <c r="E1514" s="1" t="s">
        <v>107</v>
      </c>
      <c r="F1514" s="1" t="s">
        <v>47</v>
      </c>
      <c r="G1514" s="1">
        <f t="shared" si="115"/>
        <v>1</v>
      </c>
      <c r="H1514" s="1" t="s">
        <v>92</v>
      </c>
      <c r="I1514" s="1" t="s">
        <v>49</v>
      </c>
      <c r="J1514" s="23" t="s">
        <v>50</v>
      </c>
      <c r="K1514" s="2" t="s">
        <v>51</v>
      </c>
      <c r="L1514" s="1">
        <v>424</v>
      </c>
      <c r="M1514" s="1">
        <v>12</v>
      </c>
      <c r="N1514" s="1" t="str">
        <f t="shared" si="118"/>
        <v>Published</v>
      </c>
      <c r="O1514" s="1">
        <f t="shared" si="116"/>
        <v>50.879999999999995</v>
      </c>
      <c r="P1514" s="1">
        <v>15</v>
      </c>
      <c r="Q1514" s="1">
        <v>975</v>
      </c>
      <c r="R1514" s="1" t="str">
        <f t="shared" si="119"/>
        <v>2</v>
      </c>
      <c r="S1514" s="1">
        <v>111</v>
      </c>
      <c r="T1514" s="1" t="str">
        <f t="shared" si="117"/>
        <v>3</v>
      </c>
      <c r="U1514" s="1">
        <v>-28.215705</v>
      </c>
      <c r="V1514" s="3">
        <v>153.52676199999999</v>
      </c>
    </row>
    <row r="1515" spans="1:22" x14ac:dyDescent="0.35">
      <c r="A1515" s="22" t="s">
        <v>4449</v>
      </c>
      <c r="B1515" s="1" t="s">
        <v>4450</v>
      </c>
      <c r="C1515" s="1" t="s">
        <v>4451</v>
      </c>
      <c r="D1515" s="1" t="s">
        <v>837</v>
      </c>
      <c r="E1515" s="1" t="s">
        <v>838</v>
      </c>
      <c r="F1515" s="1" t="s">
        <v>47</v>
      </c>
      <c r="G1515" s="1">
        <f t="shared" si="115"/>
        <v>1</v>
      </c>
      <c r="H1515" s="1" t="s">
        <v>148</v>
      </c>
      <c r="I1515" s="1" t="s">
        <v>49</v>
      </c>
      <c r="J1515" s="23" t="s">
        <v>50</v>
      </c>
      <c r="K1515" s="2" t="s">
        <v>51</v>
      </c>
      <c r="L1515" s="1">
        <v>440</v>
      </c>
      <c r="M1515" s="1">
        <v>7</v>
      </c>
      <c r="N1515" s="1" t="str">
        <f t="shared" si="118"/>
        <v>Published</v>
      </c>
      <c r="O1515" s="1">
        <f t="shared" si="116"/>
        <v>30.800000000000004</v>
      </c>
      <c r="P1515" s="1">
        <v>77</v>
      </c>
      <c r="Q1515" s="1">
        <v>1025</v>
      </c>
      <c r="R1515" s="1" t="str">
        <f t="shared" si="119"/>
        <v>3</v>
      </c>
      <c r="S1515" s="1">
        <v>71</v>
      </c>
      <c r="T1515" s="1" t="str">
        <f t="shared" si="117"/>
        <v>3</v>
      </c>
      <c r="U1515" s="1">
        <v>-33.742229999999999</v>
      </c>
      <c r="V1515" s="3">
        <v>150.85263800000001</v>
      </c>
    </row>
    <row r="1516" spans="1:22" x14ac:dyDescent="0.35">
      <c r="A1516" s="22" t="s">
        <v>4452</v>
      </c>
      <c r="B1516" s="1" t="s">
        <v>4453</v>
      </c>
      <c r="C1516" s="1" t="s">
        <v>2395</v>
      </c>
      <c r="D1516" s="1" t="s">
        <v>111</v>
      </c>
      <c r="E1516" s="1" t="s">
        <v>56</v>
      </c>
      <c r="F1516" s="1" t="s">
        <v>47</v>
      </c>
      <c r="G1516" s="1">
        <f t="shared" si="115"/>
        <v>1</v>
      </c>
      <c r="H1516" s="1" t="s">
        <v>63</v>
      </c>
      <c r="I1516" s="1" t="s">
        <v>49</v>
      </c>
      <c r="J1516" s="23" t="s">
        <v>50</v>
      </c>
      <c r="K1516" s="2" t="s">
        <v>51</v>
      </c>
      <c r="L1516" s="1">
        <v>253</v>
      </c>
      <c r="M1516" s="1">
        <v>20</v>
      </c>
      <c r="N1516" s="1" t="str">
        <f t="shared" si="118"/>
        <v>Published</v>
      </c>
      <c r="O1516" s="1">
        <f t="shared" si="116"/>
        <v>50.6</v>
      </c>
      <c r="P1516" s="1">
        <v>5</v>
      </c>
      <c r="Q1516" s="1">
        <v>912</v>
      </c>
      <c r="R1516" s="1" t="str">
        <f t="shared" si="119"/>
        <v>2</v>
      </c>
      <c r="S1516" s="1">
        <v>147</v>
      </c>
      <c r="T1516" s="1" t="str">
        <f t="shared" si="117"/>
        <v>2</v>
      </c>
      <c r="U1516" s="1">
        <v>-32.759082999999997</v>
      </c>
      <c r="V1516" s="3">
        <v>151.77447699999999</v>
      </c>
    </row>
    <row r="1517" spans="1:22" x14ac:dyDescent="0.35">
      <c r="A1517" s="22" t="s">
        <v>4454</v>
      </c>
      <c r="B1517" s="1" t="s">
        <v>4455</v>
      </c>
      <c r="C1517" s="1" t="s">
        <v>83</v>
      </c>
      <c r="D1517" s="1" t="s">
        <v>84</v>
      </c>
      <c r="E1517" s="1" t="s">
        <v>85</v>
      </c>
      <c r="F1517" s="1" t="s">
        <v>47</v>
      </c>
      <c r="G1517" s="1">
        <f t="shared" si="115"/>
        <v>1</v>
      </c>
      <c r="H1517" s="1" t="s">
        <v>86</v>
      </c>
      <c r="I1517" s="1" t="s">
        <v>49</v>
      </c>
      <c r="J1517" s="23" t="s">
        <v>50</v>
      </c>
      <c r="K1517" s="2" t="s">
        <v>51</v>
      </c>
      <c r="L1517" s="1">
        <v>635</v>
      </c>
      <c r="M1517" s="1">
        <v>9</v>
      </c>
      <c r="N1517" s="1" t="str">
        <f t="shared" si="118"/>
        <v>Published</v>
      </c>
      <c r="O1517" s="1">
        <f t="shared" si="116"/>
        <v>57.15</v>
      </c>
      <c r="P1517" s="1">
        <v>7</v>
      </c>
      <c r="Q1517" s="1">
        <v>982</v>
      </c>
      <c r="R1517" s="1" t="str">
        <f t="shared" si="119"/>
        <v>2</v>
      </c>
      <c r="S1517" s="1">
        <v>105</v>
      </c>
      <c r="T1517" s="1" t="str">
        <f t="shared" si="117"/>
        <v>4</v>
      </c>
      <c r="U1517" s="1">
        <v>-34.591636000000001</v>
      </c>
      <c r="V1517" s="3">
        <v>150.77993499999999</v>
      </c>
    </row>
    <row r="1518" spans="1:22" x14ac:dyDescent="0.35">
      <c r="A1518" s="22" t="s">
        <v>4456</v>
      </c>
      <c r="B1518" s="1" t="s">
        <v>4457</v>
      </c>
      <c r="C1518" s="1" t="s">
        <v>4458</v>
      </c>
      <c r="D1518" s="1" t="s">
        <v>275</v>
      </c>
      <c r="E1518" s="1" t="s">
        <v>276</v>
      </c>
      <c r="F1518" s="1" t="s">
        <v>57</v>
      </c>
      <c r="G1518" s="1">
        <f t="shared" si="115"/>
        <v>2</v>
      </c>
      <c r="H1518" s="1" t="s">
        <v>58</v>
      </c>
      <c r="I1518" s="1" t="s">
        <v>49</v>
      </c>
      <c r="J1518" s="23" t="s">
        <v>50</v>
      </c>
      <c r="K1518" s="2" t="s">
        <v>51</v>
      </c>
      <c r="L1518" s="1">
        <v>302</v>
      </c>
      <c r="M1518" s="1">
        <v>10</v>
      </c>
      <c r="N1518" s="1" t="str">
        <f t="shared" si="118"/>
        <v>Published</v>
      </c>
      <c r="O1518" s="1">
        <f t="shared" si="116"/>
        <v>30.200000000000003</v>
      </c>
      <c r="P1518" s="1">
        <v>7</v>
      </c>
      <c r="Q1518" s="1">
        <v>1021</v>
      </c>
      <c r="R1518" s="1" t="str">
        <f t="shared" si="119"/>
        <v>3</v>
      </c>
      <c r="S1518" s="1">
        <v>78</v>
      </c>
      <c r="T1518" s="1" t="str">
        <f t="shared" si="117"/>
        <v>3</v>
      </c>
      <c r="U1518" s="1">
        <v>-32.041384999999998</v>
      </c>
      <c r="V1518" s="3">
        <v>152.537553</v>
      </c>
    </row>
    <row r="1519" spans="1:22" x14ac:dyDescent="0.35">
      <c r="A1519" s="22" t="s">
        <v>4459</v>
      </c>
      <c r="B1519" s="1" t="s">
        <v>4460</v>
      </c>
      <c r="C1519" s="1" t="s">
        <v>4461</v>
      </c>
      <c r="D1519" s="1" t="s">
        <v>288</v>
      </c>
      <c r="E1519" s="1" t="s">
        <v>68</v>
      </c>
      <c r="F1519" s="1" t="s">
        <v>57</v>
      </c>
      <c r="G1519" s="1">
        <f t="shared" si="115"/>
        <v>2</v>
      </c>
      <c r="H1519" s="1" t="s">
        <v>86</v>
      </c>
      <c r="I1519" s="1" t="s">
        <v>49</v>
      </c>
      <c r="J1519" s="23" t="s">
        <v>50</v>
      </c>
      <c r="K1519" s="2" t="s">
        <v>51</v>
      </c>
      <c r="L1519" s="1">
        <v>246</v>
      </c>
      <c r="M1519" s="1">
        <v>14</v>
      </c>
      <c r="N1519" s="1" t="str">
        <f t="shared" si="118"/>
        <v>Published</v>
      </c>
      <c r="O1519" s="1">
        <f t="shared" si="116"/>
        <v>34.440000000000005</v>
      </c>
      <c r="P1519" s="1">
        <v>8</v>
      </c>
      <c r="Q1519" s="1">
        <v>996</v>
      </c>
      <c r="R1519" s="1" t="str">
        <f t="shared" si="119"/>
        <v>2</v>
      </c>
      <c r="S1519" s="1">
        <v>85</v>
      </c>
      <c r="T1519" s="1" t="str">
        <f t="shared" si="117"/>
        <v>2</v>
      </c>
      <c r="U1519" s="1">
        <v>-35.845579999999998</v>
      </c>
      <c r="V1519" s="3">
        <v>150.171898</v>
      </c>
    </row>
    <row r="1520" spans="1:22" x14ac:dyDescent="0.35">
      <c r="A1520" s="22" t="s">
        <v>4462</v>
      </c>
      <c r="B1520" s="1" t="s">
        <v>4463</v>
      </c>
      <c r="C1520" s="1" t="s">
        <v>4464</v>
      </c>
      <c r="D1520" s="1" t="s">
        <v>180</v>
      </c>
      <c r="E1520" s="1" t="s">
        <v>181</v>
      </c>
      <c r="F1520" s="1" t="s">
        <v>47</v>
      </c>
      <c r="G1520" s="1">
        <f t="shared" si="115"/>
        <v>1</v>
      </c>
      <c r="H1520" s="1" t="s">
        <v>182</v>
      </c>
      <c r="I1520" s="1" t="s">
        <v>49</v>
      </c>
      <c r="J1520" s="23" t="s">
        <v>50</v>
      </c>
      <c r="K1520" s="2" t="s">
        <v>51</v>
      </c>
      <c r="L1520" s="1">
        <v>487</v>
      </c>
      <c r="M1520" s="1">
        <v>3</v>
      </c>
      <c r="N1520" s="1" t="str">
        <f t="shared" si="118"/>
        <v>Published</v>
      </c>
      <c r="O1520" s="1">
        <f t="shared" si="116"/>
        <v>14.61</v>
      </c>
      <c r="P1520" s="1">
        <v>82</v>
      </c>
      <c r="Q1520" s="1">
        <v>959</v>
      </c>
      <c r="R1520" s="1" t="str">
        <f t="shared" si="119"/>
        <v>2</v>
      </c>
      <c r="S1520" s="1">
        <v>146</v>
      </c>
      <c r="T1520" s="1" t="str">
        <f t="shared" si="117"/>
        <v>3</v>
      </c>
      <c r="U1520" s="1">
        <v>-33.912985999999997</v>
      </c>
      <c r="V1520" s="3">
        <v>150.85892000000001</v>
      </c>
    </row>
    <row r="1521" spans="1:22" x14ac:dyDescent="0.35">
      <c r="A1521" s="22" t="s">
        <v>4465</v>
      </c>
      <c r="B1521" s="1" t="s">
        <v>4466</v>
      </c>
      <c r="C1521" s="1" t="s">
        <v>4467</v>
      </c>
      <c r="D1521" s="1" t="s">
        <v>404</v>
      </c>
      <c r="E1521" s="1" t="s">
        <v>429</v>
      </c>
      <c r="F1521" s="1" t="s">
        <v>47</v>
      </c>
      <c r="G1521" s="1">
        <f t="shared" si="115"/>
        <v>1</v>
      </c>
      <c r="H1521" s="1" t="s">
        <v>148</v>
      </c>
      <c r="I1521" s="1" t="s">
        <v>49</v>
      </c>
      <c r="J1521" s="23" t="s">
        <v>50</v>
      </c>
      <c r="K1521" s="2" t="s">
        <v>51</v>
      </c>
      <c r="L1521" s="1">
        <v>231</v>
      </c>
      <c r="M1521" s="1">
        <v>18</v>
      </c>
      <c r="N1521" s="1" t="str">
        <f t="shared" si="118"/>
        <v>Published</v>
      </c>
      <c r="O1521" s="1">
        <f t="shared" si="116"/>
        <v>41.58</v>
      </c>
      <c r="P1521" s="1">
        <v>5</v>
      </c>
      <c r="Q1521" s="1">
        <v>949</v>
      </c>
      <c r="R1521" s="1" t="str">
        <f t="shared" si="119"/>
        <v>2</v>
      </c>
      <c r="S1521" s="1">
        <v>116</v>
      </c>
      <c r="T1521" s="1" t="str">
        <f t="shared" si="117"/>
        <v>2</v>
      </c>
      <c r="U1521" s="1">
        <v>-33.640641000000002</v>
      </c>
      <c r="V1521" s="3">
        <v>150.813492</v>
      </c>
    </row>
    <row r="1522" spans="1:22" x14ac:dyDescent="0.35">
      <c r="A1522" s="22" t="s">
        <v>4468</v>
      </c>
      <c r="B1522" s="1" t="s">
        <v>4469</v>
      </c>
      <c r="C1522" s="1" t="s">
        <v>2263</v>
      </c>
      <c r="D1522" s="1" t="s">
        <v>837</v>
      </c>
      <c r="E1522" s="1" t="s">
        <v>838</v>
      </c>
      <c r="F1522" s="1" t="s">
        <v>47</v>
      </c>
      <c r="G1522" s="1">
        <f t="shared" si="115"/>
        <v>1</v>
      </c>
      <c r="H1522" s="1" t="s">
        <v>148</v>
      </c>
      <c r="I1522" s="1" t="s">
        <v>49</v>
      </c>
      <c r="J1522" s="23" t="s">
        <v>50</v>
      </c>
      <c r="K1522" s="2" t="s">
        <v>51</v>
      </c>
      <c r="L1522" s="1">
        <v>868</v>
      </c>
      <c r="M1522" s="1"/>
      <c r="N1522" s="1" t="str">
        <f t="shared" si="118"/>
        <v>Suppressed</v>
      </c>
      <c r="O1522" s="1" t="str">
        <f t="shared" si="116"/>
        <v/>
      </c>
      <c r="P1522" s="1">
        <v>80</v>
      </c>
      <c r="Q1522" s="1">
        <v>1120</v>
      </c>
      <c r="R1522" s="1" t="str">
        <f t="shared" si="119"/>
        <v>4</v>
      </c>
      <c r="S1522" s="1">
        <v>15</v>
      </c>
      <c r="T1522" s="1" t="str">
        <f t="shared" si="117"/>
        <v>4</v>
      </c>
      <c r="U1522" s="1">
        <v>-33.736255</v>
      </c>
      <c r="V1522" s="3">
        <v>150.92622700000001</v>
      </c>
    </row>
    <row r="1523" spans="1:22" x14ac:dyDescent="0.35">
      <c r="A1523" s="22" t="s">
        <v>4470</v>
      </c>
      <c r="B1523" s="1" t="s">
        <v>4471</v>
      </c>
      <c r="C1523" s="1" t="s">
        <v>211</v>
      </c>
      <c r="D1523" s="1" t="s">
        <v>211</v>
      </c>
      <c r="E1523" s="1" t="s">
        <v>102</v>
      </c>
      <c r="F1523" s="1" t="s">
        <v>57</v>
      </c>
      <c r="G1523" s="1">
        <f t="shared" si="115"/>
        <v>2</v>
      </c>
      <c r="H1523" s="1" t="s">
        <v>58</v>
      </c>
      <c r="I1523" s="1" t="s">
        <v>49</v>
      </c>
      <c r="J1523" s="23" t="s">
        <v>50</v>
      </c>
      <c r="K1523" s="2" t="s">
        <v>51</v>
      </c>
      <c r="L1523" s="1">
        <v>436</v>
      </c>
      <c r="M1523" s="1">
        <v>61</v>
      </c>
      <c r="N1523" s="1" t="str">
        <f t="shared" si="118"/>
        <v>Published</v>
      </c>
      <c r="O1523" s="1">
        <f t="shared" si="116"/>
        <v>265.95999999999998</v>
      </c>
      <c r="P1523" s="1">
        <v>5</v>
      </c>
      <c r="Q1523" s="1">
        <v>787</v>
      </c>
      <c r="R1523" s="1" t="str">
        <f t="shared" si="119"/>
        <v>1</v>
      </c>
      <c r="S1523" s="1">
        <v>167</v>
      </c>
      <c r="T1523" s="1" t="str">
        <f t="shared" si="117"/>
        <v>3</v>
      </c>
      <c r="U1523" s="1">
        <v>-32.243188000000004</v>
      </c>
      <c r="V1523" s="3">
        <v>148.63938099999999</v>
      </c>
    </row>
    <row r="1524" spans="1:22" x14ac:dyDescent="0.35">
      <c r="A1524" s="22" t="s">
        <v>4472</v>
      </c>
      <c r="B1524" s="1" t="s">
        <v>4473</v>
      </c>
      <c r="C1524" s="1" t="s">
        <v>2339</v>
      </c>
      <c r="D1524" s="1" t="s">
        <v>302</v>
      </c>
      <c r="E1524" s="1" t="s">
        <v>276</v>
      </c>
      <c r="F1524" s="1" t="s">
        <v>57</v>
      </c>
      <c r="G1524" s="1">
        <f t="shared" si="115"/>
        <v>2</v>
      </c>
      <c r="H1524" s="1" t="s">
        <v>58</v>
      </c>
      <c r="I1524" s="1" t="s">
        <v>49</v>
      </c>
      <c r="J1524" s="23" t="s">
        <v>50</v>
      </c>
      <c r="K1524" s="2" t="s">
        <v>51</v>
      </c>
      <c r="L1524" s="1">
        <v>594</v>
      </c>
      <c r="M1524" s="1">
        <v>8</v>
      </c>
      <c r="N1524" s="1" t="str">
        <f t="shared" si="118"/>
        <v>Published</v>
      </c>
      <c r="O1524" s="1">
        <f t="shared" si="116"/>
        <v>47.52</v>
      </c>
      <c r="P1524" s="1">
        <v>15</v>
      </c>
      <c r="Q1524" s="1">
        <v>1054</v>
      </c>
      <c r="R1524" s="1" t="str">
        <f t="shared" si="119"/>
        <v>3</v>
      </c>
      <c r="S1524" s="1">
        <v>60</v>
      </c>
      <c r="T1524" s="1" t="str">
        <f t="shared" si="117"/>
        <v>3</v>
      </c>
      <c r="U1524" s="1">
        <v>-31.472138000000001</v>
      </c>
      <c r="V1524" s="3">
        <v>152.92641800000001</v>
      </c>
    </row>
    <row r="1525" spans="1:22" x14ac:dyDescent="0.35">
      <c r="A1525" s="22" t="s">
        <v>4474</v>
      </c>
      <c r="B1525" s="1" t="s">
        <v>4475</v>
      </c>
      <c r="C1525" s="1" t="s">
        <v>3762</v>
      </c>
      <c r="D1525" s="1" t="s">
        <v>382</v>
      </c>
      <c r="E1525" s="1" t="s">
        <v>196</v>
      </c>
      <c r="F1525" s="1" t="s">
        <v>57</v>
      </c>
      <c r="G1525" s="1">
        <f t="shared" si="115"/>
        <v>2</v>
      </c>
      <c r="H1525" s="1" t="s">
        <v>86</v>
      </c>
      <c r="I1525" s="1" t="s">
        <v>49</v>
      </c>
      <c r="J1525" s="23" t="s">
        <v>50</v>
      </c>
      <c r="K1525" s="2" t="s">
        <v>51</v>
      </c>
      <c r="L1525" s="1">
        <v>223</v>
      </c>
      <c r="M1525" s="1">
        <v>32</v>
      </c>
      <c r="N1525" s="1" t="str">
        <f t="shared" si="118"/>
        <v>Published</v>
      </c>
      <c r="O1525" s="1">
        <f t="shared" si="116"/>
        <v>71.36</v>
      </c>
      <c r="P1525" s="1">
        <v>6</v>
      </c>
      <c r="Q1525" s="1">
        <v>908</v>
      </c>
      <c r="R1525" s="1" t="str">
        <f t="shared" si="119"/>
        <v>2</v>
      </c>
      <c r="S1525" s="1">
        <v>137</v>
      </c>
      <c r="T1525" s="1" t="str">
        <f t="shared" si="117"/>
        <v>2</v>
      </c>
      <c r="U1525" s="1">
        <v>-34.855556999999997</v>
      </c>
      <c r="V1525" s="3">
        <v>150.57715999999999</v>
      </c>
    </row>
    <row r="1526" spans="1:22" x14ac:dyDescent="0.35">
      <c r="A1526" s="22" t="s">
        <v>4476</v>
      </c>
      <c r="B1526" s="1" t="s">
        <v>4477</v>
      </c>
      <c r="C1526" s="1" t="s">
        <v>4256</v>
      </c>
      <c r="D1526" s="1" t="s">
        <v>1131</v>
      </c>
      <c r="E1526" s="1" t="s">
        <v>429</v>
      </c>
      <c r="F1526" s="1" t="s">
        <v>47</v>
      </c>
      <c r="G1526" s="1">
        <f t="shared" si="115"/>
        <v>1</v>
      </c>
      <c r="H1526" s="1" t="s">
        <v>148</v>
      </c>
      <c r="I1526" s="1" t="s">
        <v>49</v>
      </c>
      <c r="J1526" s="23" t="s">
        <v>50</v>
      </c>
      <c r="K1526" s="2" t="s">
        <v>51</v>
      </c>
      <c r="L1526" s="1">
        <v>219</v>
      </c>
      <c r="M1526" s="1">
        <v>7</v>
      </c>
      <c r="N1526" s="1" t="str">
        <f t="shared" si="118"/>
        <v>Published</v>
      </c>
      <c r="O1526" s="1">
        <f t="shared" si="116"/>
        <v>15.330000000000002</v>
      </c>
      <c r="P1526" s="1">
        <v>14</v>
      </c>
      <c r="Q1526" s="1">
        <v>998</v>
      </c>
      <c r="R1526" s="1" t="str">
        <f t="shared" si="119"/>
        <v>2</v>
      </c>
      <c r="S1526" s="1">
        <v>100</v>
      </c>
      <c r="T1526" s="1" t="str">
        <f t="shared" si="117"/>
        <v>2</v>
      </c>
      <c r="U1526" s="1">
        <v>-33.704729999999998</v>
      </c>
      <c r="V1526" s="3">
        <v>150.709665</v>
      </c>
    </row>
    <row r="1527" spans="1:22" x14ac:dyDescent="0.35">
      <c r="A1527" s="22" t="s">
        <v>4478</v>
      </c>
      <c r="B1527" s="1" t="s">
        <v>4479</v>
      </c>
      <c r="C1527" s="1" t="s">
        <v>4429</v>
      </c>
      <c r="D1527" s="1" t="s">
        <v>74</v>
      </c>
      <c r="E1527" s="1" t="s">
        <v>75</v>
      </c>
      <c r="F1527" s="1" t="s">
        <v>47</v>
      </c>
      <c r="G1527" s="1">
        <f t="shared" si="115"/>
        <v>1</v>
      </c>
      <c r="H1527" s="1" t="s">
        <v>63</v>
      </c>
      <c r="I1527" s="1" t="s">
        <v>49</v>
      </c>
      <c r="J1527" s="23" t="s">
        <v>50</v>
      </c>
      <c r="K1527" s="2" t="s">
        <v>51</v>
      </c>
      <c r="L1527" s="1">
        <v>609</v>
      </c>
      <c r="M1527" s="1">
        <v>9</v>
      </c>
      <c r="N1527" s="1" t="str">
        <f t="shared" si="118"/>
        <v>Published</v>
      </c>
      <c r="O1527" s="1">
        <f t="shared" si="116"/>
        <v>54.809999999999995</v>
      </c>
      <c r="P1527" s="1">
        <v>28</v>
      </c>
      <c r="Q1527" s="1">
        <v>1019</v>
      </c>
      <c r="R1527" s="1" t="str">
        <f t="shared" si="119"/>
        <v>3</v>
      </c>
      <c r="S1527" s="1">
        <v>80</v>
      </c>
      <c r="T1527" s="1" t="str">
        <f t="shared" si="117"/>
        <v>4</v>
      </c>
      <c r="U1527" s="1">
        <v>-32.873640999999999</v>
      </c>
      <c r="V1527" s="3">
        <v>151.64971199999999</v>
      </c>
    </row>
    <row r="1528" spans="1:22" x14ac:dyDescent="0.35">
      <c r="A1528" s="22" t="s">
        <v>4480</v>
      </c>
      <c r="B1528" s="1" t="s">
        <v>4481</v>
      </c>
      <c r="C1528" s="1" t="s">
        <v>4482</v>
      </c>
      <c r="D1528" s="1" t="s">
        <v>678</v>
      </c>
      <c r="E1528" s="1" t="s">
        <v>122</v>
      </c>
      <c r="F1528" s="1" t="s">
        <v>47</v>
      </c>
      <c r="G1528" s="1">
        <f t="shared" si="115"/>
        <v>1</v>
      </c>
      <c r="H1528" s="1" t="s">
        <v>86</v>
      </c>
      <c r="I1528" s="1" t="s">
        <v>49</v>
      </c>
      <c r="J1528" s="23" t="s">
        <v>50</v>
      </c>
      <c r="K1528" s="2" t="s">
        <v>51</v>
      </c>
      <c r="L1528" s="1">
        <v>619</v>
      </c>
      <c r="M1528" s="1">
        <v>7</v>
      </c>
      <c r="N1528" s="1" t="str">
        <f t="shared" si="118"/>
        <v>Published</v>
      </c>
      <c r="O1528" s="1">
        <f t="shared" si="116"/>
        <v>43.330000000000005</v>
      </c>
      <c r="P1528" s="1">
        <v>26</v>
      </c>
      <c r="Q1528" s="1">
        <v>1006</v>
      </c>
      <c r="R1528" s="1" t="str">
        <f t="shared" si="119"/>
        <v>3</v>
      </c>
      <c r="S1528" s="1">
        <v>96</v>
      </c>
      <c r="T1528" s="1" t="str">
        <f t="shared" si="117"/>
        <v>4</v>
      </c>
      <c r="U1528" s="1">
        <v>-34.056128999999999</v>
      </c>
      <c r="V1528" s="3">
        <v>150.74471800000001</v>
      </c>
    </row>
    <row r="1529" spans="1:22" x14ac:dyDescent="0.35">
      <c r="A1529" s="22" t="s">
        <v>4483</v>
      </c>
      <c r="B1529" s="1" t="s">
        <v>4484</v>
      </c>
      <c r="C1529" s="1" t="s">
        <v>4485</v>
      </c>
      <c r="D1529" s="1" t="s">
        <v>1131</v>
      </c>
      <c r="E1529" s="1" t="s">
        <v>429</v>
      </c>
      <c r="F1529" s="1" t="s">
        <v>47</v>
      </c>
      <c r="G1529" s="1">
        <f t="shared" si="115"/>
        <v>1</v>
      </c>
      <c r="H1529" s="1" t="s">
        <v>148</v>
      </c>
      <c r="I1529" s="1" t="s">
        <v>49</v>
      </c>
      <c r="J1529" s="23" t="s">
        <v>50</v>
      </c>
      <c r="K1529" s="2" t="s">
        <v>51</v>
      </c>
      <c r="L1529" s="1">
        <v>687</v>
      </c>
      <c r="M1529" s="1">
        <v>8</v>
      </c>
      <c r="N1529" s="1" t="str">
        <f t="shared" si="118"/>
        <v>Published</v>
      </c>
      <c r="O1529" s="1">
        <f t="shared" si="116"/>
        <v>54.96</v>
      </c>
      <c r="P1529" s="1">
        <v>39</v>
      </c>
      <c r="Q1529" s="1">
        <v>1012</v>
      </c>
      <c r="R1529" s="1" t="str">
        <f t="shared" si="119"/>
        <v>3</v>
      </c>
      <c r="S1529" s="1">
        <v>85</v>
      </c>
      <c r="T1529" s="1" t="str">
        <f t="shared" si="117"/>
        <v>4</v>
      </c>
      <c r="U1529" s="1">
        <v>-33.774177999999999</v>
      </c>
      <c r="V1529" s="3">
        <v>150.74701400000001</v>
      </c>
    </row>
    <row r="1530" spans="1:22" x14ac:dyDescent="0.35">
      <c r="A1530" s="22" t="s">
        <v>4486</v>
      </c>
      <c r="B1530" s="1" t="s">
        <v>4487</v>
      </c>
      <c r="C1530" s="1" t="s">
        <v>4488</v>
      </c>
      <c r="D1530" s="1" t="s">
        <v>186</v>
      </c>
      <c r="E1530" s="1" t="s">
        <v>187</v>
      </c>
      <c r="F1530" s="1" t="s">
        <v>47</v>
      </c>
      <c r="G1530" s="1">
        <f t="shared" si="115"/>
        <v>1</v>
      </c>
      <c r="H1530" s="1" t="s">
        <v>63</v>
      </c>
      <c r="I1530" s="1" t="s">
        <v>49</v>
      </c>
      <c r="J1530" s="23" t="s">
        <v>50</v>
      </c>
      <c r="K1530" s="2" t="s">
        <v>51</v>
      </c>
      <c r="L1530" s="1">
        <v>637</v>
      </c>
      <c r="M1530" s="1">
        <v>24</v>
      </c>
      <c r="N1530" s="1" t="str">
        <f t="shared" si="118"/>
        <v>Published</v>
      </c>
      <c r="O1530" s="1">
        <f t="shared" si="116"/>
        <v>152.88</v>
      </c>
      <c r="P1530" s="1">
        <v>7</v>
      </c>
      <c r="Q1530" s="1">
        <v>927</v>
      </c>
      <c r="R1530" s="1" t="str">
        <f t="shared" si="119"/>
        <v>2</v>
      </c>
      <c r="S1530" s="1">
        <v>130</v>
      </c>
      <c r="T1530" s="1" t="str">
        <f t="shared" si="117"/>
        <v>4</v>
      </c>
      <c r="U1530" s="1">
        <v>-33.212499000000001</v>
      </c>
      <c r="V1530" s="3">
        <v>151.502826</v>
      </c>
    </row>
    <row r="1531" spans="1:22" x14ac:dyDescent="0.35">
      <c r="A1531" s="22" t="s">
        <v>4489</v>
      </c>
      <c r="B1531" s="1" t="s">
        <v>4490</v>
      </c>
      <c r="C1531" s="1" t="s">
        <v>4491</v>
      </c>
      <c r="D1531" s="1" t="s">
        <v>180</v>
      </c>
      <c r="E1531" s="1" t="s">
        <v>181</v>
      </c>
      <c r="F1531" s="1" t="s">
        <v>47</v>
      </c>
      <c r="G1531" s="1">
        <f t="shared" si="115"/>
        <v>1</v>
      </c>
      <c r="H1531" s="1" t="s">
        <v>182</v>
      </c>
      <c r="I1531" s="1" t="s">
        <v>49</v>
      </c>
      <c r="J1531" s="23" t="s">
        <v>50</v>
      </c>
      <c r="K1531" s="2" t="s">
        <v>51</v>
      </c>
      <c r="L1531" s="1">
        <v>620</v>
      </c>
      <c r="M1531" s="1">
        <v>1</v>
      </c>
      <c r="N1531" s="1" t="str">
        <f t="shared" si="118"/>
        <v>Published</v>
      </c>
      <c r="O1531" s="1">
        <f t="shared" si="116"/>
        <v>6.2</v>
      </c>
      <c r="P1531" s="1">
        <v>76</v>
      </c>
      <c r="Q1531" s="1">
        <v>1011</v>
      </c>
      <c r="R1531" s="1" t="str">
        <f t="shared" si="119"/>
        <v>3</v>
      </c>
      <c r="S1531" s="1">
        <v>104</v>
      </c>
      <c r="T1531" s="1" t="str">
        <f t="shared" si="117"/>
        <v>4</v>
      </c>
      <c r="U1531" s="1">
        <v>-33.938001</v>
      </c>
      <c r="V1531" s="3">
        <v>150.83755400000001</v>
      </c>
    </row>
    <row r="1532" spans="1:22" x14ac:dyDescent="0.35">
      <c r="A1532" s="22" t="s">
        <v>4492</v>
      </c>
      <c r="B1532" s="1" t="s">
        <v>4493</v>
      </c>
      <c r="C1532" s="1" t="s">
        <v>4494</v>
      </c>
      <c r="D1532" s="1" t="s">
        <v>678</v>
      </c>
      <c r="E1532" s="1" t="s">
        <v>122</v>
      </c>
      <c r="F1532" s="1" t="s">
        <v>47</v>
      </c>
      <c r="G1532" s="1">
        <f t="shared" si="115"/>
        <v>1</v>
      </c>
      <c r="H1532" s="1" t="s">
        <v>86</v>
      </c>
      <c r="I1532" s="1" t="s">
        <v>49</v>
      </c>
      <c r="J1532" s="23" t="s">
        <v>50</v>
      </c>
      <c r="K1532" s="2" t="s">
        <v>51</v>
      </c>
      <c r="L1532" s="1">
        <v>545</v>
      </c>
      <c r="M1532" s="1">
        <v>12</v>
      </c>
      <c r="N1532" s="1" t="str">
        <f t="shared" si="118"/>
        <v>Published</v>
      </c>
      <c r="O1532" s="1">
        <f t="shared" si="116"/>
        <v>65.399999999999991</v>
      </c>
      <c r="P1532" s="1">
        <v>29</v>
      </c>
      <c r="Q1532" s="1">
        <v>981</v>
      </c>
      <c r="R1532" s="1" t="str">
        <f t="shared" si="119"/>
        <v>2</v>
      </c>
      <c r="S1532" s="1">
        <v>108</v>
      </c>
      <c r="T1532" s="1" t="str">
        <f t="shared" si="117"/>
        <v>3</v>
      </c>
      <c r="U1532" s="1">
        <v>-34.047849999999997</v>
      </c>
      <c r="V1532" s="3">
        <v>150.76919699999999</v>
      </c>
    </row>
    <row r="1533" spans="1:22" x14ac:dyDescent="0.35">
      <c r="A1533" s="22" t="s">
        <v>4495</v>
      </c>
      <c r="B1533" s="1" t="s">
        <v>4496</v>
      </c>
      <c r="C1533" s="1" t="s">
        <v>4497</v>
      </c>
      <c r="D1533" s="1" t="s">
        <v>382</v>
      </c>
      <c r="E1533" s="1" t="s">
        <v>196</v>
      </c>
      <c r="F1533" s="1" t="s">
        <v>57</v>
      </c>
      <c r="G1533" s="1">
        <f t="shared" si="115"/>
        <v>2</v>
      </c>
      <c r="H1533" s="1" t="s">
        <v>86</v>
      </c>
      <c r="I1533" s="1" t="s">
        <v>49</v>
      </c>
      <c r="J1533" s="23" t="s">
        <v>50</v>
      </c>
      <c r="K1533" s="2" t="s">
        <v>51</v>
      </c>
      <c r="L1533" s="1">
        <v>151</v>
      </c>
      <c r="M1533" s="1">
        <v>19</v>
      </c>
      <c r="N1533" s="1" t="str">
        <f t="shared" si="118"/>
        <v>Published</v>
      </c>
      <c r="O1533" s="1">
        <f t="shared" si="116"/>
        <v>28.69</v>
      </c>
      <c r="P1533" s="1">
        <v>8</v>
      </c>
      <c r="Q1533" s="1">
        <v>971</v>
      </c>
      <c r="R1533" s="1" t="str">
        <f t="shared" si="119"/>
        <v>2</v>
      </c>
      <c r="S1533" s="1">
        <v>95</v>
      </c>
      <c r="T1533" s="1" t="str">
        <f t="shared" si="117"/>
        <v>2</v>
      </c>
      <c r="U1533" s="1">
        <v>-34.995950999999998</v>
      </c>
      <c r="V1533" s="3">
        <v>150.714405</v>
      </c>
    </row>
    <row r="1534" spans="1:22" x14ac:dyDescent="0.35">
      <c r="A1534" s="22" t="s">
        <v>4498</v>
      </c>
      <c r="B1534" s="1" t="s">
        <v>4499</v>
      </c>
      <c r="C1534" s="1" t="s">
        <v>4500</v>
      </c>
      <c r="D1534" s="1" t="s">
        <v>642</v>
      </c>
      <c r="E1534" s="1" t="s">
        <v>170</v>
      </c>
      <c r="F1534" s="1" t="s">
        <v>47</v>
      </c>
      <c r="G1534" s="1">
        <f t="shared" si="115"/>
        <v>1</v>
      </c>
      <c r="H1534" s="1" t="s">
        <v>48</v>
      </c>
      <c r="I1534" s="1" t="s">
        <v>49</v>
      </c>
      <c r="J1534" s="23" t="s">
        <v>50</v>
      </c>
      <c r="K1534" s="2" t="s">
        <v>51</v>
      </c>
      <c r="L1534" s="1">
        <v>665</v>
      </c>
      <c r="M1534" s="1">
        <v>0</v>
      </c>
      <c r="N1534" s="1" t="str">
        <f t="shared" si="118"/>
        <v>Published</v>
      </c>
      <c r="O1534" s="1">
        <f t="shared" si="116"/>
        <v>0</v>
      </c>
      <c r="P1534" s="1">
        <v>84</v>
      </c>
      <c r="Q1534" s="1">
        <v>1104</v>
      </c>
      <c r="R1534" s="1" t="str">
        <f t="shared" si="119"/>
        <v>4</v>
      </c>
      <c r="S1534" s="1">
        <v>29</v>
      </c>
      <c r="T1534" s="1" t="str">
        <f t="shared" si="117"/>
        <v>4</v>
      </c>
      <c r="U1534" s="1">
        <v>-33.841151000000004</v>
      </c>
      <c r="V1534" s="3">
        <v>151.055228</v>
      </c>
    </row>
    <row r="1535" spans="1:22" x14ac:dyDescent="0.35">
      <c r="A1535" s="22" t="s">
        <v>4501</v>
      </c>
      <c r="B1535" s="1" t="s">
        <v>4502</v>
      </c>
      <c r="C1535" s="1" t="s">
        <v>4503</v>
      </c>
      <c r="D1535" s="1" t="s">
        <v>678</v>
      </c>
      <c r="E1535" s="1" t="s">
        <v>122</v>
      </c>
      <c r="F1535" s="1" t="s">
        <v>47</v>
      </c>
      <c r="G1535" s="1">
        <f t="shared" si="115"/>
        <v>1</v>
      </c>
      <c r="H1535" s="1" t="s">
        <v>86</v>
      </c>
      <c r="I1535" s="1" t="s">
        <v>49</v>
      </c>
      <c r="J1535" s="23" t="s">
        <v>50</v>
      </c>
      <c r="K1535" s="2" t="s">
        <v>51</v>
      </c>
      <c r="L1535" s="1">
        <v>731</v>
      </c>
      <c r="M1535" s="1">
        <v>6</v>
      </c>
      <c r="N1535" s="1" t="str">
        <f t="shared" si="118"/>
        <v>Published</v>
      </c>
      <c r="O1535" s="1">
        <f t="shared" si="116"/>
        <v>43.86</v>
      </c>
      <c r="P1535" s="1">
        <v>36</v>
      </c>
      <c r="Q1535" s="1">
        <v>1035</v>
      </c>
      <c r="R1535" s="1" t="str">
        <f t="shared" si="119"/>
        <v>3</v>
      </c>
      <c r="S1535" s="1">
        <v>81</v>
      </c>
      <c r="T1535" s="1" t="str">
        <f t="shared" si="117"/>
        <v>4</v>
      </c>
      <c r="U1535" s="1">
        <v>-34.027144999999997</v>
      </c>
      <c r="V1535" s="3">
        <v>150.738527</v>
      </c>
    </row>
    <row r="1536" spans="1:22" x14ac:dyDescent="0.35">
      <c r="A1536" s="22" t="s">
        <v>4504</v>
      </c>
      <c r="B1536" s="1" t="s">
        <v>4505</v>
      </c>
      <c r="C1536" s="1" t="s">
        <v>4506</v>
      </c>
      <c r="D1536" s="1" t="s">
        <v>761</v>
      </c>
      <c r="E1536" s="1" t="s">
        <v>127</v>
      </c>
      <c r="F1536" s="1" t="s">
        <v>47</v>
      </c>
      <c r="G1536" s="1">
        <f t="shared" si="115"/>
        <v>1</v>
      </c>
      <c r="H1536" s="1" t="s">
        <v>148</v>
      </c>
      <c r="I1536" s="1" t="s">
        <v>49</v>
      </c>
      <c r="J1536" s="23" t="s">
        <v>50</v>
      </c>
      <c r="K1536" s="2" t="s">
        <v>51</v>
      </c>
      <c r="L1536" s="1">
        <v>466</v>
      </c>
      <c r="M1536" s="1"/>
      <c r="N1536" s="1" t="str">
        <f t="shared" si="118"/>
        <v>Suppressed</v>
      </c>
      <c r="O1536" s="1" t="str">
        <f t="shared" si="116"/>
        <v/>
      </c>
      <c r="P1536" s="1">
        <v>55</v>
      </c>
      <c r="Q1536" s="1">
        <v>1107</v>
      </c>
      <c r="R1536" s="1" t="str">
        <f t="shared" si="119"/>
        <v>4</v>
      </c>
      <c r="S1536" s="1">
        <v>29</v>
      </c>
      <c r="T1536" s="1" t="str">
        <f t="shared" si="117"/>
        <v>3</v>
      </c>
      <c r="U1536" s="1">
        <v>-33.697808999999999</v>
      </c>
      <c r="V1536" s="3">
        <v>150.94565900000001</v>
      </c>
    </row>
    <row r="1537" spans="1:22" x14ac:dyDescent="0.35">
      <c r="A1537" s="22" t="s">
        <v>4507</v>
      </c>
      <c r="B1537" s="1" t="s">
        <v>4508</v>
      </c>
      <c r="C1537" s="1" t="s">
        <v>4408</v>
      </c>
      <c r="D1537" s="1" t="s">
        <v>1131</v>
      </c>
      <c r="E1537" s="1" t="s">
        <v>429</v>
      </c>
      <c r="F1537" s="1" t="s">
        <v>47</v>
      </c>
      <c r="G1537" s="1">
        <f t="shared" si="115"/>
        <v>1</v>
      </c>
      <c r="H1537" s="1" t="s">
        <v>182</v>
      </c>
      <c r="I1537" s="1" t="s">
        <v>49</v>
      </c>
      <c r="J1537" s="23" t="s">
        <v>50</v>
      </c>
      <c r="K1537" s="2" t="s">
        <v>51</v>
      </c>
      <c r="L1537" s="1">
        <v>424</v>
      </c>
      <c r="M1537" s="1">
        <v>8</v>
      </c>
      <c r="N1537" s="1" t="str">
        <f t="shared" si="118"/>
        <v>Published</v>
      </c>
      <c r="O1537" s="1">
        <f t="shared" si="116"/>
        <v>33.92</v>
      </c>
      <c r="P1537" s="1">
        <v>19</v>
      </c>
      <c r="Q1537" s="1">
        <v>1007</v>
      </c>
      <c r="R1537" s="1" t="str">
        <f t="shared" si="119"/>
        <v>3</v>
      </c>
      <c r="S1537" s="1">
        <v>90</v>
      </c>
      <c r="T1537" s="1" t="str">
        <f t="shared" si="117"/>
        <v>3</v>
      </c>
      <c r="U1537" s="1">
        <v>-33.787277000000003</v>
      </c>
      <c r="V1537" s="3">
        <v>150.68917300000001</v>
      </c>
    </row>
    <row r="1538" spans="1:22" x14ac:dyDescent="0.35">
      <c r="A1538" s="22" t="s">
        <v>4509</v>
      </c>
      <c r="B1538" s="1" t="s">
        <v>4510</v>
      </c>
      <c r="C1538" s="1" t="s">
        <v>4511</v>
      </c>
      <c r="D1538" s="1" t="s">
        <v>236</v>
      </c>
      <c r="E1538" s="1" t="s">
        <v>107</v>
      </c>
      <c r="F1538" s="1" t="s">
        <v>47</v>
      </c>
      <c r="G1538" s="1">
        <f t="shared" ref="G1538:G1601" si="120">IF(F1538="Major Cities of Australia",1,IF(F1538="Inner Regional Australia",2,IF(F1538="Outer Regional Australia",3,IF(F1538="Remote Australia",4,IF(F1538="Very Remote Australia",5,6)))))</f>
        <v>1</v>
      </c>
      <c r="H1538" s="1" t="s">
        <v>92</v>
      </c>
      <c r="I1538" s="1" t="s">
        <v>49</v>
      </c>
      <c r="J1538" s="23" t="s">
        <v>50</v>
      </c>
      <c r="K1538" s="2" t="s">
        <v>51</v>
      </c>
      <c r="L1538" s="1">
        <v>325</v>
      </c>
      <c r="M1538" s="1">
        <v>9</v>
      </c>
      <c r="N1538" s="1" t="str">
        <f t="shared" si="118"/>
        <v>Published</v>
      </c>
      <c r="O1538" s="1">
        <f t="shared" ref="O1538:O1601" si="121">IF(OR(M1538="",L1538=""),"",M1538/100*L1538)</f>
        <v>29.25</v>
      </c>
      <c r="P1538" s="1">
        <v>11</v>
      </c>
      <c r="Q1538" s="1">
        <v>1040</v>
      </c>
      <c r="R1538" s="1" t="str">
        <f t="shared" si="119"/>
        <v>3</v>
      </c>
      <c r="S1538" s="1">
        <v>63</v>
      </c>
      <c r="T1538" s="1" t="str">
        <f t="shared" ref="T1538:T1601" si="122">IF(L1538="","No enrolment",IF(L1538&lt;100,"1",IF(L1538&lt;300,"2",IF(L1538&lt;600,"3",IF(L1538&lt;1000,"4","5")))))</f>
        <v>3</v>
      </c>
      <c r="U1538" s="1">
        <v>-28.338166000000001</v>
      </c>
      <c r="V1538" s="3">
        <v>153.57218900000001</v>
      </c>
    </row>
    <row r="1539" spans="1:22" x14ac:dyDescent="0.35">
      <c r="A1539" s="22" t="s">
        <v>4512</v>
      </c>
      <c r="B1539" s="1" t="s">
        <v>4513</v>
      </c>
      <c r="C1539" s="1" t="s">
        <v>4514</v>
      </c>
      <c r="D1539" s="1" t="s">
        <v>558</v>
      </c>
      <c r="E1539" s="1" t="s">
        <v>68</v>
      </c>
      <c r="F1539" s="1" t="s">
        <v>47</v>
      </c>
      <c r="G1539" s="1">
        <f t="shared" si="120"/>
        <v>1</v>
      </c>
      <c r="H1539" s="1" t="s">
        <v>70</v>
      </c>
      <c r="I1539" s="1" t="s">
        <v>49</v>
      </c>
      <c r="J1539" s="23" t="s">
        <v>50</v>
      </c>
      <c r="K1539" s="2" t="s">
        <v>51</v>
      </c>
      <c r="L1539" s="1">
        <v>865</v>
      </c>
      <c r="M1539" s="1">
        <v>4</v>
      </c>
      <c r="N1539" s="1" t="str">
        <f t="shared" ref="N1539:N1602" si="123">IF(M1539="","Suppressed","Published")</f>
        <v>Published</v>
      </c>
      <c r="O1539" s="1">
        <f t="shared" si="121"/>
        <v>34.6</v>
      </c>
      <c r="P1539" s="1">
        <v>21</v>
      </c>
      <c r="Q1539" s="1">
        <v>1107</v>
      </c>
      <c r="R1539" s="1" t="str">
        <f t="shared" ref="R1539:R1602" si="124">IF(Q1539="","No ICSEA",IF(Q1539&lt;900,"1",IF(Q1539&lt;1000,"2",IF(Q1539&lt;1100,"3","4"))))</f>
        <v>4</v>
      </c>
      <c r="S1539" s="1">
        <v>40</v>
      </c>
      <c r="T1539" s="1" t="str">
        <f t="shared" si="122"/>
        <v>4</v>
      </c>
      <c r="U1539" s="1">
        <v>-35.386090000000003</v>
      </c>
      <c r="V1539" s="3">
        <v>149.19846999999999</v>
      </c>
    </row>
    <row r="1540" spans="1:22" x14ac:dyDescent="0.35">
      <c r="A1540" s="22" t="s">
        <v>4515</v>
      </c>
      <c r="B1540" s="1" t="s">
        <v>4516</v>
      </c>
      <c r="C1540" s="1" t="s">
        <v>2345</v>
      </c>
      <c r="D1540" s="1" t="s">
        <v>180</v>
      </c>
      <c r="E1540" s="1" t="s">
        <v>181</v>
      </c>
      <c r="F1540" s="1" t="s">
        <v>47</v>
      </c>
      <c r="G1540" s="1">
        <f t="shared" si="120"/>
        <v>1</v>
      </c>
      <c r="H1540" s="1" t="s">
        <v>182</v>
      </c>
      <c r="I1540" s="1" t="s">
        <v>49</v>
      </c>
      <c r="J1540" s="23" t="s">
        <v>50</v>
      </c>
      <c r="K1540" s="2" t="s">
        <v>51</v>
      </c>
      <c r="L1540" s="1">
        <v>671</v>
      </c>
      <c r="M1540" s="1">
        <v>3</v>
      </c>
      <c r="N1540" s="1" t="str">
        <f t="shared" si="123"/>
        <v>Published</v>
      </c>
      <c r="O1540" s="1">
        <f t="shared" si="121"/>
        <v>20.13</v>
      </c>
      <c r="P1540" s="1">
        <v>74</v>
      </c>
      <c r="Q1540" s="1">
        <v>1012</v>
      </c>
      <c r="R1540" s="1" t="str">
        <f t="shared" si="124"/>
        <v>3</v>
      </c>
      <c r="S1540" s="1">
        <v>97</v>
      </c>
      <c r="T1540" s="1" t="str">
        <f t="shared" si="122"/>
        <v>4</v>
      </c>
      <c r="U1540" s="1">
        <v>-33.947296999999999</v>
      </c>
      <c r="V1540" s="3">
        <v>150.87139300000001</v>
      </c>
    </row>
    <row r="1541" spans="1:22" x14ac:dyDescent="0.35">
      <c r="A1541" s="22" t="s">
        <v>4517</v>
      </c>
      <c r="B1541" s="1" t="s">
        <v>4518</v>
      </c>
      <c r="C1541" s="1" t="s">
        <v>4519</v>
      </c>
      <c r="D1541" s="1" t="s">
        <v>180</v>
      </c>
      <c r="E1541" s="1" t="s">
        <v>181</v>
      </c>
      <c r="F1541" s="1" t="s">
        <v>47</v>
      </c>
      <c r="G1541" s="1">
        <f t="shared" si="120"/>
        <v>1</v>
      </c>
      <c r="H1541" s="1" t="s">
        <v>182</v>
      </c>
      <c r="I1541" s="1" t="s">
        <v>49</v>
      </c>
      <c r="J1541" s="23" t="s">
        <v>50</v>
      </c>
      <c r="K1541" s="2" t="s">
        <v>51</v>
      </c>
      <c r="L1541" s="1">
        <v>721</v>
      </c>
      <c r="M1541" s="1">
        <v>1</v>
      </c>
      <c r="N1541" s="1" t="str">
        <f t="shared" si="123"/>
        <v>Published</v>
      </c>
      <c r="O1541" s="1">
        <f t="shared" si="121"/>
        <v>7.21</v>
      </c>
      <c r="P1541" s="1">
        <v>77</v>
      </c>
      <c r="Q1541" s="1">
        <v>1017</v>
      </c>
      <c r="R1541" s="1" t="str">
        <f t="shared" si="124"/>
        <v>3</v>
      </c>
      <c r="S1541" s="1">
        <v>98</v>
      </c>
      <c r="T1541" s="1" t="str">
        <f t="shared" si="122"/>
        <v>4</v>
      </c>
      <c r="U1541" s="1">
        <v>-33.888596999999997</v>
      </c>
      <c r="V1541" s="3">
        <v>150.851731</v>
      </c>
    </row>
    <row r="1542" spans="1:22" x14ac:dyDescent="0.35">
      <c r="A1542" s="22" t="s">
        <v>4520</v>
      </c>
      <c r="B1542" s="1" t="s">
        <v>4521</v>
      </c>
      <c r="C1542" s="1" t="s">
        <v>4522</v>
      </c>
      <c r="D1542" s="1" t="s">
        <v>186</v>
      </c>
      <c r="E1542" s="1" t="s">
        <v>187</v>
      </c>
      <c r="F1542" s="1" t="s">
        <v>47</v>
      </c>
      <c r="G1542" s="1">
        <f t="shared" si="120"/>
        <v>1</v>
      </c>
      <c r="H1542" s="1" t="s">
        <v>63</v>
      </c>
      <c r="I1542" s="1" t="s">
        <v>49</v>
      </c>
      <c r="J1542" s="23" t="s">
        <v>50</v>
      </c>
      <c r="K1542" s="2" t="s">
        <v>51</v>
      </c>
      <c r="L1542" s="1">
        <v>385</v>
      </c>
      <c r="M1542" s="1">
        <v>12</v>
      </c>
      <c r="N1542" s="1" t="str">
        <f t="shared" si="123"/>
        <v>Published</v>
      </c>
      <c r="O1542" s="1">
        <f t="shared" si="121"/>
        <v>46.199999999999996</v>
      </c>
      <c r="P1542" s="1">
        <v>11</v>
      </c>
      <c r="Q1542" s="1">
        <v>984</v>
      </c>
      <c r="R1542" s="1" t="str">
        <f t="shared" si="124"/>
        <v>2</v>
      </c>
      <c r="S1542" s="1">
        <v>103</v>
      </c>
      <c r="T1542" s="1" t="str">
        <f t="shared" si="122"/>
        <v>3</v>
      </c>
      <c r="U1542" s="1">
        <v>-33.242434000000003</v>
      </c>
      <c r="V1542" s="3">
        <v>151.48413300000001</v>
      </c>
    </row>
    <row r="1543" spans="1:22" x14ac:dyDescent="0.35">
      <c r="A1543" s="22" t="s">
        <v>4523</v>
      </c>
      <c r="B1543" s="1" t="s">
        <v>4524</v>
      </c>
      <c r="C1543" s="1" t="s">
        <v>2464</v>
      </c>
      <c r="D1543" s="1" t="s">
        <v>761</v>
      </c>
      <c r="E1543" s="1" t="s">
        <v>127</v>
      </c>
      <c r="F1543" s="1" t="s">
        <v>47</v>
      </c>
      <c r="G1543" s="1">
        <f t="shared" si="120"/>
        <v>1</v>
      </c>
      <c r="H1543" s="1" t="s">
        <v>148</v>
      </c>
      <c r="I1543" s="1" t="s">
        <v>49</v>
      </c>
      <c r="J1543" s="23" t="s">
        <v>50</v>
      </c>
      <c r="K1543" s="2" t="s">
        <v>51</v>
      </c>
      <c r="L1543" s="1">
        <v>754</v>
      </c>
      <c r="M1543" s="1">
        <v>1</v>
      </c>
      <c r="N1543" s="1" t="str">
        <f t="shared" si="123"/>
        <v>Published</v>
      </c>
      <c r="O1543" s="1">
        <f t="shared" si="121"/>
        <v>7.54</v>
      </c>
      <c r="P1543" s="1">
        <v>78</v>
      </c>
      <c r="Q1543" s="1">
        <v>1156</v>
      </c>
      <c r="R1543" s="1" t="str">
        <f t="shared" si="124"/>
        <v>4</v>
      </c>
      <c r="S1543" s="1">
        <v>5</v>
      </c>
      <c r="T1543" s="1" t="str">
        <f t="shared" si="122"/>
        <v>4</v>
      </c>
      <c r="U1543" s="1">
        <v>-33.687370999999999</v>
      </c>
      <c r="V1543" s="3">
        <v>150.93325899999999</v>
      </c>
    </row>
    <row r="1544" spans="1:22" x14ac:dyDescent="0.35">
      <c r="A1544" s="22" t="s">
        <v>4525</v>
      </c>
      <c r="B1544" s="1" t="s">
        <v>4526</v>
      </c>
      <c r="C1544" s="1" t="s">
        <v>4527</v>
      </c>
      <c r="D1544" s="1" t="s">
        <v>837</v>
      </c>
      <c r="E1544" s="1" t="s">
        <v>838</v>
      </c>
      <c r="F1544" s="1" t="s">
        <v>47</v>
      </c>
      <c r="G1544" s="1">
        <f t="shared" si="120"/>
        <v>1</v>
      </c>
      <c r="H1544" s="1" t="s">
        <v>148</v>
      </c>
      <c r="I1544" s="1" t="s">
        <v>49</v>
      </c>
      <c r="J1544" s="23" t="s">
        <v>50</v>
      </c>
      <c r="K1544" s="2" t="s">
        <v>51</v>
      </c>
      <c r="L1544" s="1">
        <v>671</v>
      </c>
      <c r="M1544" s="1">
        <v>1</v>
      </c>
      <c r="N1544" s="1" t="str">
        <f t="shared" si="123"/>
        <v>Published</v>
      </c>
      <c r="O1544" s="1">
        <f t="shared" si="121"/>
        <v>6.71</v>
      </c>
      <c r="P1544" s="1">
        <v>71</v>
      </c>
      <c r="Q1544" s="1">
        <v>1107</v>
      </c>
      <c r="R1544" s="1" t="str">
        <f t="shared" si="124"/>
        <v>4</v>
      </c>
      <c r="S1544" s="1">
        <v>25</v>
      </c>
      <c r="T1544" s="1" t="str">
        <f t="shared" si="122"/>
        <v>4</v>
      </c>
      <c r="U1544" s="1">
        <v>-33.705413</v>
      </c>
      <c r="V1544" s="3">
        <v>150.92400499999999</v>
      </c>
    </row>
    <row r="1545" spans="1:22" x14ac:dyDescent="0.35">
      <c r="A1545" s="22" t="s">
        <v>4528</v>
      </c>
      <c r="B1545" s="1" t="s">
        <v>4529</v>
      </c>
      <c r="C1545" s="1" t="s">
        <v>4530</v>
      </c>
      <c r="D1545" s="1" t="s">
        <v>761</v>
      </c>
      <c r="E1545" s="1" t="s">
        <v>127</v>
      </c>
      <c r="F1545" s="1" t="s">
        <v>47</v>
      </c>
      <c r="G1545" s="1">
        <f t="shared" si="120"/>
        <v>1</v>
      </c>
      <c r="H1545" s="1" t="s">
        <v>148</v>
      </c>
      <c r="I1545" s="1" t="s">
        <v>49</v>
      </c>
      <c r="J1545" s="23" t="s">
        <v>50</v>
      </c>
      <c r="K1545" s="2" t="s">
        <v>51</v>
      </c>
      <c r="L1545" s="1">
        <v>584</v>
      </c>
      <c r="M1545" s="1">
        <v>0</v>
      </c>
      <c r="N1545" s="1" t="str">
        <f t="shared" si="123"/>
        <v>Published</v>
      </c>
      <c r="O1545" s="1">
        <f t="shared" si="121"/>
        <v>0</v>
      </c>
      <c r="P1545" s="1">
        <v>61</v>
      </c>
      <c r="Q1545" s="1">
        <v>1114</v>
      </c>
      <c r="R1545" s="1" t="str">
        <f t="shared" si="124"/>
        <v>4</v>
      </c>
      <c r="S1545" s="1">
        <v>30</v>
      </c>
      <c r="T1545" s="1" t="str">
        <f t="shared" si="122"/>
        <v>3</v>
      </c>
      <c r="U1545" s="1">
        <v>-33.706671999999998</v>
      </c>
      <c r="V1545" s="3">
        <v>150.97558699999999</v>
      </c>
    </row>
    <row r="1546" spans="1:22" x14ac:dyDescent="0.35">
      <c r="A1546" s="22" t="s">
        <v>4531</v>
      </c>
      <c r="B1546" s="1" t="s">
        <v>4532</v>
      </c>
      <c r="C1546" s="1" t="s">
        <v>4533</v>
      </c>
      <c r="D1546" s="1" t="s">
        <v>84</v>
      </c>
      <c r="E1546" s="1" t="s">
        <v>85</v>
      </c>
      <c r="F1546" s="1" t="s">
        <v>47</v>
      </c>
      <c r="G1546" s="1">
        <f t="shared" si="120"/>
        <v>1</v>
      </c>
      <c r="H1546" s="1" t="s">
        <v>86</v>
      </c>
      <c r="I1546" s="1" t="s">
        <v>49</v>
      </c>
      <c r="J1546" s="23" t="s">
        <v>50</v>
      </c>
      <c r="K1546" s="2" t="s">
        <v>51</v>
      </c>
      <c r="L1546" s="1">
        <v>463</v>
      </c>
      <c r="M1546" s="1">
        <v>7</v>
      </c>
      <c r="N1546" s="1" t="str">
        <f t="shared" si="123"/>
        <v>Published</v>
      </c>
      <c r="O1546" s="1">
        <f t="shared" si="121"/>
        <v>32.410000000000004</v>
      </c>
      <c r="P1546" s="1">
        <v>20</v>
      </c>
      <c r="Q1546" s="1">
        <v>1049</v>
      </c>
      <c r="R1546" s="1" t="str">
        <f t="shared" si="124"/>
        <v>3</v>
      </c>
      <c r="S1546" s="1">
        <v>67</v>
      </c>
      <c r="T1546" s="1" t="str">
        <f t="shared" si="122"/>
        <v>3</v>
      </c>
      <c r="U1546" s="1">
        <v>-34.595621850000001</v>
      </c>
      <c r="V1546" s="3">
        <v>150.85416749999999</v>
      </c>
    </row>
    <row r="1547" spans="1:22" x14ac:dyDescent="0.35">
      <c r="A1547" s="22" t="s">
        <v>4534</v>
      </c>
      <c r="B1547" s="1" t="s">
        <v>4535</v>
      </c>
      <c r="C1547" s="1" t="s">
        <v>4536</v>
      </c>
      <c r="D1547" s="1" t="s">
        <v>489</v>
      </c>
      <c r="E1547" s="1" t="s">
        <v>56</v>
      </c>
      <c r="F1547" s="1" t="s">
        <v>47</v>
      </c>
      <c r="G1547" s="1">
        <f t="shared" si="120"/>
        <v>1</v>
      </c>
      <c r="H1547" s="1" t="s">
        <v>58</v>
      </c>
      <c r="I1547" s="1" t="s">
        <v>49</v>
      </c>
      <c r="J1547" s="23" t="s">
        <v>50</v>
      </c>
      <c r="K1547" s="2" t="s">
        <v>51</v>
      </c>
      <c r="L1547" s="1">
        <v>514</v>
      </c>
      <c r="M1547" s="1">
        <v>13</v>
      </c>
      <c r="N1547" s="1" t="str">
        <f t="shared" si="123"/>
        <v>Published</v>
      </c>
      <c r="O1547" s="1">
        <f t="shared" si="121"/>
        <v>66.820000000000007</v>
      </c>
      <c r="P1547" s="1">
        <v>21</v>
      </c>
      <c r="Q1547" s="1">
        <v>1008</v>
      </c>
      <c r="R1547" s="1" t="str">
        <f t="shared" si="124"/>
        <v>3</v>
      </c>
      <c r="S1547" s="1">
        <v>88</v>
      </c>
      <c r="T1547" s="1" t="str">
        <f t="shared" si="122"/>
        <v>3</v>
      </c>
      <c r="U1547" s="1">
        <v>-32.772441999999998</v>
      </c>
      <c r="V1547" s="3">
        <v>151.600798</v>
      </c>
    </row>
    <row r="1548" spans="1:22" x14ac:dyDescent="0.35">
      <c r="A1548" s="22" t="s">
        <v>4537</v>
      </c>
      <c r="B1548" s="1" t="s">
        <v>4538</v>
      </c>
      <c r="C1548" s="1" t="s">
        <v>2339</v>
      </c>
      <c r="D1548" s="1" t="s">
        <v>302</v>
      </c>
      <c r="E1548" s="1" t="s">
        <v>276</v>
      </c>
      <c r="F1548" s="1" t="s">
        <v>57</v>
      </c>
      <c r="G1548" s="1">
        <f t="shared" si="120"/>
        <v>2</v>
      </c>
      <c r="H1548" s="1" t="s">
        <v>58</v>
      </c>
      <c r="I1548" s="1" t="s">
        <v>49</v>
      </c>
      <c r="J1548" s="23" t="s">
        <v>50</v>
      </c>
      <c r="K1548" s="2" t="s">
        <v>51</v>
      </c>
      <c r="L1548" s="1">
        <v>45</v>
      </c>
      <c r="M1548" s="1">
        <v>18</v>
      </c>
      <c r="N1548" s="1" t="str">
        <f t="shared" si="123"/>
        <v>Published</v>
      </c>
      <c r="O1548" s="1">
        <f t="shared" si="121"/>
        <v>8.1</v>
      </c>
      <c r="P1548" s="1"/>
      <c r="Q1548" s="1">
        <v>979</v>
      </c>
      <c r="R1548" s="1" t="str">
        <f t="shared" si="124"/>
        <v>2</v>
      </c>
      <c r="S1548" s="1">
        <v>97</v>
      </c>
      <c r="T1548" s="1" t="str">
        <f t="shared" si="122"/>
        <v>1</v>
      </c>
      <c r="U1548" s="1">
        <v>-31.429895769129399</v>
      </c>
      <c r="V1548" s="3">
        <v>152.91306188457162</v>
      </c>
    </row>
    <row r="1549" spans="1:22" x14ac:dyDescent="0.35">
      <c r="A1549" s="22" t="s">
        <v>4539</v>
      </c>
      <c r="B1549" s="1" t="s">
        <v>4540</v>
      </c>
      <c r="C1549" s="1" t="s">
        <v>543</v>
      </c>
      <c r="D1549" s="1" t="s">
        <v>543</v>
      </c>
      <c r="E1549" s="1" t="s">
        <v>102</v>
      </c>
      <c r="F1549" s="1" t="s">
        <v>544</v>
      </c>
      <c r="G1549" s="1">
        <f t="shared" si="120"/>
        <v>5</v>
      </c>
      <c r="H1549" s="1" t="s">
        <v>92</v>
      </c>
      <c r="I1549" s="1" t="s">
        <v>49</v>
      </c>
      <c r="J1549" s="23" t="s">
        <v>50</v>
      </c>
      <c r="K1549" s="2" t="s">
        <v>51</v>
      </c>
      <c r="L1549" s="1">
        <v>47</v>
      </c>
      <c r="M1549" s="1">
        <v>13</v>
      </c>
      <c r="N1549" s="1" t="str">
        <f t="shared" si="123"/>
        <v>Published</v>
      </c>
      <c r="O1549" s="1">
        <f t="shared" si="121"/>
        <v>6.11</v>
      </c>
      <c r="P1549" s="1"/>
      <c r="Q1549" s="1">
        <v>993</v>
      </c>
      <c r="R1549" s="1" t="str">
        <f t="shared" si="124"/>
        <v>2</v>
      </c>
      <c r="S1549" s="1">
        <v>63</v>
      </c>
      <c r="T1549" s="1" t="str">
        <f t="shared" si="122"/>
        <v>1</v>
      </c>
      <c r="U1549" s="1">
        <v>-30.093640000000001</v>
      </c>
      <c r="V1549" s="3">
        <v>145.94946400000001</v>
      </c>
    </row>
    <row r="1550" spans="1:22" x14ac:dyDescent="0.35">
      <c r="A1550" s="22" t="s">
        <v>4541</v>
      </c>
      <c r="B1550" s="1" t="s">
        <v>4542</v>
      </c>
      <c r="C1550" s="1" t="s">
        <v>4543</v>
      </c>
      <c r="D1550" s="1" t="s">
        <v>837</v>
      </c>
      <c r="E1550" s="1" t="s">
        <v>838</v>
      </c>
      <c r="F1550" s="1" t="s">
        <v>47</v>
      </c>
      <c r="G1550" s="1">
        <f t="shared" si="120"/>
        <v>1</v>
      </c>
      <c r="H1550" s="1" t="s">
        <v>148</v>
      </c>
      <c r="I1550" s="1" t="s">
        <v>49</v>
      </c>
      <c r="J1550" s="23" t="s">
        <v>50</v>
      </c>
      <c r="K1550" s="2" t="s">
        <v>51</v>
      </c>
      <c r="L1550" s="1">
        <v>789</v>
      </c>
      <c r="M1550" s="1">
        <v>7</v>
      </c>
      <c r="N1550" s="1" t="str">
        <f t="shared" si="123"/>
        <v>Published</v>
      </c>
      <c r="O1550" s="1">
        <f t="shared" si="121"/>
        <v>55.230000000000004</v>
      </c>
      <c r="P1550" s="1">
        <v>64</v>
      </c>
      <c r="Q1550" s="1">
        <v>1019</v>
      </c>
      <c r="R1550" s="1" t="str">
        <f t="shared" si="124"/>
        <v>3</v>
      </c>
      <c r="S1550" s="1">
        <v>79</v>
      </c>
      <c r="T1550" s="1" t="str">
        <f t="shared" si="122"/>
        <v>4</v>
      </c>
      <c r="U1550" s="1">
        <v>-33.7334423</v>
      </c>
      <c r="V1550" s="3">
        <v>150.7830912</v>
      </c>
    </row>
    <row r="1551" spans="1:22" x14ac:dyDescent="0.35">
      <c r="A1551" s="22" t="s">
        <v>4544</v>
      </c>
      <c r="B1551" s="1" t="s">
        <v>4545</v>
      </c>
      <c r="C1551" s="1" t="s">
        <v>4125</v>
      </c>
      <c r="D1551" s="1" t="s">
        <v>678</v>
      </c>
      <c r="E1551" s="1" t="s">
        <v>122</v>
      </c>
      <c r="F1551" s="1" t="s">
        <v>47</v>
      </c>
      <c r="G1551" s="1">
        <f t="shared" si="120"/>
        <v>1</v>
      </c>
      <c r="H1551" s="1" t="s">
        <v>86</v>
      </c>
      <c r="I1551" s="1" t="s">
        <v>49</v>
      </c>
      <c r="J1551" s="23" t="s">
        <v>50</v>
      </c>
      <c r="K1551" s="2" t="s">
        <v>51</v>
      </c>
      <c r="L1551" s="1">
        <v>539</v>
      </c>
      <c r="M1551" s="1">
        <v>8</v>
      </c>
      <c r="N1551" s="1" t="str">
        <f t="shared" si="123"/>
        <v>Published</v>
      </c>
      <c r="O1551" s="1">
        <f t="shared" si="121"/>
        <v>43.12</v>
      </c>
      <c r="P1551" s="1">
        <v>18</v>
      </c>
      <c r="Q1551" s="1">
        <v>1011</v>
      </c>
      <c r="R1551" s="1" t="str">
        <f t="shared" si="124"/>
        <v>3</v>
      </c>
      <c r="S1551" s="1">
        <v>98</v>
      </c>
      <c r="T1551" s="1" t="str">
        <f t="shared" si="122"/>
        <v>3</v>
      </c>
      <c r="U1551" s="1">
        <v>-34.054473000000002</v>
      </c>
      <c r="V1551" s="3">
        <v>150.72177300000001</v>
      </c>
    </row>
    <row r="1552" spans="1:22" x14ac:dyDescent="0.35">
      <c r="A1552" s="22" t="s">
        <v>4546</v>
      </c>
      <c r="B1552" s="1" t="s">
        <v>4547</v>
      </c>
      <c r="C1552" s="1" t="s">
        <v>4548</v>
      </c>
      <c r="D1552" s="1" t="s">
        <v>180</v>
      </c>
      <c r="E1552" s="1" t="s">
        <v>181</v>
      </c>
      <c r="F1552" s="1" t="s">
        <v>47</v>
      </c>
      <c r="G1552" s="1">
        <f t="shared" si="120"/>
        <v>1</v>
      </c>
      <c r="H1552" s="1" t="s">
        <v>182</v>
      </c>
      <c r="I1552" s="1" t="s">
        <v>49</v>
      </c>
      <c r="J1552" s="23" t="s">
        <v>50</v>
      </c>
      <c r="K1552" s="2" t="s">
        <v>51</v>
      </c>
      <c r="L1552" s="1">
        <v>465</v>
      </c>
      <c r="M1552" s="1">
        <v>3</v>
      </c>
      <c r="N1552" s="1" t="str">
        <f t="shared" si="123"/>
        <v>Published</v>
      </c>
      <c r="O1552" s="1">
        <f t="shared" si="121"/>
        <v>13.95</v>
      </c>
      <c r="P1552" s="1">
        <v>70</v>
      </c>
      <c r="Q1552" s="1">
        <v>1010</v>
      </c>
      <c r="R1552" s="1" t="str">
        <f t="shared" si="124"/>
        <v>3</v>
      </c>
      <c r="S1552" s="1">
        <v>101</v>
      </c>
      <c r="T1552" s="1" t="str">
        <f t="shared" si="122"/>
        <v>3</v>
      </c>
      <c r="U1552" s="1">
        <v>-33.917335000000001</v>
      </c>
      <c r="V1552" s="3">
        <v>150.84819899999999</v>
      </c>
    </row>
    <row r="1553" spans="1:22" x14ac:dyDescent="0.35">
      <c r="A1553" s="22" t="s">
        <v>4549</v>
      </c>
      <c r="B1553" s="1" t="s">
        <v>4550</v>
      </c>
      <c r="C1553" s="1" t="s">
        <v>4551</v>
      </c>
      <c r="D1553" s="1" t="s">
        <v>837</v>
      </c>
      <c r="E1553" s="1" t="s">
        <v>838</v>
      </c>
      <c r="F1553" s="1" t="s">
        <v>47</v>
      </c>
      <c r="G1553" s="1">
        <f t="shared" si="120"/>
        <v>1</v>
      </c>
      <c r="H1553" s="1" t="s">
        <v>148</v>
      </c>
      <c r="I1553" s="1" t="s">
        <v>49</v>
      </c>
      <c r="J1553" s="23" t="s">
        <v>50</v>
      </c>
      <c r="K1553" s="2" t="s">
        <v>51</v>
      </c>
      <c r="L1553" s="1">
        <v>950</v>
      </c>
      <c r="M1553" s="1">
        <v>2</v>
      </c>
      <c r="N1553" s="1" t="str">
        <f t="shared" si="123"/>
        <v>Published</v>
      </c>
      <c r="O1553" s="1">
        <f t="shared" si="121"/>
        <v>19</v>
      </c>
      <c r="P1553" s="1">
        <v>68</v>
      </c>
      <c r="Q1553" s="1">
        <v>1125</v>
      </c>
      <c r="R1553" s="1" t="str">
        <f t="shared" si="124"/>
        <v>4</v>
      </c>
      <c r="S1553" s="1">
        <v>20</v>
      </c>
      <c r="T1553" s="1" t="str">
        <f t="shared" si="122"/>
        <v>4</v>
      </c>
      <c r="U1553" s="1">
        <v>-33.707397</v>
      </c>
      <c r="V1553" s="3">
        <v>150.91152500000001</v>
      </c>
    </row>
    <row r="1554" spans="1:22" x14ac:dyDescent="0.35">
      <c r="A1554" s="22" t="s">
        <v>4552</v>
      </c>
      <c r="B1554" s="1" t="s">
        <v>4553</v>
      </c>
      <c r="C1554" s="1" t="s">
        <v>4554</v>
      </c>
      <c r="D1554" s="1" t="s">
        <v>84</v>
      </c>
      <c r="E1554" s="1" t="s">
        <v>85</v>
      </c>
      <c r="F1554" s="1" t="s">
        <v>47</v>
      </c>
      <c r="G1554" s="1">
        <f t="shared" si="120"/>
        <v>1</v>
      </c>
      <c r="H1554" s="1" t="s">
        <v>86</v>
      </c>
      <c r="I1554" s="1" t="s">
        <v>49</v>
      </c>
      <c r="J1554" s="23" t="s">
        <v>50</v>
      </c>
      <c r="K1554" s="2" t="s">
        <v>51</v>
      </c>
      <c r="L1554" s="1">
        <v>483</v>
      </c>
      <c r="M1554" s="1">
        <v>7</v>
      </c>
      <c r="N1554" s="1" t="str">
        <f t="shared" si="123"/>
        <v>Published</v>
      </c>
      <c r="O1554" s="1">
        <f t="shared" si="121"/>
        <v>33.81</v>
      </c>
      <c r="P1554" s="1">
        <v>11</v>
      </c>
      <c r="Q1554" s="1">
        <v>1005</v>
      </c>
      <c r="R1554" s="1" t="str">
        <f t="shared" si="124"/>
        <v>3</v>
      </c>
      <c r="S1554" s="1">
        <v>86</v>
      </c>
      <c r="T1554" s="1" t="str">
        <f t="shared" si="122"/>
        <v>3</v>
      </c>
      <c r="U1554" s="1">
        <v>-34.578570769999999</v>
      </c>
      <c r="V1554" s="3">
        <v>150.75525279999999</v>
      </c>
    </row>
    <row r="1555" spans="1:22" x14ac:dyDescent="0.35">
      <c r="A1555" s="22" t="s">
        <v>4555</v>
      </c>
      <c r="B1555" s="1" t="s">
        <v>4556</v>
      </c>
      <c r="C1555" s="1" t="s">
        <v>4557</v>
      </c>
      <c r="D1555" s="1" t="s">
        <v>121</v>
      </c>
      <c r="E1555" s="1" t="s">
        <v>122</v>
      </c>
      <c r="F1555" s="1" t="s">
        <v>57</v>
      </c>
      <c r="G1555" s="1">
        <f t="shared" si="120"/>
        <v>2</v>
      </c>
      <c r="H1555" s="1" t="s">
        <v>86</v>
      </c>
      <c r="I1555" s="1" t="s">
        <v>49</v>
      </c>
      <c r="J1555" s="23" t="s">
        <v>50</v>
      </c>
      <c r="K1555" s="2" t="s">
        <v>51</v>
      </c>
      <c r="L1555" s="1">
        <v>666</v>
      </c>
      <c r="M1555" s="1">
        <v>6</v>
      </c>
      <c r="N1555" s="1" t="str">
        <f t="shared" si="123"/>
        <v>Published</v>
      </c>
      <c r="O1555" s="1">
        <f t="shared" si="121"/>
        <v>39.96</v>
      </c>
      <c r="P1555" s="1">
        <v>11</v>
      </c>
      <c r="Q1555" s="1">
        <v>1018</v>
      </c>
      <c r="R1555" s="1" t="str">
        <f t="shared" si="124"/>
        <v>3</v>
      </c>
      <c r="S1555" s="1">
        <v>87</v>
      </c>
      <c r="T1555" s="1" t="str">
        <f t="shared" si="122"/>
        <v>4</v>
      </c>
      <c r="U1555" s="1">
        <v>-34.228678000000002</v>
      </c>
      <c r="V1555" s="3">
        <v>150.684833</v>
      </c>
    </row>
    <row r="1556" spans="1:22" x14ac:dyDescent="0.35">
      <c r="A1556" s="22" t="s">
        <v>4558</v>
      </c>
      <c r="B1556" s="1" t="s">
        <v>4559</v>
      </c>
      <c r="C1556" s="1" t="s">
        <v>4560</v>
      </c>
      <c r="D1556" s="1" t="s">
        <v>678</v>
      </c>
      <c r="E1556" s="1" t="s">
        <v>181</v>
      </c>
      <c r="F1556" s="1" t="s">
        <v>47</v>
      </c>
      <c r="G1556" s="1">
        <f t="shared" si="120"/>
        <v>1</v>
      </c>
      <c r="H1556" s="1" t="s">
        <v>86</v>
      </c>
      <c r="I1556" s="1" t="s">
        <v>49</v>
      </c>
      <c r="J1556" s="23" t="s">
        <v>50</v>
      </c>
      <c r="K1556" s="2" t="s">
        <v>51</v>
      </c>
      <c r="L1556" s="1">
        <v>1407</v>
      </c>
      <c r="M1556" s="1">
        <v>4</v>
      </c>
      <c r="N1556" s="1" t="str">
        <f t="shared" si="123"/>
        <v>Published</v>
      </c>
      <c r="O1556" s="1">
        <f t="shared" si="121"/>
        <v>56.28</v>
      </c>
      <c r="P1556" s="1">
        <v>63</v>
      </c>
      <c r="Q1556" s="1">
        <v>1027</v>
      </c>
      <c r="R1556" s="1" t="str">
        <f t="shared" si="124"/>
        <v>3</v>
      </c>
      <c r="S1556" s="1">
        <v>78</v>
      </c>
      <c r="T1556" s="1" t="str">
        <f t="shared" si="122"/>
        <v>5</v>
      </c>
      <c r="U1556" s="1">
        <v>-33.997280000000003</v>
      </c>
      <c r="V1556" s="3">
        <v>150.73484999999999</v>
      </c>
    </row>
    <row r="1557" spans="1:22" x14ac:dyDescent="0.35">
      <c r="A1557" s="22" t="s">
        <v>4561</v>
      </c>
      <c r="B1557" s="1" t="s">
        <v>4562</v>
      </c>
      <c r="C1557" s="1" t="s">
        <v>2570</v>
      </c>
      <c r="D1557" s="1" t="s">
        <v>1502</v>
      </c>
      <c r="E1557" s="1" t="s">
        <v>46</v>
      </c>
      <c r="F1557" s="1" t="s">
        <v>47</v>
      </c>
      <c r="G1557" s="1">
        <f t="shared" si="120"/>
        <v>1</v>
      </c>
      <c r="H1557" s="1" t="s">
        <v>48</v>
      </c>
      <c r="I1557" s="1" t="s">
        <v>49</v>
      </c>
      <c r="J1557" s="23" t="s">
        <v>50</v>
      </c>
      <c r="K1557" s="2" t="s">
        <v>51</v>
      </c>
      <c r="L1557" s="1">
        <v>424</v>
      </c>
      <c r="M1557" s="1"/>
      <c r="N1557" s="1" t="str">
        <f t="shared" si="123"/>
        <v>Suppressed</v>
      </c>
      <c r="O1557" s="1" t="str">
        <f t="shared" si="121"/>
        <v/>
      </c>
      <c r="P1557" s="1">
        <v>85</v>
      </c>
      <c r="Q1557" s="1">
        <v>1104</v>
      </c>
      <c r="R1557" s="1" t="str">
        <f t="shared" si="124"/>
        <v>4</v>
      </c>
      <c r="S1557" s="1">
        <v>35</v>
      </c>
      <c r="T1557" s="1" t="str">
        <f t="shared" si="122"/>
        <v>3</v>
      </c>
      <c r="U1557" s="1">
        <v>-33.875168000000002</v>
      </c>
      <c r="V1557" s="3">
        <v>151.07942399999999</v>
      </c>
    </row>
    <row r="1558" spans="1:22" x14ac:dyDescent="0.35">
      <c r="A1558" s="22" t="s">
        <v>4563</v>
      </c>
      <c r="B1558" s="1" t="s">
        <v>4564</v>
      </c>
      <c r="C1558" s="1" t="s">
        <v>4565</v>
      </c>
      <c r="D1558" s="1" t="s">
        <v>837</v>
      </c>
      <c r="E1558" s="1" t="s">
        <v>838</v>
      </c>
      <c r="F1558" s="1" t="s">
        <v>47</v>
      </c>
      <c r="G1558" s="1">
        <f t="shared" si="120"/>
        <v>1</v>
      </c>
      <c r="H1558" s="1" t="s">
        <v>148</v>
      </c>
      <c r="I1558" s="1" t="s">
        <v>49</v>
      </c>
      <c r="J1558" s="23" t="s">
        <v>50</v>
      </c>
      <c r="K1558" s="2" t="s">
        <v>51</v>
      </c>
      <c r="L1558" s="1">
        <v>2030</v>
      </c>
      <c r="M1558" s="1">
        <v>0</v>
      </c>
      <c r="N1558" s="1" t="str">
        <f t="shared" si="123"/>
        <v>Published</v>
      </c>
      <c r="O1558" s="1">
        <f t="shared" si="121"/>
        <v>0</v>
      </c>
      <c r="P1558" s="1">
        <v>90</v>
      </c>
      <c r="Q1558" s="1">
        <v>1141</v>
      </c>
      <c r="R1558" s="1" t="str">
        <f t="shared" si="124"/>
        <v>4</v>
      </c>
      <c r="S1558" s="1">
        <v>2</v>
      </c>
      <c r="T1558" s="1" t="str">
        <f t="shared" si="122"/>
        <v>5</v>
      </c>
      <c r="U1558" s="1">
        <v>-33.703958999999998</v>
      </c>
      <c r="V1558" s="3">
        <v>150.89952500000001</v>
      </c>
    </row>
    <row r="1559" spans="1:22" x14ac:dyDescent="0.35">
      <c r="A1559" s="22" t="s">
        <v>4566</v>
      </c>
      <c r="B1559" s="1" t="s">
        <v>4567</v>
      </c>
      <c r="C1559" s="1" t="s">
        <v>4568</v>
      </c>
      <c r="D1559" s="1" t="s">
        <v>302</v>
      </c>
      <c r="E1559" s="1" t="s">
        <v>276</v>
      </c>
      <c r="F1559" s="1" t="s">
        <v>57</v>
      </c>
      <c r="G1559" s="1">
        <f t="shared" si="120"/>
        <v>2</v>
      </c>
      <c r="H1559" s="1" t="s">
        <v>58</v>
      </c>
      <c r="I1559" s="1" t="s">
        <v>49</v>
      </c>
      <c r="J1559" s="23" t="s">
        <v>50</v>
      </c>
      <c r="K1559" s="2" t="s">
        <v>51</v>
      </c>
      <c r="L1559" s="1">
        <v>395</v>
      </c>
      <c r="M1559" s="1">
        <v>14</v>
      </c>
      <c r="N1559" s="1" t="str">
        <f t="shared" si="123"/>
        <v>Published</v>
      </c>
      <c r="O1559" s="1">
        <f t="shared" si="121"/>
        <v>55.300000000000004</v>
      </c>
      <c r="P1559" s="1">
        <v>6</v>
      </c>
      <c r="Q1559" s="1">
        <v>1007</v>
      </c>
      <c r="R1559" s="1" t="str">
        <f t="shared" si="124"/>
        <v>3</v>
      </c>
      <c r="S1559" s="1">
        <v>78</v>
      </c>
      <c r="T1559" s="1" t="str">
        <f t="shared" si="122"/>
        <v>3</v>
      </c>
      <c r="U1559" s="1">
        <v>-31.568200000000001</v>
      </c>
      <c r="V1559" s="3">
        <v>152.8278</v>
      </c>
    </row>
    <row r="1560" spans="1:22" x14ac:dyDescent="0.35">
      <c r="A1560" s="22" t="s">
        <v>4569</v>
      </c>
      <c r="B1560" s="1" t="s">
        <v>4570</v>
      </c>
      <c r="C1560" s="1" t="s">
        <v>4571</v>
      </c>
      <c r="D1560" s="1" t="s">
        <v>45</v>
      </c>
      <c r="E1560" s="1" t="s">
        <v>46</v>
      </c>
      <c r="F1560" s="1" t="s">
        <v>47</v>
      </c>
      <c r="G1560" s="1">
        <f t="shared" si="120"/>
        <v>1</v>
      </c>
      <c r="H1560" s="1" t="s">
        <v>48</v>
      </c>
      <c r="I1560" s="1" t="s">
        <v>49</v>
      </c>
      <c r="J1560" s="23" t="s">
        <v>50</v>
      </c>
      <c r="K1560" s="2" t="s">
        <v>51</v>
      </c>
      <c r="L1560" s="1">
        <v>340</v>
      </c>
      <c r="M1560" s="1"/>
      <c r="N1560" s="1" t="str">
        <f t="shared" si="123"/>
        <v>Suppressed</v>
      </c>
      <c r="O1560" s="1" t="str">
        <f t="shared" si="121"/>
        <v/>
      </c>
      <c r="P1560" s="1">
        <v>82</v>
      </c>
      <c r="Q1560" s="1">
        <v>1071</v>
      </c>
      <c r="R1560" s="1" t="str">
        <f t="shared" si="124"/>
        <v>3</v>
      </c>
      <c r="S1560" s="1">
        <v>36</v>
      </c>
      <c r="T1560" s="1" t="str">
        <f t="shared" si="122"/>
        <v>3</v>
      </c>
      <c r="U1560" s="1">
        <v>-33.847748000000003</v>
      </c>
      <c r="V1560" s="3">
        <v>151.08337900000001</v>
      </c>
    </row>
    <row r="1561" spans="1:22" x14ac:dyDescent="0.35">
      <c r="A1561" s="22" t="s">
        <v>4572</v>
      </c>
      <c r="B1561" s="1" t="s">
        <v>4573</v>
      </c>
      <c r="C1561" s="1" t="s">
        <v>4574</v>
      </c>
      <c r="D1561" s="1" t="s">
        <v>685</v>
      </c>
      <c r="E1561" s="1" t="s">
        <v>147</v>
      </c>
      <c r="F1561" s="1" t="s">
        <v>47</v>
      </c>
      <c r="G1561" s="1">
        <f t="shared" si="120"/>
        <v>1</v>
      </c>
      <c r="H1561" s="1" t="s">
        <v>148</v>
      </c>
      <c r="I1561" s="1" t="s">
        <v>49</v>
      </c>
      <c r="J1561" s="23" t="s">
        <v>50</v>
      </c>
      <c r="K1561" s="2" t="s">
        <v>51</v>
      </c>
      <c r="L1561" s="1">
        <v>720</v>
      </c>
      <c r="M1561" s="1"/>
      <c r="N1561" s="1" t="str">
        <f t="shared" si="123"/>
        <v>Suppressed</v>
      </c>
      <c r="O1561" s="1" t="str">
        <f t="shared" si="121"/>
        <v/>
      </c>
      <c r="P1561" s="1">
        <v>51</v>
      </c>
      <c r="Q1561" s="1">
        <v>1147</v>
      </c>
      <c r="R1561" s="1" t="str">
        <f t="shared" si="124"/>
        <v>4</v>
      </c>
      <c r="S1561" s="1">
        <v>7</v>
      </c>
      <c r="T1561" s="1" t="str">
        <f t="shared" si="122"/>
        <v>4</v>
      </c>
      <c r="U1561" s="1">
        <v>-33.826566</v>
      </c>
      <c r="V1561" s="3">
        <v>151.21073100000001</v>
      </c>
    </row>
    <row r="1562" spans="1:22" x14ac:dyDescent="0.35">
      <c r="A1562" s="22" t="s">
        <v>4575</v>
      </c>
      <c r="B1562" s="1" t="s">
        <v>4576</v>
      </c>
      <c r="C1562" s="1" t="s">
        <v>4577</v>
      </c>
      <c r="D1562" s="1" t="s">
        <v>678</v>
      </c>
      <c r="E1562" s="1" t="s">
        <v>122</v>
      </c>
      <c r="F1562" s="1" t="s">
        <v>47</v>
      </c>
      <c r="G1562" s="1">
        <f t="shared" si="120"/>
        <v>1</v>
      </c>
      <c r="H1562" s="1" t="s">
        <v>86</v>
      </c>
      <c r="I1562" s="1" t="s">
        <v>49</v>
      </c>
      <c r="J1562" s="23" t="s">
        <v>50</v>
      </c>
      <c r="K1562" s="2" t="s">
        <v>51</v>
      </c>
      <c r="L1562" s="1">
        <v>866</v>
      </c>
      <c r="M1562" s="1">
        <v>9</v>
      </c>
      <c r="N1562" s="1" t="str">
        <f t="shared" si="123"/>
        <v>Published</v>
      </c>
      <c r="O1562" s="1">
        <f t="shared" si="121"/>
        <v>77.94</v>
      </c>
      <c r="P1562" s="1">
        <v>28</v>
      </c>
      <c r="Q1562" s="1">
        <v>1009</v>
      </c>
      <c r="R1562" s="1" t="str">
        <f t="shared" si="124"/>
        <v>3</v>
      </c>
      <c r="S1562" s="1">
        <v>91</v>
      </c>
      <c r="T1562" s="1" t="str">
        <f t="shared" si="122"/>
        <v>4</v>
      </c>
      <c r="U1562" s="1">
        <v>-34.069637999999998</v>
      </c>
      <c r="V1562" s="3">
        <v>150.714957</v>
      </c>
    </row>
    <row r="1563" spans="1:22" x14ac:dyDescent="0.35">
      <c r="A1563" s="22" t="s">
        <v>4578</v>
      </c>
      <c r="B1563" s="1" t="s">
        <v>4579</v>
      </c>
      <c r="C1563" s="1" t="s">
        <v>1775</v>
      </c>
      <c r="D1563" s="1" t="s">
        <v>1776</v>
      </c>
      <c r="E1563" s="1" t="s">
        <v>147</v>
      </c>
      <c r="F1563" s="1" t="s">
        <v>47</v>
      </c>
      <c r="G1563" s="1">
        <f t="shared" si="120"/>
        <v>1</v>
      </c>
      <c r="H1563" s="1" t="s">
        <v>148</v>
      </c>
      <c r="I1563" s="1" t="s">
        <v>132</v>
      </c>
      <c r="J1563" s="23" t="s">
        <v>50</v>
      </c>
      <c r="K1563" s="2" t="s">
        <v>51</v>
      </c>
      <c r="L1563" s="1">
        <v>801.5</v>
      </c>
      <c r="M1563" s="1">
        <v>1</v>
      </c>
      <c r="N1563" s="1" t="str">
        <f t="shared" si="123"/>
        <v>Published</v>
      </c>
      <c r="O1563" s="1">
        <f t="shared" si="121"/>
        <v>8.0150000000000006</v>
      </c>
      <c r="P1563" s="1">
        <v>45</v>
      </c>
      <c r="Q1563" s="1">
        <v>1152</v>
      </c>
      <c r="R1563" s="1" t="str">
        <f t="shared" si="124"/>
        <v>4</v>
      </c>
      <c r="S1563" s="1">
        <v>5</v>
      </c>
      <c r="T1563" s="1" t="str">
        <f t="shared" si="122"/>
        <v>4</v>
      </c>
      <c r="U1563" s="1">
        <v>-33.790061999999999</v>
      </c>
      <c r="V1563" s="3">
        <v>151.16050899999999</v>
      </c>
    </row>
    <row r="1564" spans="1:22" x14ac:dyDescent="0.35">
      <c r="A1564" s="22" t="s">
        <v>4580</v>
      </c>
      <c r="B1564" s="1" t="s">
        <v>4581</v>
      </c>
      <c r="C1564" s="1" t="s">
        <v>4582</v>
      </c>
      <c r="D1564" s="1" t="s">
        <v>106</v>
      </c>
      <c r="E1564" s="1" t="s">
        <v>107</v>
      </c>
      <c r="F1564" s="1" t="s">
        <v>57</v>
      </c>
      <c r="G1564" s="1">
        <f t="shared" si="120"/>
        <v>2</v>
      </c>
      <c r="H1564" s="1" t="s">
        <v>92</v>
      </c>
      <c r="I1564" s="1" t="s">
        <v>4583</v>
      </c>
      <c r="J1564" s="23" t="s">
        <v>50</v>
      </c>
      <c r="K1564" s="2" t="s">
        <v>51</v>
      </c>
      <c r="L1564" s="1">
        <v>77.2</v>
      </c>
      <c r="M1564" s="1">
        <v>33</v>
      </c>
      <c r="N1564" s="1" t="str">
        <f t="shared" si="123"/>
        <v>Published</v>
      </c>
      <c r="O1564" s="1">
        <f t="shared" si="121"/>
        <v>25.476000000000003</v>
      </c>
      <c r="P1564" s="1">
        <v>11</v>
      </c>
      <c r="Q1564" s="1">
        <v>896</v>
      </c>
      <c r="R1564" s="1" t="str">
        <f t="shared" si="124"/>
        <v>1</v>
      </c>
      <c r="S1564" s="1">
        <v>156</v>
      </c>
      <c r="T1564" s="1" t="str">
        <f t="shared" si="122"/>
        <v>1</v>
      </c>
      <c r="U1564" s="1">
        <v>-28.849756419999999</v>
      </c>
      <c r="V1564" s="3">
        <v>153.5858174</v>
      </c>
    </row>
    <row r="1565" spans="1:22" x14ac:dyDescent="0.35">
      <c r="A1565" s="22" t="s">
        <v>4584</v>
      </c>
      <c r="B1565" s="1" t="s">
        <v>4585</v>
      </c>
      <c r="C1565" s="1" t="s">
        <v>2266</v>
      </c>
      <c r="D1565" s="1" t="s">
        <v>642</v>
      </c>
      <c r="E1565" s="1" t="s">
        <v>170</v>
      </c>
      <c r="F1565" s="1" t="s">
        <v>47</v>
      </c>
      <c r="G1565" s="1">
        <f t="shared" si="120"/>
        <v>1</v>
      </c>
      <c r="H1565" s="1" t="s">
        <v>48</v>
      </c>
      <c r="I1565" s="1" t="s">
        <v>49</v>
      </c>
      <c r="J1565" s="23" t="s">
        <v>50</v>
      </c>
      <c r="K1565" s="2" t="s">
        <v>51</v>
      </c>
      <c r="L1565" s="1">
        <v>663</v>
      </c>
      <c r="M1565" s="1">
        <v>1</v>
      </c>
      <c r="N1565" s="1" t="str">
        <f t="shared" si="123"/>
        <v>Published</v>
      </c>
      <c r="O1565" s="1">
        <f t="shared" si="121"/>
        <v>6.63</v>
      </c>
      <c r="P1565" s="1">
        <v>92</v>
      </c>
      <c r="Q1565" s="1">
        <v>1108</v>
      </c>
      <c r="R1565" s="1" t="str">
        <f t="shared" si="124"/>
        <v>4</v>
      </c>
      <c r="S1565" s="1">
        <v>22</v>
      </c>
      <c r="T1565" s="1" t="str">
        <f t="shared" si="122"/>
        <v>4</v>
      </c>
      <c r="U1565" s="1">
        <v>-33.809930000000001</v>
      </c>
      <c r="V1565" s="3">
        <v>151.00126399999999</v>
      </c>
    </row>
    <row r="1566" spans="1:22" x14ac:dyDescent="0.35">
      <c r="A1566" s="22" t="s">
        <v>4586</v>
      </c>
      <c r="B1566" s="1" t="s">
        <v>4587</v>
      </c>
      <c r="C1566" s="1" t="s">
        <v>2371</v>
      </c>
      <c r="D1566" s="1" t="s">
        <v>558</v>
      </c>
      <c r="E1566" s="1" t="s">
        <v>68</v>
      </c>
      <c r="F1566" s="1" t="s">
        <v>47</v>
      </c>
      <c r="G1566" s="1">
        <f t="shared" si="120"/>
        <v>1</v>
      </c>
      <c r="H1566" s="1" t="s">
        <v>70</v>
      </c>
      <c r="I1566" s="1" t="s">
        <v>132</v>
      </c>
      <c r="J1566" s="23" t="s">
        <v>50</v>
      </c>
      <c r="K1566" s="2" t="s">
        <v>51</v>
      </c>
      <c r="L1566" s="1">
        <v>82.9</v>
      </c>
      <c r="M1566" s="1">
        <v>10</v>
      </c>
      <c r="N1566" s="1" t="str">
        <f t="shared" si="123"/>
        <v>Published</v>
      </c>
      <c r="O1566" s="1">
        <f t="shared" si="121"/>
        <v>8.2900000000000009</v>
      </c>
      <c r="P1566" s="1">
        <v>19</v>
      </c>
      <c r="Q1566" s="1">
        <v>1067</v>
      </c>
      <c r="R1566" s="1" t="str">
        <f t="shared" si="124"/>
        <v>3</v>
      </c>
      <c r="S1566" s="1">
        <v>66</v>
      </c>
      <c r="T1566" s="1" t="str">
        <f t="shared" si="122"/>
        <v>1</v>
      </c>
      <c r="U1566" s="1">
        <v>-35.354008999999998</v>
      </c>
      <c r="V1566" s="3">
        <v>149.22151199999999</v>
      </c>
    </row>
    <row r="1567" spans="1:22" x14ac:dyDescent="0.35">
      <c r="A1567" s="22" t="s">
        <v>4588</v>
      </c>
      <c r="B1567" s="1" t="s">
        <v>4589</v>
      </c>
      <c r="C1567" s="1" t="s">
        <v>4590</v>
      </c>
      <c r="D1567" s="1" t="s">
        <v>642</v>
      </c>
      <c r="E1567" s="1" t="s">
        <v>170</v>
      </c>
      <c r="F1567" s="1" t="s">
        <v>47</v>
      </c>
      <c r="G1567" s="1">
        <f t="shared" si="120"/>
        <v>1</v>
      </c>
      <c r="H1567" s="1" t="s">
        <v>48</v>
      </c>
      <c r="I1567" s="1" t="s">
        <v>49</v>
      </c>
      <c r="J1567" s="23" t="s">
        <v>50</v>
      </c>
      <c r="K1567" s="2" t="s">
        <v>51</v>
      </c>
      <c r="L1567" s="1">
        <v>672</v>
      </c>
      <c r="M1567" s="1"/>
      <c r="N1567" s="1" t="str">
        <f t="shared" si="123"/>
        <v>Suppressed</v>
      </c>
      <c r="O1567" s="1" t="str">
        <f t="shared" si="121"/>
        <v/>
      </c>
      <c r="P1567" s="1">
        <v>89</v>
      </c>
      <c r="Q1567" s="1">
        <v>1045</v>
      </c>
      <c r="R1567" s="1" t="str">
        <f t="shared" si="124"/>
        <v>3</v>
      </c>
      <c r="S1567" s="1">
        <v>82</v>
      </c>
      <c r="T1567" s="1" t="str">
        <f t="shared" si="122"/>
        <v>4</v>
      </c>
      <c r="U1567" s="1">
        <v>-33.823709000000001</v>
      </c>
      <c r="V1567" s="3">
        <v>151.08011300000001</v>
      </c>
    </row>
    <row r="1568" spans="1:22" x14ac:dyDescent="0.35">
      <c r="A1568" s="22" t="s">
        <v>4591</v>
      </c>
      <c r="B1568" s="1" t="s">
        <v>4592</v>
      </c>
      <c r="C1568" s="1" t="s">
        <v>4593</v>
      </c>
      <c r="D1568" s="1" t="s">
        <v>761</v>
      </c>
      <c r="E1568" s="1" t="s">
        <v>127</v>
      </c>
      <c r="F1568" s="1" t="s">
        <v>47</v>
      </c>
      <c r="G1568" s="1">
        <f t="shared" si="120"/>
        <v>1</v>
      </c>
      <c r="H1568" s="1" t="s">
        <v>148</v>
      </c>
      <c r="I1568" s="1" t="s">
        <v>49</v>
      </c>
      <c r="J1568" s="23" t="s">
        <v>50</v>
      </c>
      <c r="K1568" s="2" t="s">
        <v>51</v>
      </c>
      <c r="L1568" s="1">
        <v>1104</v>
      </c>
      <c r="M1568" s="1"/>
      <c r="N1568" s="1" t="str">
        <f t="shared" si="123"/>
        <v>Suppressed</v>
      </c>
      <c r="O1568" s="1" t="str">
        <f t="shared" si="121"/>
        <v/>
      </c>
      <c r="P1568" s="1">
        <v>77</v>
      </c>
      <c r="Q1568" s="1">
        <v>1147</v>
      </c>
      <c r="R1568" s="1" t="str">
        <f t="shared" si="124"/>
        <v>4</v>
      </c>
      <c r="S1568" s="1">
        <v>4</v>
      </c>
      <c r="T1568" s="1" t="str">
        <f t="shared" si="122"/>
        <v>5</v>
      </c>
      <c r="U1568" s="1">
        <v>-33.726556000000002</v>
      </c>
      <c r="V1568" s="3">
        <v>150.95499100000001</v>
      </c>
    </row>
    <row r="1569" spans="1:22" x14ac:dyDescent="0.35">
      <c r="A1569" s="22" t="s">
        <v>4594</v>
      </c>
      <c r="B1569" s="1" t="s">
        <v>4595</v>
      </c>
      <c r="C1569" s="1" t="s">
        <v>4596</v>
      </c>
      <c r="D1569" s="1" t="s">
        <v>761</v>
      </c>
      <c r="E1569" s="1" t="s">
        <v>127</v>
      </c>
      <c r="F1569" s="1" t="s">
        <v>47</v>
      </c>
      <c r="G1569" s="1">
        <f t="shared" si="120"/>
        <v>1</v>
      </c>
      <c r="H1569" s="1" t="s">
        <v>148</v>
      </c>
      <c r="I1569" s="1" t="s">
        <v>49</v>
      </c>
      <c r="J1569" s="23" t="s">
        <v>50</v>
      </c>
      <c r="K1569" s="2" t="s">
        <v>51</v>
      </c>
      <c r="L1569" s="1">
        <v>1068</v>
      </c>
      <c r="M1569" s="1"/>
      <c r="N1569" s="1" t="str">
        <f t="shared" si="123"/>
        <v>Suppressed</v>
      </c>
      <c r="O1569" s="1" t="str">
        <f t="shared" si="121"/>
        <v/>
      </c>
      <c r="P1569" s="1">
        <v>69</v>
      </c>
      <c r="Q1569" s="1">
        <v>1112</v>
      </c>
      <c r="R1569" s="1" t="str">
        <f t="shared" si="124"/>
        <v>4</v>
      </c>
      <c r="S1569" s="1">
        <v>22</v>
      </c>
      <c r="T1569" s="1" t="str">
        <f t="shared" si="122"/>
        <v>5</v>
      </c>
      <c r="U1569" s="1">
        <v>-33.691336999999997</v>
      </c>
      <c r="V1569" s="3">
        <v>150.95505900000001</v>
      </c>
    </row>
    <row r="1570" spans="1:22" x14ac:dyDescent="0.35">
      <c r="A1570" s="22" t="s">
        <v>4597</v>
      </c>
      <c r="B1570" s="1" t="s">
        <v>4598</v>
      </c>
      <c r="C1570" s="1" t="s">
        <v>4599</v>
      </c>
      <c r="D1570" s="1" t="s">
        <v>678</v>
      </c>
      <c r="E1570" s="1" t="s">
        <v>181</v>
      </c>
      <c r="F1570" s="1" t="s">
        <v>47</v>
      </c>
      <c r="G1570" s="1">
        <f t="shared" si="120"/>
        <v>1</v>
      </c>
      <c r="H1570" s="1" t="s">
        <v>86</v>
      </c>
      <c r="I1570" s="1" t="s">
        <v>49</v>
      </c>
      <c r="J1570" s="23" t="s">
        <v>50</v>
      </c>
      <c r="K1570" s="2" t="s">
        <v>51</v>
      </c>
      <c r="L1570" s="1">
        <v>976</v>
      </c>
      <c r="M1570" s="1">
        <v>3</v>
      </c>
      <c r="N1570" s="1" t="str">
        <f t="shared" si="123"/>
        <v>Published</v>
      </c>
      <c r="O1570" s="1">
        <f t="shared" si="121"/>
        <v>29.279999999999998</v>
      </c>
      <c r="P1570" s="1">
        <v>51</v>
      </c>
      <c r="Q1570" s="1">
        <v>1038</v>
      </c>
      <c r="R1570" s="1" t="str">
        <f t="shared" si="124"/>
        <v>3</v>
      </c>
      <c r="S1570" s="1">
        <v>73</v>
      </c>
      <c r="T1570" s="1" t="str">
        <f t="shared" si="122"/>
        <v>4</v>
      </c>
      <c r="U1570" s="1">
        <v>-34.012230000000002</v>
      </c>
      <c r="V1570" s="3">
        <v>150.776555</v>
      </c>
    </row>
    <row r="1571" spans="1:22" x14ac:dyDescent="0.35">
      <c r="A1571" s="22" t="s">
        <v>4600</v>
      </c>
      <c r="B1571" s="1" t="s">
        <v>4601</v>
      </c>
      <c r="C1571" s="1" t="s">
        <v>4602</v>
      </c>
      <c r="D1571" s="1" t="s">
        <v>1155</v>
      </c>
      <c r="E1571" s="1" t="s">
        <v>306</v>
      </c>
      <c r="F1571" s="1" t="s">
        <v>47</v>
      </c>
      <c r="G1571" s="1">
        <f t="shared" si="120"/>
        <v>1</v>
      </c>
      <c r="H1571" s="1" t="s">
        <v>148</v>
      </c>
      <c r="I1571" s="1" t="s">
        <v>49</v>
      </c>
      <c r="J1571" s="23" t="s">
        <v>50</v>
      </c>
      <c r="K1571" s="2" t="s">
        <v>51</v>
      </c>
      <c r="L1571" s="1">
        <v>494</v>
      </c>
      <c r="M1571" s="1">
        <v>2</v>
      </c>
      <c r="N1571" s="1" t="str">
        <f t="shared" si="123"/>
        <v>Published</v>
      </c>
      <c r="O1571" s="1">
        <f t="shared" si="121"/>
        <v>9.8800000000000008</v>
      </c>
      <c r="P1571" s="1">
        <v>63</v>
      </c>
      <c r="Q1571" s="1">
        <v>1114</v>
      </c>
      <c r="R1571" s="1" t="str">
        <f t="shared" si="124"/>
        <v>4</v>
      </c>
      <c r="S1571" s="1">
        <v>26</v>
      </c>
      <c r="T1571" s="1" t="str">
        <f t="shared" si="122"/>
        <v>3</v>
      </c>
      <c r="U1571" s="1">
        <v>-33.799393000000002</v>
      </c>
      <c r="V1571" s="3">
        <v>151.109465</v>
      </c>
    </row>
    <row r="1572" spans="1:22" x14ac:dyDescent="0.35">
      <c r="A1572" s="22" t="s">
        <v>4603</v>
      </c>
      <c r="B1572" s="1" t="s">
        <v>4604</v>
      </c>
      <c r="C1572" s="1" t="s">
        <v>4605</v>
      </c>
      <c r="D1572" s="1" t="s">
        <v>1131</v>
      </c>
      <c r="E1572" s="1" t="s">
        <v>429</v>
      </c>
      <c r="F1572" s="1" t="s">
        <v>47</v>
      </c>
      <c r="G1572" s="1">
        <f t="shared" si="120"/>
        <v>1</v>
      </c>
      <c r="H1572" s="1" t="s">
        <v>148</v>
      </c>
      <c r="I1572" s="1" t="s">
        <v>49</v>
      </c>
      <c r="J1572" s="23" t="s">
        <v>50</v>
      </c>
      <c r="K1572" s="2" t="s">
        <v>51</v>
      </c>
      <c r="L1572" s="1">
        <v>1119</v>
      </c>
      <c r="M1572" s="1">
        <v>9</v>
      </c>
      <c r="N1572" s="1" t="str">
        <f t="shared" si="123"/>
        <v>Published</v>
      </c>
      <c r="O1572" s="1">
        <f t="shared" si="121"/>
        <v>100.71</v>
      </c>
      <c r="P1572" s="1">
        <v>46</v>
      </c>
      <c r="Q1572" s="1">
        <v>1017</v>
      </c>
      <c r="R1572" s="1" t="str">
        <f t="shared" si="124"/>
        <v>3</v>
      </c>
      <c r="S1572" s="1">
        <v>74</v>
      </c>
      <c r="T1572" s="1" t="str">
        <f t="shared" si="122"/>
        <v>5</v>
      </c>
      <c r="U1572" s="1">
        <v>-33.724924000000001</v>
      </c>
      <c r="V1572" s="3">
        <v>150.725931</v>
      </c>
    </row>
    <row r="1573" spans="1:22" x14ac:dyDescent="0.35">
      <c r="A1573" s="22" t="s">
        <v>4606</v>
      </c>
      <c r="B1573" s="1" t="s">
        <v>4607</v>
      </c>
      <c r="C1573" s="1" t="s">
        <v>2501</v>
      </c>
      <c r="D1573" s="1" t="s">
        <v>837</v>
      </c>
      <c r="E1573" s="1" t="s">
        <v>838</v>
      </c>
      <c r="F1573" s="1" t="s">
        <v>47</v>
      </c>
      <c r="G1573" s="1">
        <f t="shared" si="120"/>
        <v>1</v>
      </c>
      <c r="H1573" s="1" t="s">
        <v>148</v>
      </c>
      <c r="I1573" s="1" t="s">
        <v>49</v>
      </c>
      <c r="J1573" s="23" t="s">
        <v>50</v>
      </c>
      <c r="K1573" s="2" t="s">
        <v>51</v>
      </c>
      <c r="L1573" s="1">
        <v>882</v>
      </c>
      <c r="M1573" s="1">
        <v>2</v>
      </c>
      <c r="N1573" s="1" t="str">
        <f t="shared" si="123"/>
        <v>Published</v>
      </c>
      <c r="O1573" s="1">
        <f t="shared" si="121"/>
        <v>17.64</v>
      </c>
      <c r="P1573" s="1">
        <v>85</v>
      </c>
      <c r="Q1573" s="1">
        <v>1106</v>
      </c>
      <c r="R1573" s="1" t="str">
        <f t="shared" si="124"/>
        <v>4</v>
      </c>
      <c r="S1573" s="1">
        <v>18</v>
      </c>
      <c r="T1573" s="1" t="str">
        <f t="shared" si="122"/>
        <v>4</v>
      </c>
      <c r="U1573" s="1">
        <v>-33.700355000000002</v>
      </c>
      <c r="V1573" s="3">
        <v>150.880515</v>
      </c>
    </row>
    <row r="1574" spans="1:22" x14ac:dyDescent="0.35">
      <c r="A1574" s="22" t="s">
        <v>4608</v>
      </c>
      <c r="B1574" s="1" t="s">
        <v>4609</v>
      </c>
      <c r="C1574" s="1" t="s">
        <v>4560</v>
      </c>
      <c r="D1574" s="1" t="s">
        <v>678</v>
      </c>
      <c r="E1574" s="1" t="s">
        <v>181</v>
      </c>
      <c r="F1574" s="1" t="s">
        <v>47</v>
      </c>
      <c r="G1574" s="1">
        <f t="shared" si="120"/>
        <v>1</v>
      </c>
      <c r="H1574" s="1" t="s">
        <v>86</v>
      </c>
      <c r="I1574" s="1" t="s">
        <v>49</v>
      </c>
      <c r="J1574" s="23" t="s">
        <v>50</v>
      </c>
      <c r="K1574" s="2" t="s">
        <v>51</v>
      </c>
      <c r="L1574" s="1">
        <v>1182</v>
      </c>
      <c r="M1574" s="1">
        <v>4</v>
      </c>
      <c r="N1574" s="1" t="str">
        <f t="shared" si="123"/>
        <v>Published</v>
      </c>
      <c r="O1574" s="1">
        <f t="shared" si="121"/>
        <v>47.28</v>
      </c>
      <c r="P1574" s="1">
        <v>61</v>
      </c>
      <c r="Q1574" s="1">
        <v>1044</v>
      </c>
      <c r="R1574" s="1" t="str">
        <f t="shared" si="124"/>
        <v>3</v>
      </c>
      <c r="S1574" s="1">
        <v>66</v>
      </c>
      <c r="T1574" s="1" t="str">
        <f t="shared" si="122"/>
        <v>5</v>
      </c>
      <c r="U1574" s="1">
        <v>-34.006959000000002</v>
      </c>
      <c r="V1574" s="3">
        <v>150.74903800000001</v>
      </c>
    </row>
    <row r="1575" spans="1:22" x14ac:dyDescent="0.35">
      <c r="A1575" s="22" t="s">
        <v>4610</v>
      </c>
      <c r="B1575" s="1" t="s">
        <v>4611</v>
      </c>
      <c r="C1575" s="1" t="s">
        <v>4612</v>
      </c>
      <c r="D1575" s="1" t="s">
        <v>689</v>
      </c>
      <c r="E1575" s="1" t="s">
        <v>122</v>
      </c>
      <c r="F1575" s="1" t="s">
        <v>47</v>
      </c>
      <c r="G1575" s="1">
        <f t="shared" si="120"/>
        <v>1</v>
      </c>
      <c r="H1575" s="1" t="s">
        <v>182</v>
      </c>
      <c r="I1575" s="1" t="s">
        <v>49</v>
      </c>
      <c r="J1575" s="23" t="s">
        <v>50</v>
      </c>
      <c r="K1575" s="2" t="s">
        <v>51</v>
      </c>
      <c r="L1575" s="1">
        <v>826</v>
      </c>
      <c r="M1575" s="1">
        <v>2</v>
      </c>
      <c r="N1575" s="1" t="str">
        <f t="shared" si="123"/>
        <v>Published</v>
      </c>
      <c r="O1575" s="1">
        <f t="shared" si="121"/>
        <v>16.52</v>
      </c>
      <c r="P1575" s="1">
        <v>88</v>
      </c>
      <c r="Q1575" s="1">
        <v>1068</v>
      </c>
      <c r="R1575" s="1" t="str">
        <f t="shared" si="124"/>
        <v>3</v>
      </c>
      <c r="S1575" s="1">
        <v>49</v>
      </c>
      <c r="T1575" s="1" t="str">
        <f t="shared" si="122"/>
        <v>4</v>
      </c>
      <c r="U1575" s="1">
        <v>-33.982500000000002</v>
      </c>
      <c r="V1575" s="3">
        <v>150.81540000000001</v>
      </c>
    </row>
    <row r="1576" spans="1:22" x14ac:dyDescent="0.35">
      <c r="A1576" s="22" t="s">
        <v>4613</v>
      </c>
      <c r="B1576" s="1" t="s">
        <v>4614</v>
      </c>
      <c r="C1576" s="1" t="s">
        <v>4615</v>
      </c>
      <c r="D1576" s="1" t="s">
        <v>837</v>
      </c>
      <c r="E1576" s="1" t="s">
        <v>838</v>
      </c>
      <c r="F1576" s="1" t="s">
        <v>47</v>
      </c>
      <c r="G1576" s="1">
        <f t="shared" si="120"/>
        <v>1</v>
      </c>
      <c r="H1576" s="1" t="s">
        <v>148</v>
      </c>
      <c r="I1576" s="1" t="s">
        <v>49</v>
      </c>
      <c r="J1576" s="23" t="s">
        <v>50</v>
      </c>
      <c r="K1576" s="2" t="s">
        <v>51</v>
      </c>
      <c r="L1576" s="1">
        <v>1711</v>
      </c>
      <c r="M1576" s="1">
        <v>1</v>
      </c>
      <c r="N1576" s="1" t="str">
        <f t="shared" si="123"/>
        <v>Published</v>
      </c>
      <c r="O1576" s="1">
        <f t="shared" si="121"/>
        <v>17.11</v>
      </c>
      <c r="P1576" s="1">
        <v>85</v>
      </c>
      <c r="Q1576" s="1">
        <v>1095</v>
      </c>
      <c r="R1576" s="1" t="str">
        <f t="shared" si="124"/>
        <v>3</v>
      </c>
      <c r="S1576" s="1">
        <v>25</v>
      </c>
      <c r="T1576" s="1" t="str">
        <f t="shared" si="122"/>
        <v>5</v>
      </c>
      <c r="U1576" s="1">
        <v>-33.689086600000003</v>
      </c>
      <c r="V1576" s="3">
        <v>150.8186977</v>
      </c>
    </row>
    <row r="1577" spans="1:22" x14ac:dyDescent="0.35">
      <c r="A1577" s="22" t="s">
        <v>4616</v>
      </c>
      <c r="B1577" s="1" t="s">
        <v>4617</v>
      </c>
      <c r="C1577" s="1" t="s">
        <v>713</v>
      </c>
      <c r="D1577" s="1" t="s">
        <v>713</v>
      </c>
      <c r="E1577" s="1" t="s">
        <v>80</v>
      </c>
      <c r="F1577" s="1" t="s">
        <v>57</v>
      </c>
      <c r="G1577" s="1">
        <f t="shared" si="120"/>
        <v>2</v>
      </c>
      <c r="H1577" s="1" t="s">
        <v>70</v>
      </c>
      <c r="I1577" s="1" t="s">
        <v>49</v>
      </c>
      <c r="J1577" s="23" t="s">
        <v>50</v>
      </c>
      <c r="K1577" s="2" t="s">
        <v>51</v>
      </c>
      <c r="L1577" s="1">
        <v>402</v>
      </c>
      <c r="M1577" s="1">
        <v>10</v>
      </c>
      <c r="N1577" s="1" t="str">
        <f t="shared" si="123"/>
        <v>Published</v>
      </c>
      <c r="O1577" s="1">
        <f t="shared" si="121"/>
        <v>40.200000000000003</v>
      </c>
      <c r="P1577" s="1">
        <v>29</v>
      </c>
      <c r="Q1577" s="1">
        <v>1019</v>
      </c>
      <c r="R1577" s="1" t="str">
        <f t="shared" si="124"/>
        <v>3</v>
      </c>
      <c r="S1577" s="1">
        <v>74</v>
      </c>
      <c r="T1577" s="1" t="str">
        <f t="shared" si="122"/>
        <v>3</v>
      </c>
      <c r="U1577" s="1">
        <v>-35.067399999999999</v>
      </c>
      <c r="V1577" s="3">
        <v>147.35300000000001</v>
      </c>
    </row>
    <row r="1578" spans="1:22" x14ac:dyDescent="0.35">
      <c r="A1578" s="22" t="s">
        <v>4618</v>
      </c>
      <c r="B1578" s="1" t="s">
        <v>4619</v>
      </c>
      <c r="C1578" s="1" t="s">
        <v>4620</v>
      </c>
      <c r="D1578" s="1" t="s">
        <v>186</v>
      </c>
      <c r="E1578" s="1" t="s">
        <v>187</v>
      </c>
      <c r="F1578" s="1" t="s">
        <v>47</v>
      </c>
      <c r="G1578" s="1">
        <f t="shared" si="120"/>
        <v>1</v>
      </c>
      <c r="H1578" s="1" t="s">
        <v>63</v>
      </c>
      <c r="I1578" s="1" t="s">
        <v>49</v>
      </c>
      <c r="J1578" s="23" t="s">
        <v>50</v>
      </c>
      <c r="K1578" s="2" t="s">
        <v>51</v>
      </c>
      <c r="L1578" s="1">
        <v>317</v>
      </c>
      <c r="M1578" s="1">
        <v>15</v>
      </c>
      <c r="N1578" s="1" t="str">
        <f t="shared" si="123"/>
        <v>Published</v>
      </c>
      <c r="O1578" s="1">
        <f t="shared" si="121"/>
        <v>47.55</v>
      </c>
      <c r="P1578" s="1">
        <v>21</v>
      </c>
      <c r="Q1578" s="1">
        <v>988</v>
      </c>
      <c r="R1578" s="1" t="str">
        <f t="shared" si="124"/>
        <v>2</v>
      </c>
      <c r="S1578" s="1">
        <v>92</v>
      </c>
      <c r="T1578" s="1" t="str">
        <f t="shared" si="122"/>
        <v>3</v>
      </c>
      <c r="U1578" s="1">
        <v>-33.249772999999998</v>
      </c>
      <c r="V1578" s="3">
        <v>151.455534</v>
      </c>
    </row>
    <row r="1579" spans="1:22" x14ac:dyDescent="0.35">
      <c r="A1579" s="22" t="s">
        <v>4621</v>
      </c>
      <c r="B1579" s="1" t="s">
        <v>4622</v>
      </c>
      <c r="C1579" s="1" t="s">
        <v>4623</v>
      </c>
      <c r="D1579" s="1" t="s">
        <v>1131</v>
      </c>
      <c r="E1579" s="1" t="s">
        <v>429</v>
      </c>
      <c r="F1579" s="1" t="s">
        <v>47</v>
      </c>
      <c r="G1579" s="1">
        <f t="shared" si="120"/>
        <v>1</v>
      </c>
      <c r="H1579" s="1" t="s">
        <v>182</v>
      </c>
      <c r="I1579" s="1" t="s">
        <v>49</v>
      </c>
      <c r="J1579" s="23" t="s">
        <v>50</v>
      </c>
      <c r="K1579" s="2" t="s">
        <v>51</v>
      </c>
      <c r="L1579" s="1">
        <v>413</v>
      </c>
      <c r="M1579" s="1">
        <v>4</v>
      </c>
      <c r="N1579" s="1" t="str">
        <f t="shared" si="123"/>
        <v>Published</v>
      </c>
      <c r="O1579" s="1">
        <f t="shared" si="121"/>
        <v>16.52</v>
      </c>
      <c r="P1579" s="1">
        <v>35</v>
      </c>
      <c r="Q1579" s="1">
        <v>1050</v>
      </c>
      <c r="R1579" s="1" t="str">
        <f t="shared" si="124"/>
        <v>3</v>
      </c>
      <c r="S1579" s="1">
        <v>67</v>
      </c>
      <c r="T1579" s="1" t="str">
        <f t="shared" si="122"/>
        <v>3</v>
      </c>
      <c r="U1579" s="1">
        <v>-33.803002999999997</v>
      </c>
      <c r="V1579" s="3">
        <v>150.68161900000001</v>
      </c>
    </row>
    <row r="1580" spans="1:22" x14ac:dyDescent="0.35">
      <c r="A1580" s="22" t="s">
        <v>4624</v>
      </c>
      <c r="B1580" s="1" t="s">
        <v>4625</v>
      </c>
      <c r="C1580" s="1" t="s">
        <v>1143</v>
      </c>
      <c r="D1580" s="1" t="s">
        <v>642</v>
      </c>
      <c r="E1580" s="1" t="s">
        <v>306</v>
      </c>
      <c r="F1580" s="1" t="s">
        <v>47</v>
      </c>
      <c r="G1580" s="1">
        <f t="shared" si="120"/>
        <v>1</v>
      </c>
      <c r="H1580" s="1" t="s">
        <v>148</v>
      </c>
      <c r="I1580" s="1" t="s">
        <v>49</v>
      </c>
      <c r="J1580" s="23" t="s">
        <v>50</v>
      </c>
      <c r="K1580" s="2" t="s">
        <v>51</v>
      </c>
      <c r="L1580" s="1">
        <v>380</v>
      </c>
      <c r="M1580" s="1"/>
      <c r="N1580" s="1" t="str">
        <f t="shared" si="123"/>
        <v>Suppressed</v>
      </c>
      <c r="O1580" s="1" t="str">
        <f t="shared" si="121"/>
        <v/>
      </c>
      <c r="P1580" s="1">
        <v>88</v>
      </c>
      <c r="Q1580" s="1">
        <v>1118</v>
      </c>
      <c r="R1580" s="1" t="str">
        <f t="shared" si="124"/>
        <v>4</v>
      </c>
      <c r="S1580" s="1">
        <v>22</v>
      </c>
      <c r="T1580" s="1" t="str">
        <f t="shared" si="122"/>
        <v>3</v>
      </c>
      <c r="U1580" s="1">
        <v>-33.781059999999997</v>
      </c>
      <c r="V1580" s="3">
        <v>151.06919199999999</v>
      </c>
    </row>
    <row r="1581" spans="1:22" x14ac:dyDescent="0.35">
      <c r="A1581" s="22" t="s">
        <v>4626</v>
      </c>
      <c r="B1581" s="1" t="s">
        <v>4627</v>
      </c>
      <c r="C1581" s="1" t="s">
        <v>4628</v>
      </c>
      <c r="D1581" s="1" t="s">
        <v>180</v>
      </c>
      <c r="E1581" s="1" t="s">
        <v>181</v>
      </c>
      <c r="F1581" s="1" t="s">
        <v>47</v>
      </c>
      <c r="G1581" s="1">
        <f t="shared" si="120"/>
        <v>1</v>
      </c>
      <c r="H1581" s="1" t="s">
        <v>182</v>
      </c>
      <c r="I1581" s="1" t="s">
        <v>49</v>
      </c>
      <c r="J1581" s="23" t="s">
        <v>50</v>
      </c>
      <c r="K1581" s="2" t="s">
        <v>51</v>
      </c>
      <c r="L1581" s="1">
        <v>897</v>
      </c>
      <c r="M1581" s="1">
        <v>1</v>
      </c>
      <c r="N1581" s="1" t="str">
        <f t="shared" si="123"/>
        <v>Published</v>
      </c>
      <c r="O1581" s="1">
        <f t="shared" si="121"/>
        <v>8.9700000000000006</v>
      </c>
      <c r="P1581" s="1">
        <v>81</v>
      </c>
      <c r="Q1581" s="1">
        <v>1077</v>
      </c>
      <c r="R1581" s="1" t="str">
        <f t="shared" si="124"/>
        <v>3</v>
      </c>
      <c r="S1581" s="1">
        <v>48</v>
      </c>
      <c r="T1581" s="1" t="str">
        <f t="shared" si="122"/>
        <v>4</v>
      </c>
      <c r="U1581" s="1">
        <v>-33.965316000000001</v>
      </c>
      <c r="V1581" s="3">
        <v>150.852675</v>
      </c>
    </row>
    <row r="1582" spans="1:22" x14ac:dyDescent="0.35">
      <c r="A1582" s="22" t="s">
        <v>4629</v>
      </c>
      <c r="B1582" s="1" t="s">
        <v>4630</v>
      </c>
      <c r="C1582" s="1" t="s">
        <v>4631</v>
      </c>
      <c r="D1582" s="1" t="s">
        <v>558</v>
      </c>
      <c r="E1582" s="1" t="s">
        <v>68</v>
      </c>
      <c r="F1582" s="1" t="s">
        <v>47</v>
      </c>
      <c r="G1582" s="1">
        <f t="shared" si="120"/>
        <v>1</v>
      </c>
      <c r="H1582" s="1" t="s">
        <v>70</v>
      </c>
      <c r="I1582" s="1" t="s">
        <v>49</v>
      </c>
      <c r="J1582" s="23" t="s">
        <v>50</v>
      </c>
      <c r="K1582" s="2" t="s">
        <v>51</v>
      </c>
      <c r="L1582" s="1">
        <v>782</v>
      </c>
      <c r="M1582" s="1">
        <v>3</v>
      </c>
      <c r="N1582" s="1" t="str">
        <f t="shared" si="123"/>
        <v>Published</v>
      </c>
      <c r="O1582" s="1">
        <f t="shared" si="121"/>
        <v>23.46</v>
      </c>
      <c r="P1582" s="1">
        <v>31</v>
      </c>
      <c r="Q1582" s="1">
        <v>1078</v>
      </c>
      <c r="R1582" s="1" t="str">
        <f t="shared" si="124"/>
        <v>3</v>
      </c>
      <c r="S1582" s="1">
        <v>49</v>
      </c>
      <c r="T1582" s="1" t="str">
        <f t="shared" si="122"/>
        <v>4</v>
      </c>
      <c r="U1582" s="1">
        <v>-35.423014000000002</v>
      </c>
      <c r="V1582" s="3">
        <v>149.23821899999999</v>
      </c>
    </row>
    <row r="1583" spans="1:22" x14ac:dyDescent="0.35">
      <c r="A1583" s="22" t="s">
        <v>4632</v>
      </c>
      <c r="B1583" s="1" t="s">
        <v>4633</v>
      </c>
      <c r="C1583" s="1" t="s">
        <v>4634</v>
      </c>
      <c r="D1583" s="1" t="s">
        <v>1003</v>
      </c>
      <c r="E1583" s="1" t="s">
        <v>225</v>
      </c>
      <c r="F1583" s="1" t="s">
        <v>47</v>
      </c>
      <c r="G1583" s="1">
        <f t="shared" si="120"/>
        <v>1</v>
      </c>
      <c r="H1583" s="1" t="s">
        <v>48</v>
      </c>
      <c r="I1583" s="1" t="s">
        <v>49</v>
      </c>
      <c r="J1583" s="23" t="s">
        <v>50</v>
      </c>
      <c r="K1583" s="2" t="s">
        <v>51</v>
      </c>
      <c r="L1583" s="1">
        <v>107</v>
      </c>
      <c r="M1583" s="1"/>
      <c r="N1583" s="1" t="str">
        <f t="shared" si="123"/>
        <v>Suppressed</v>
      </c>
      <c r="O1583" s="1" t="str">
        <f t="shared" si="121"/>
        <v/>
      </c>
      <c r="P1583" s="1">
        <v>75</v>
      </c>
      <c r="Q1583" s="1">
        <v>1122</v>
      </c>
      <c r="R1583" s="1" t="str">
        <f t="shared" si="124"/>
        <v>4</v>
      </c>
      <c r="S1583" s="1">
        <v>0</v>
      </c>
      <c r="T1583" s="1" t="str">
        <f t="shared" si="122"/>
        <v>2</v>
      </c>
      <c r="U1583" s="1">
        <v>-33.908383000000001</v>
      </c>
      <c r="V1583" s="3">
        <v>151.20668000000001</v>
      </c>
    </row>
    <row r="1584" spans="1:22" x14ac:dyDescent="0.35">
      <c r="A1584" s="22" t="s">
        <v>4635</v>
      </c>
      <c r="B1584" s="1" t="s">
        <v>4636</v>
      </c>
      <c r="C1584" s="1" t="s">
        <v>4637</v>
      </c>
      <c r="D1584" s="1" t="s">
        <v>678</v>
      </c>
      <c r="E1584" s="1" t="s">
        <v>181</v>
      </c>
      <c r="F1584" s="1" t="s">
        <v>47</v>
      </c>
      <c r="G1584" s="1">
        <f t="shared" si="120"/>
        <v>1</v>
      </c>
      <c r="H1584" s="1" t="s">
        <v>86</v>
      </c>
      <c r="I1584" s="1" t="s">
        <v>49</v>
      </c>
      <c r="J1584" s="23" t="s">
        <v>50</v>
      </c>
      <c r="K1584" s="2" t="s">
        <v>51</v>
      </c>
      <c r="L1584" s="1">
        <v>647</v>
      </c>
      <c r="M1584" s="1">
        <v>4</v>
      </c>
      <c r="N1584" s="1" t="str">
        <f t="shared" si="123"/>
        <v>Published</v>
      </c>
      <c r="O1584" s="1">
        <f t="shared" si="121"/>
        <v>25.88</v>
      </c>
      <c r="P1584" s="1">
        <v>67</v>
      </c>
      <c r="Q1584" s="1">
        <v>1028</v>
      </c>
      <c r="R1584" s="1" t="str">
        <f t="shared" si="124"/>
        <v>3</v>
      </c>
      <c r="S1584" s="1">
        <v>74</v>
      </c>
      <c r="T1584" s="1" t="str">
        <f t="shared" si="122"/>
        <v>4</v>
      </c>
      <c r="U1584" s="1">
        <v>-34.024999999999999</v>
      </c>
      <c r="V1584" s="3">
        <v>150.78</v>
      </c>
    </row>
    <row r="1585" spans="1:22" x14ac:dyDescent="0.35">
      <c r="A1585" s="22" t="s">
        <v>4638</v>
      </c>
      <c r="B1585" s="1" t="s">
        <v>4639</v>
      </c>
      <c r="C1585" s="1" t="s">
        <v>4640</v>
      </c>
      <c r="D1585" s="1" t="s">
        <v>408</v>
      </c>
      <c r="E1585" s="1" t="s">
        <v>68</v>
      </c>
      <c r="F1585" s="1" t="s">
        <v>57</v>
      </c>
      <c r="G1585" s="1">
        <f t="shared" si="120"/>
        <v>2</v>
      </c>
      <c r="H1585" s="1" t="s">
        <v>86</v>
      </c>
      <c r="I1585" s="1" t="s">
        <v>49</v>
      </c>
      <c r="J1585" s="23" t="s">
        <v>50</v>
      </c>
      <c r="K1585" s="2" t="s">
        <v>51</v>
      </c>
      <c r="L1585" s="1">
        <v>171</v>
      </c>
      <c r="M1585" s="1">
        <v>5</v>
      </c>
      <c r="N1585" s="1" t="str">
        <f t="shared" si="123"/>
        <v>Published</v>
      </c>
      <c r="O1585" s="1">
        <f t="shared" si="121"/>
        <v>8.5500000000000007</v>
      </c>
      <c r="P1585" s="1">
        <v>12</v>
      </c>
      <c r="Q1585" s="1">
        <v>1056</v>
      </c>
      <c r="R1585" s="1" t="str">
        <f t="shared" si="124"/>
        <v>3</v>
      </c>
      <c r="S1585" s="1">
        <v>54</v>
      </c>
      <c r="T1585" s="1" t="str">
        <f t="shared" si="122"/>
        <v>2</v>
      </c>
      <c r="U1585" s="1">
        <v>-34.966475099999997</v>
      </c>
      <c r="V1585" s="3">
        <v>149.03028800000001</v>
      </c>
    </row>
    <row r="1586" spans="1:22" x14ac:dyDescent="0.35">
      <c r="A1586" s="22" t="s">
        <v>4641</v>
      </c>
      <c r="B1586" s="1" t="s">
        <v>4642</v>
      </c>
      <c r="C1586" s="1" t="s">
        <v>2464</v>
      </c>
      <c r="D1586" s="1" t="s">
        <v>837</v>
      </c>
      <c r="E1586" s="1" t="s">
        <v>838</v>
      </c>
      <c r="F1586" s="1" t="s">
        <v>47</v>
      </c>
      <c r="G1586" s="1">
        <f t="shared" si="120"/>
        <v>1</v>
      </c>
      <c r="H1586" s="1" t="s">
        <v>148</v>
      </c>
      <c r="I1586" s="1" t="s">
        <v>49</v>
      </c>
      <c r="J1586" s="23" t="s">
        <v>50</v>
      </c>
      <c r="K1586" s="2" t="s">
        <v>51</v>
      </c>
      <c r="L1586" s="1">
        <v>121</v>
      </c>
      <c r="M1586" s="1"/>
      <c r="N1586" s="1" t="str">
        <f t="shared" si="123"/>
        <v>Suppressed</v>
      </c>
      <c r="O1586" s="1" t="str">
        <f t="shared" si="121"/>
        <v/>
      </c>
      <c r="P1586" s="1">
        <v>76</v>
      </c>
      <c r="Q1586" s="1">
        <v>1083</v>
      </c>
      <c r="R1586" s="1" t="str">
        <f t="shared" si="124"/>
        <v>3</v>
      </c>
      <c r="S1586" s="1">
        <v>35</v>
      </c>
      <c r="T1586" s="1" t="str">
        <f t="shared" si="122"/>
        <v>2</v>
      </c>
      <c r="U1586" s="1">
        <v>-33.686799999999998</v>
      </c>
      <c r="V1586" s="3">
        <v>150.8991</v>
      </c>
    </row>
    <row r="1587" spans="1:22" x14ac:dyDescent="0.35">
      <c r="A1587" s="22" t="s">
        <v>4643</v>
      </c>
      <c r="B1587" s="1" t="s">
        <v>4644</v>
      </c>
      <c r="C1587" s="1" t="s">
        <v>180</v>
      </c>
      <c r="D1587" s="1" t="s">
        <v>180</v>
      </c>
      <c r="E1587" s="1" t="s">
        <v>181</v>
      </c>
      <c r="F1587" s="1" t="s">
        <v>47</v>
      </c>
      <c r="G1587" s="1">
        <f t="shared" si="120"/>
        <v>1</v>
      </c>
      <c r="H1587" s="1" t="s">
        <v>182</v>
      </c>
      <c r="I1587" s="1" t="s">
        <v>49</v>
      </c>
      <c r="J1587" s="23" t="s">
        <v>50</v>
      </c>
      <c r="K1587" s="2" t="s">
        <v>51</v>
      </c>
      <c r="L1587" s="1">
        <v>267</v>
      </c>
      <c r="M1587" s="1"/>
      <c r="N1587" s="1" t="str">
        <f t="shared" si="123"/>
        <v>Suppressed</v>
      </c>
      <c r="O1587" s="1" t="str">
        <f t="shared" si="121"/>
        <v/>
      </c>
      <c r="P1587" s="1">
        <v>86</v>
      </c>
      <c r="Q1587" s="1">
        <v>959</v>
      </c>
      <c r="R1587" s="1" t="str">
        <f t="shared" si="124"/>
        <v>2</v>
      </c>
      <c r="S1587" s="1">
        <v>118</v>
      </c>
      <c r="T1587" s="1" t="str">
        <f t="shared" si="122"/>
        <v>2</v>
      </c>
      <c r="U1587" s="1">
        <v>-33.917847999999999</v>
      </c>
      <c r="V1587" s="3">
        <v>150.932241</v>
      </c>
    </row>
    <row r="1588" spans="1:22" x14ac:dyDescent="0.35">
      <c r="A1588" s="22" t="s">
        <v>4645</v>
      </c>
      <c r="B1588" s="1" t="s">
        <v>4646</v>
      </c>
      <c r="C1588" s="1" t="s">
        <v>4647</v>
      </c>
      <c r="D1588" s="1" t="s">
        <v>837</v>
      </c>
      <c r="E1588" s="1" t="s">
        <v>838</v>
      </c>
      <c r="F1588" s="1" t="s">
        <v>47</v>
      </c>
      <c r="G1588" s="1">
        <f t="shared" si="120"/>
        <v>1</v>
      </c>
      <c r="H1588" s="1" t="s">
        <v>148</v>
      </c>
      <c r="I1588" s="1" t="s">
        <v>49</v>
      </c>
      <c r="J1588" s="23" t="s">
        <v>50</v>
      </c>
      <c r="K1588" s="2" t="s">
        <v>51</v>
      </c>
      <c r="L1588" s="1">
        <v>776</v>
      </c>
      <c r="M1588" s="1"/>
      <c r="N1588" s="1" t="str">
        <f t="shared" si="123"/>
        <v>Suppressed</v>
      </c>
      <c r="O1588" s="1" t="str">
        <f t="shared" si="121"/>
        <v/>
      </c>
      <c r="P1588" s="1">
        <v>92</v>
      </c>
      <c r="Q1588" s="1">
        <v>1098</v>
      </c>
      <c r="R1588" s="1" t="str">
        <f t="shared" si="124"/>
        <v>3</v>
      </c>
      <c r="S1588" s="1">
        <v>18</v>
      </c>
      <c r="T1588" s="1" t="str">
        <f t="shared" si="122"/>
        <v>4</v>
      </c>
      <c r="U1588" s="1">
        <v>-33.699759</v>
      </c>
      <c r="V1588" s="3">
        <v>150.803617</v>
      </c>
    </row>
    <row r="1589" spans="1:22" x14ac:dyDescent="0.35">
      <c r="A1589" s="22" t="s">
        <v>4648</v>
      </c>
      <c r="B1589" s="1" t="s">
        <v>4649</v>
      </c>
      <c r="C1589" s="1" t="s">
        <v>4650</v>
      </c>
      <c r="D1589" s="1" t="s">
        <v>67</v>
      </c>
      <c r="E1589" s="1" t="s">
        <v>68</v>
      </c>
      <c r="F1589" s="1" t="s">
        <v>69</v>
      </c>
      <c r="G1589" s="1">
        <f t="shared" si="120"/>
        <v>3</v>
      </c>
      <c r="H1589" s="1" t="s">
        <v>70</v>
      </c>
      <c r="I1589" s="1" t="s">
        <v>49</v>
      </c>
      <c r="J1589" s="23" t="s">
        <v>50</v>
      </c>
      <c r="K1589" s="2" t="s">
        <v>51</v>
      </c>
      <c r="L1589" s="1">
        <v>283</v>
      </c>
      <c r="M1589" s="1">
        <v>6</v>
      </c>
      <c r="N1589" s="1" t="str">
        <f t="shared" si="123"/>
        <v>Published</v>
      </c>
      <c r="O1589" s="1">
        <f t="shared" si="121"/>
        <v>16.98</v>
      </c>
      <c r="P1589" s="1">
        <v>8</v>
      </c>
      <c r="Q1589" s="1">
        <v>1032</v>
      </c>
      <c r="R1589" s="1" t="str">
        <f t="shared" si="124"/>
        <v>3</v>
      </c>
      <c r="S1589" s="1">
        <v>71</v>
      </c>
      <c r="T1589" s="1" t="str">
        <f t="shared" si="122"/>
        <v>2</v>
      </c>
      <c r="U1589" s="1">
        <v>-36.430199999999999</v>
      </c>
      <c r="V1589" s="3">
        <v>148.61089999999999</v>
      </c>
    </row>
    <row r="1590" spans="1:22" x14ac:dyDescent="0.35">
      <c r="A1590" s="22" t="s">
        <v>4651</v>
      </c>
      <c r="B1590" s="1" t="s">
        <v>4652</v>
      </c>
      <c r="C1590" s="1" t="s">
        <v>4653</v>
      </c>
      <c r="D1590" s="1" t="s">
        <v>837</v>
      </c>
      <c r="E1590" s="1" t="s">
        <v>838</v>
      </c>
      <c r="F1590" s="1" t="s">
        <v>47</v>
      </c>
      <c r="G1590" s="1">
        <f t="shared" si="120"/>
        <v>1</v>
      </c>
      <c r="H1590" s="1" t="s">
        <v>148</v>
      </c>
      <c r="I1590" s="1" t="s">
        <v>49</v>
      </c>
      <c r="J1590" s="23" t="s">
        <v>50</v>
      </c>
      <c r="K1590" s="2" t="s">
        <v>51</v>
      </c>
      <c r="L1590" s="1">
        <v>210</v>
      </c>
      <c r="M1590" s="1"/>
      <c r="N1590" s="1" t="str">
        <f t="shared" si="123"/>
        <v>Suppressed</v>
      </c>
      <c r="O1590" s="1" t="str">
        <f t="shared" si="121"/>
        <v/>
      </c>
      <c r="P1590" s="1">
        <v>94</v>
      </c>
      <c r="Q1590" s="1">
        <v>1126</v>
      </c>
      <c r="R1590" s="1" t="str">
        <f t="shared" si="124"/>
        <v>4</v>
      </c>
      <c r="S1590" s="1">
        <v>1</v>
      </c>
      <c r="T1590" s="1" t="str">
        <f t="shared" si="122"/>
        <v>2</v>
      </c>
      <c r="U1590" s="1">
        <v>-33.714599999999997</v>
      </c>
      <c r="V1590" s="3">
        <v>150.87280000000001</v>
      </c>
    </row>
    <row r="1591" spans="1:22" x14ac:dyDescent="0.35">
      <c r="A1591" s="22" t="s">
        <v>4654</v>
      </c>
      <c r="B1591" s="1" t="s">
        <v>4655</v>
      </c>
      <c r="C1591" s="1" t="s">
        <v>4656</v>
      </c>
      <c r="D1591" s="1" t="s">
        <v>761</v>
      </c>
      <c r="E1591" s="1" t="s">
        <v>127</v>
      </c>
      <c r="F1591" s="1" t="s">
        <v>47</v>
      </c>
      <c r="G1591" s="1">
        <f t="shared" si="120"/>
        <v>1</v>
      </c>
      <c r="H1591" s="1" t="s">
        <v>148</v>
      </c>
      <c r="I1591" s="1" t="s">
        <v>49</v>
      </c>
      <c r="J1591" s="23" t="s">
        <v>50</v>
      </c>
      <c r="K1591" s="2" t="s">
        <v>51</v>
      </c>
      <c r="L1591" s="1">
        <v>271</v>
      </c>
      <c r="M1591" s="1"/>
      <c r="N1591" s="1" t="str">
        <f t="shared" si="123"/>
        <v>Suppressed</v>
      </c>
      <c r="O1591" s="1" t="str">
        <f t="shared" si="121"/>
        <v/>
      </c>
      <c r="P1591" s="1">
        <v>91</v>
      </c>
      <c r="Q1591" s="1">
        <v>1123</v>
      </c>
      <c r="R1591" s="1" t="str">
        <f t="shared" si="124"/>
        <v>4</v>
      </c>
      <c r="S1591" s="1">
        <v>2</v>
      </c>
      <c r="T1591" s="1" t="str">
        <f t="shared" si="122"/>
        <v>2</v>
      </c>
      <c r="U1591" s="1">
        <v>-33.642270000000003</v>
      </c>
      <c r="V1591" s="3">
        <v>150.892123</v>
      </c>
    </row>
    <row r="1592" spans="1:22" x14ac:dyDescent="0.35">
      <c r="A1592" s="22" t="s">
        <v>4657</v>
      </c>
      <c r="B1592" s="1" t="s">
        <v>4658</v>
      </c>
      <c r="C1592" s="1" t="s">
        <v>2949</v>
      </c>
      <c r="D1592" s="1" t="s">
        <v>224</v>
      </c>
      <c r="E1592" s="1" t="s">
        <v>229</v>
      </c>
      <c r="F1592" s="1" t="s">
        <v>47</v>
      </c>
      <c r="G1592" s="1">
        <f t="shared" si="120"/>
        <v>1</v>
      </c>
      <c r="H1592" s="1" t="s">
        <v>48</v>
      </c>
      <c r="I1592" s="1" t="s">
        <v>3731</v>
      </c>
      <c r="J1592" s="23" t="s">
        <v>50</v>
      </c>
      <c r="K1592" s="2" t="s">
        <v>51</v>
      </c>
      <c r="L1592" s="1">
        <v>86</v>
      </c>
      <c r="M1592" s="1">
        <v>0</v>
      </c>
      <c r="N1592" s="1" t="str">
        <f t="shared" si="123"/>
        <v>Published</v>
      </c>
      <c r="O1592" s="1">
        <f t="shared" si="121"/>
        <v>0</v>
      </c>
      <c r="P1592" s="1">
        <v>92</v>
      </c>
      <c r="Q1592" s="1">
        <v>1058</v>
      </c>
      <c r="R1592" s="1" t="str">
        <f t="shared" si="124"/>
        <v>3</v>
      </c>
      <c r="S1592" s="1">
        <v>48</v>
      </c>
      <c r="T1592" s="1" t="str">
        <f t="shared" si="122"/>
        <v>1</v>
      </c>
      <c r="U1592" s="1">
        <v>-33.931832</v>
      </c>
      <c r="V1592" s="3">
        <v>151.14516</v>
      </c>
    </row>
    <row r="1593" spans="1:22" x14ac:dyDescent="0.35">
      <c r="A1593" s="22" t="s">
        <v>4659</v>
      </c>
      <c r="B1593" s="1" t="s">
        <v>4660</v>
      </c>
      <c r="C1593" s="1" t="s">
        <v>681</v>
      </c>
      <c r="D1593" s="1" t="s">
        <v>115</v>
      </c>
      <c r="E1593" s="1" t="s">
        <v>225</v>
      </c>
      <c r="F1593" s="1" t="s">
        <v>47</v>
      </c>
      <c r="G1593" s="1">
        <f t="shared" si="120"/>
        <v>1</v>
      </c>
      <c r="H1593" s="1" t="s">
        <v>48</v>
      </c>
      <c r="I1593" s="1" t="s">
        <v>3731</v>
      </c>
      <c r="J1593" s="23" t="s">
        <v>50</v>
      </c>
      <c r="K1593" s="2" t="s">
        <v>51</v>
      </c>
      <c r="L1593" s="1">
        <v>104</v>
      </c>
      <c r="M1593" s="1">
        <v>0</v>
      </c>
      <c r="N1593" s="1" t="str">
        <f t="shared" si="123"/>
        <v>Published</v>
      </c>
      <c r="O1593" s="1">
        <f t="shared" si="121"/>
        <v>0</v>
      </c>
      <c r="P1593" s="1">
        <v>30</v>
      </c>
      <c r="Q1593" s="1">
        <v>1143</v>
      </c>
      <c r="R1593" s="1" t="str">
        <f t="shared" si="124"/>
        <v>4</v>
      </c>
      <c r="S1593" s="1">
        <v>2</v>
      </c>
      <c r="T1593" s="1" t="str">
        <f t="shared" si="122"/>
        <v>2</v>
      </c>
      <c r="U1593" s="1">
        <v>-33.895783000000002</v>
      </c>
      <c r="V1593" s="3">
        <v>151.17760699999999</v>
      </c>
    </row>
    <row r="1594" spans="1:22" x14ac:dyDescent="0.35">
      <c r="A1594" s="22" t="s">
        <v>4661</v>
      </c>
      <c r="B1594" s="1" t="s">
        <v>4662</v>
      </c>
      <c r="C1594" s="1" t="s">
        <v>706</v>
      </c>
      <c r="D1594" s="1" t="s">
        <v>152</v>
      </c>
      <c r="E1594" s="1" t="s">
        <v>229</v>
      </c>
      <c r="F1594" s="1" t="s">
        <v>47</v>
      </c>
      <c r="G1594" s="1">
        <f t="shared" si="120"/>
        <v>1</v>
      </c>
      <c r="H1594" s="1" t="s">
        <v>48</v>
      </c>
      <c r="I1594" s="1" t="s">
        <v>49</v>
      </c>
      <c r="J1594" s="23" t="s">
        <v>50</v>
      </c>
      <c r="K1594" s="2" t="s">
        <v>51</v>
      </c>
      <c r="L1594" s="1">
        <v>269</v>
      </c>
      <c r="M1594" s="1">
        <v>3</v>
      </c>
      <c r="N1594" s="1" t="str">
        <f t="shared" si="123"/>
        <v>Published</v>
      </c>
      <c r="O1594" s="1">
        <f t="shared" si="121"/>
        <v>8.07</v>
      </c>
      <c r="P1594" s="1">
        <v>61</v>
      </c>
      <c r="Q1594" s="1">
        <v>1038</v>
      </c>
      <c r="R1594" s="1" t="str">
        <f t="shared" si="124"/>
        <v>3</v>
      </c>
      <c r="S1594" s="1">
        <v>75</v>
      </c>
      <c r="T1594" s="1" t="str">
        <f t="shared" si="122"/>
        <v>2</v>
      </c>
      <c r="U1594" s="1">
        <v>-33.917776000000003</v>
      </c>
      <c r="V1594" s="3">
        <v>151.11601300000001</v>
      </c>
    </row>
    <row r="1595" spans="1:22" x14ac:dyDescent="0.35">
      <c r="A1595" s="22" t="s">
        <v>4663</v>
      </c>
      <c r="B1595" s="1" t="s">
        <v>4664</v>
      </c>
      <c r="C1595" s="1" t="s">
        <v>4209</v>
      </c>
      <c r="D1595" s="1" t="s">
        <v>115</v>
      </c>
      <c r="E1595" s="1" t="s">
        <v>225</v>
      </c>
      <c r="F1595" s="1" t="s">
        <v>47</v>
      </c>
      <c r="G1595" s="1">
        <f t="shared" si="120"/>
        <v>1</v>
      </c>
      <c r="H1595" s="1" t="s">
        <v>48</v>
      </c>
      <c r="I1595" s="1" t="s">
        <v>3731</v>
      </c>
      <c r="J1595" s="23" t="s">
        <v>50</v>
      </c>
      <c r="K1595" s="2" t="s">
        <v>51</v>
      </c>
      <c r="L1595" s="1">
        <v>20</v>
      </c>
      <c r="M1595" s="1"/>
      <c r="N1595" s="1" t="str">
        <f t="shared" si="123"/>
        <v>Suppressed</v>
      </c>
      <c r="O1595" s="1" t="str">
        <f t="shared" si="121"/>
        <v/>
      </c>
      <c r="P1595" s="1">
        <v>29</v>
      </c>
      <c r="Q1595" s="1">
        <v>1129</v>
      </c>
      <c r="R1595" s="1" t="str">
        <f t="shared" si="124"/>
        <v>4</v>
      </c>
      <c r="S1595" s="1">
        <v>15</v>
      </c>
      <c r="T1595" s="1" t="str">
        <f t="shared" si="122"/>
        <v>1</v>
      </c>
      <c r="U1595" s="1">
        <v>-33.888955000000003</v>
      </c>
      <c r="V1595" s="3">
        <v>151.15719899999999</v>
      </c>
    </row>
    <row r="1596" spans="1:22" x14ac:dyDescent="0.35">
      <c r="A1596" s="22" t="s">
        <v>4665</v>
      </c>
      <c r="B1596" s="1" t="s">
        <v>4666</v>
      </c>
      <c r="C1596" s="1" t="s">
        <v>3357</v>
      </c>
      <c r="D1596" s="1" t="s">
        <v>115</v>
      </c>
      <c r="E1596" s="1" t="s">
        <v>225</v>
      </c>
      <c r="F1596" s="1" t="s">
        <v>47</v>
      </c>
      <c r="G1596" s="1">
        <f t="shared" si="120"/>
        <v>1</v>
      </c>
      <c r="H1596" s="1" t="s">
        <v>48</v>
      </c>
      <c r="I1596" s="1" t="s">
        <v>49</v>
      </c>
      <c r="J1596" s="23" t="s">
        <v>50</v>
      </c>
      <c r="K1596" s="2" t="s">
        <v>51</v>
      </c>
      <c r="L1596" s="1">
        <v>285</v>
      </c>
      <c r="M1596" s="1">
        <v>2</v>
      </c>
      <c r="N1596" s="1" t="str">
        <f t="shared" si="123"/>
        <v>Published</v>
      </c>
      <c r="O1596" s="1">
        <f t="shared" si="121"/>
        <v>5.7</v>
      </c>
      <c r="P1596" s="1">
        <v>36</v>
      </c>
      <c r="Q1596" s="1">
        <v>1125</v>
      </c>
      <c r="R1596" s="1" t="str">
        <f t="shared" si="124"/>
        <v>4</v>
      </c>
      <c r="S1596" s="1">
        <v>18</v>
      </c>
      <c r="T1596" s="1" t="str">
        <f t="shared" si="122"/>
        <v>2</v>
      </c>
      <c r="U1596" s="1">
        <v>-33.921393000000002</v>
      </c>
      <c r="V1596" s="3">
        <v>151.15149700000001</v>
      </c>
    </row>
    <row r="1597" spans="1:22" x14ac:dyDescent="0.35">
      <c r="A1597" s="22" t="s">
        <v>4667</v>
      </c>
      <c r="B1597" s="1" t="s">
        <v>4668</v>
      </c>
      <c r="C1597" s="1" t="s">
        <v>1298</v>
      </c>
      <c r="D1597" s="1" t="s">
        <v>1014</v>
      </c>
      <c r="E1597" s="1" t="s">
        <v>91</v>
      </c>
      <c r="F1597" s="1" t="s">
        <v>57</v>
      </c>
      <c r="G1597" s="1">
        <f t="shared" si="120"/>
        <v>2</v>
      </c>
      <c r="H1597" s="1" t="s">
        <v>92</v>
      </c>
      <c r="I1597" s="1" t="s">
        <v>3731</v>
      </c>
      <c r="J1597" s="23" t="s">
        <v>50</v>
      </c>
      <c r="K1597" s="2" t="s">
        <v>51</v>
      </c>
      <c r="L1597" s="1">
        <v>19</v>
      </c>
      <c r="M1597" s="1">
        <v>32</v>
      </c>
      <c r="N1597" s="1" t="str">
        <f t="shared" si="123"/>
        <v>Published</v>
      </c>
      <c r="O1597" s="1">
        <f t="shared" si="121"/>
        <v>6.08</v>
      </c>
      <c r="P1597" s="1"/>
      <c r="Q1597" s="1">
        <v>898</v>
      </c>
      <c r="R1597" s="1" t="str">
        <f t="shared" si="124"/>
        <v>1</v>
      </c>
      <c r="S1597" s="1">
        <v>153</v>
      </c>
      <c r="T1597" s="1" t="str">
        <f t="shared" si="122"/>
        <v>1</v>
      </c>
      <c r="U1597" s="1">
        <v>-29.738734000000001</v>
      </c>
      <c r="V1597" s="3">
        <v>151.723882</v>
      </c>
    </row>
    <row r="1598" spans="1:22" x14ac:dyDescent="0.35">
      <c r="A1598" s="22" t="s">
        <v>4669</v>
      </c>
      <c r="B1598" s="1" t="s">
        <v>4670</v>
      </c>
      <c r="C1598" s="1" t="s">
        <v>692</v>
      </c>
      <c r="D1598" s="1" t="s">
        <v>152</v>
      </c>
      <c r="E1598" s="1" t="s">
        <v>229</v>
      </c>
      <c r="F1598" s="1" t="s">
        <v>47</v>
      </c>
      <c r="G1598" s="1">
        <f t="shared" si="120"/>
        <v>1</v>
      </c>
      <c r="H1598" s="1" t="s">
        <v>48</v>
      </c>
      <c r="I1598" s="1" t="s">
        <v>49</v>
      </c>
      <c r="J1598" s="23" t="s">
        <v>50</v>
      </c>
      <c r="K1598" s="2" t="s">
        <v>51</v>
      </c>
      <c r="L1598" s="1">
        <v>373</v>
      </c>
      <c r="M1598" s="1"/>
      <c r="N1598" s="1" t="str">
        <f t="shared" si="123"/>
        <v>Suppressed</v>
      </c>
      <c r="O1598" s="1" t="str">
        <f t="shared" si="121"/>
        <v/>
      </c>
      <c r="P1598" s="1">
        <v>87</v>
      </c>
      <c r="Q1598" s="1">
        <v>1033</v>
      </c>
      <c r="R1598" s="1" t="str">
        <f t="shared" si="124"/>
        <v>3</v>
      </c>
      <c r="S1598" s="1">
        <v>73</v>
      </c>
      <c r="T1598" s="1" t="str">
        <f t="shared" si="122"/>
        <v>3</v>
      </c>
      <c r="U1598" s="1">
        <v>-33.908969999999997</v>
      </c>
      <c r="V1598" s="3">
        <v>151.09580299999999</v>
      </c>
    </row>
    <row r="1599" spans="1:22" x14ac:dyDescent="0.35">
      <c r="A1599" s="22" t="s">
        <v>4671</v>
      </c>
      <c r="B1599" s="1" t="s">
        <v>4672</v>
      </c>
      <c r="C1599" s="1" t="s">
        <v>155</v>
      </c>
      <c r="D1599" s="1" t="s">
        <v>115</v>
      </c>
      <c r="E1599" s="1" t="s">
        <v>46</v>
      </c>
      <c r="F1599" s="1" t="s">
        <v>47</v>
      </c>
      <c r="G1599" s="1">
        <f t="shared" si="120"/>
        <v>1</v>
      </c>
      <c r="H1599" s="1" t="s">
        <v>48</v>
      </c>
      <c r="I1599" s="1" t="s">
        <v>3731</v>
      </c>
      <c r="J1599" s="23" t="s">
        <v>50</v>
      </c>
      <c r="K1599" s="2" t="s">
        <v>51</v>
      </c>
      <c r="L1599" s="1">
        <v>48</v>
      </c>
      <c r="M1599" s="1"/>
      <c r="N1599" s="1" t="str">
        <f t="shared" si="123"/>
        <v>Suppressed</v>
      </c>
      <c r="O1599" s="1" t="str">
        <f t="shared" si="121"/>
        <v/>
      </c>
      <c r="P1599" s="1">
        <v>52</v>
      </c>
      <c r="Q1599" s="1">
        <v>1144</v>
      </c>
      <c r="R1599" s="1" t="str">
        <f t="shared" si="124"/>
        <v>4</v>
      </c>
      <c r="S1599" s="1">
        <v>0</v>
      </c>
      <c r="T1599" s="1" t="str">
        <f t="shared" si="122"/>
        <v>1</v>
      </c>
      <c r="U1599" s="1">
        <v>-33.902692000000002</v>
      </c>
      <c r="V1599" s="3">
        <v>151.130055</v>
      </c>
    </row>
    <row r="1600" spans="1:22" x14ac:dyDescent="0.35">
      <c r="A1600" s="22" t="s">
        <v>4673</v>
      </c>
      <c r="B1600" s="1" t="s">
        <v>4674</v>
      </c>
      <c r="C1600" s="1" t="s">
        <v>1927</v>
      </c>
      <c r="D1600" s="1" t="s">
        <v>169</v>
      </c>
      <c r="E1600" s="1" t="s">
        <v>170</v>
      </c>
      <c r="F1600" s="1" t="s">
        <v>47</v>
      </c>
      <c r="G1600" s="1">
        <f t="shared" si="120"/>
        <v>1</v>
      </c>
      <c r="H1600" s="1" t="s">
        <v>48</v>
      </c>
      <c r="I1600" s="1" t="s">
        <v>49</v>
      </c>
      <c r="J1600" s="23" t="s">
        <v>50</v>
      </c>
      <c r="K1600" s="2" t="s">
        <v>51</v>
      </c>
      <c r="L1600" s="1">
        <v>347</v>
      </c>
      <c r="M1600" s="1"/>
      <c r="N1600" s="1" t="str">
        <f t="shared" si="123"/>
        <v>Suppressed</v>
      </c>
      <c r="O1600" s="1" t="str">
        <f t="shared" si="121"/>
        <v/>
      </c>
      <c r="P1600" s="1">
        <v>92</v>
      </c>
      <c r="Q1600" s="1">
        <v>955</v>
      </c>
      <c r="R1600" s="1" t="str">
        <f t="shared" si="124"/>
        <v>2</v>
      </c>
      <c r="S1600" s="1">
        <v>137</v>
      </c>
      <c r="T1600" s="1" t="str">
        <f t="shared" si="122"/>
        <v>3</v>
      </c>
      <c r="U1600" s="1">
        <v>-33.841954000000001</v>
      </c>
      <c r="V1600" s="3">
        <v>150.98929000000001</v>
      </c>
    </row>
    <row r="1601" spans="1:22" x14ac:dyDescent="0.35">
      <c r="A1601" s="22" t="s">
        <v>4675</v>
      </c>
      <c r="B1601" s="1" t="s">
        <v>4676</v>
      </c>
      <c r="C1601" s="1" t="s">
        <v>4677</v>
      </c>
      <c r="D1601" s="1" t="s">
        <v>489</v>
      </c>
      <c r="E1601" s="1" t="s">
        <v>56</v>
      </c>
      <c r="F1601" s="1" t="s">
        <v>47</v>
      </c>
      <c r="G1601" s="1">
        <f t="shared" si="120"/>
        <v>1</v>
      </c>
      <c r="H1601" s="1" t="s">
        <v>58</v>
      </c>
      <c r="I1601" s="1" t="s">
        <v>3731</v>
      </c>
      <c r="J1601" s="23" t="s">
        <v>50</v>
      </c>
      <c r="K1601" s="2" t="s">
        <v>51</v>
      </c>
      <c r="L1601" s="1">
        <v>52</v>
      </c>
      <c r="M1601" s="1"/>
      <c r="N1601" s="1" t="str">
        <f t="shared" si="123"/>
        <v>Suppressed</v>
      </c>
      <c r="O1601" s="1" t="str">
        <f t="shared" si="121"/>
        <v/>
      </c>
      <c r="P1601" s="1"/>
      <c r="Q1601" s="1">
        <v>1076</v>
      </c>
      <c r="R1601" s="1" t="str">
        <f t="shared" si="124"/>
        <v>3</v>
      </c>
      <c r="S1601" s="1">
        <v>48</v>
      </c>
      <c r="T1601" s="1" t="str">
        <f t="shared" si="122"/>
        <v>1</v>
      </c>
      <c r="U1601" s="1">
        <v>-32.727541000000002</v>
      </c>
      <c r="V1601" s="3">
        <v>151.55961099999999</v>
      </c>
    </row>
    <row r="1602" spans="1:22" x14ac:dyDescent="0.35">
      <c r="A1602" s="22" t="s">
        <v>4678</v>
      </c>
      <c r="B1602" s="1" t="s">
        <v>4679</v>
      </c>
      <c r="C1602" s="1" t="s">
        <v>4680</v>
      </c>
      <c r="D1602" s="1" t="s">
        <v>45</v>
      </c>
      <c r="E1602" s="1" t="s">
        <v>46</v>
      </c>
      <c r="F1602" s="1" t="s">
        <v>47</v>
      </c>
      <c r="G1602" s="1">
        <f t="shared" ref="G1602:G1665" si="125">IF(F1602="Major Cities of Australia",1,IF(F1602="Inner Regional Australia",2,IF(F1602="Outer Regional Australia",3,IF(F1602="Remote Australia",4,IF(F1602="Very Remote Australia",5,6)))))</f>
        <v>1</v>
      </c>
      <c r="H1602" s="1" t="s">
        <v>48</v>
      </c>
      <c r="I1602" s="1" t="s">
        <v>49</v>
      </c>
      <c r="J1602" s="23" t="s">
        <v>50</v>
      </c>
      <c r="K1602" s="2" t="s">
        <v>51</v>
      </c>
      <c r="L1602" s="1">
        <v>428</v>
      </c>
      <c r="M1602" s="1"/>
      <c r="N1602" s="1" t="str">
        <f t="shared" si="123"/>
        <v>Suppressed</v>
      </c>
      <c r="O1602" s="1" t="str">
        <f t="shared" ref="O1602:O1665" si="126">IF(OR(M1602="",L1602=""),"",M1602/100*L1602)</f>
        <v/>
      </c>
      <c r="P1602" s="1">
        <v>39</v>
      </c>
      <c r="Q1602" s="1">
        <v>1140</v>
      </c>
      <c r="R1602" s="1" t="str">
        <f t="shared" si="124"/>
        <v>4</v>
      </c>
      <c r="S1602" s="1">
        <v>17</v>
      </c>
      <c r="T1602" s="1" t="str">
        <f t="shared" ref="T1602:T1665" si="127">IF(L1602="","No enrolment",IF(L1602&lt;100,"1",IF(L1602&lt;300,"2",IF(L1602&lt;600,"3",IF(L1602&lt;1000,"4","5")))))</f>
        <v>3</v>
      </c>
      <c r="U1602" s="1">
        <v>-33.861418</v>
      </c>
      <c r="V1602" s="3">
        <v>151.142572</v>
      </c>
    </row>
    <row r="1603" spans="1:22" x14ac:dyDescent="0.35">
      <c r="A1603" s="22" t="s">
        <v>4681</v>
      </c>
      <c r="B1603" s="1" t="s">
        <v>4682</v>
      </c>
      <c r="C1603" s="1" t="s">
        <v>4683</v>
      </c>
      <c r="D1603" s="1" t="s">
        <v>62</v>
      </c>
      <c r="E1603" s="1" t="s">
        <v>56</v>
      </c>
      <c r="F1603" s="1" t="s">
        <v>47</v>
      </c>
      <c r="G1603" s="1">
        <f t="shared" si="125"/>
        <v>1</v>
      </c>
      <c r="H1603" s="1" t="s">
        <v>63</v>
      </c>
      <c r="I1603" s="1" t="s">
        <v>3731</v>
      </c>
      <c r="J1603" s="23" t="s">
        <v>50</v>
      </c>
      <c r="K1603" s="2" t="s">
        <v>51</v>
      </c>
      <c r="L1603" s="1">
        <v>54</v>
      </c>
      <c r="M1603" s="1">
        <v>20</v>
      </c>
      <c r="N1603" s="1" t="str">
        <f t="shared" ref="N1603:N1666" si="128">IF(M1603="","Suppressed","Published")</f>
        <v>Published</v>
      </c>
      <c r="O1603" s="1">
        <f t="shared" si="126"/>
        <v>10.8</v>
      </c>
      <c r="P1603" s="1"/>
      <c r="Q1603" s="1">
        <v>950</v>
      </c>
      <c r="R1603" s="1" t="str">
        <f t="shared" ref="R1603:R1666" si="129">IF(Q1603="","No ICSEA",IF(Q1603&lt;900,"1",IF(Q1603&lt;1000,"2",IF(Q1603&lt;1100,"3","4"))))</f>
        <v>2</v>
      </c>
      <c r="S1603" s="1">
        <v>122</v>
      </c>
      <c r="T1603" s="1" t="str">
        <f t="shared" si="127"/>
        <v>1</v>
      </c>
      <c r="U1603" s="1">
        <v>-32.823422999999998</v>
      </c>
      <c r="V1603" s="3">
        <v>151.49543800000001</v>
      </c>
    </row>
    <row r="1604" spans="1:22" x14ac:dyDescent="0.35">
      <c r="A1604" s="22" t="s">
        <v>4684</v>
      </c>
      <c r="B1604" s="1" t="s">
        <v>4685</v>
      </c>
      <c r="C1604" s="1" t="s">
        <v>4686</v>
      </c>
      <c r="D1604" s="1" t="s">
        <v>224</v>
      </c>
      <c r="E1604" s="1" t="s">
        <v>229</v>
      </c>
      <c r="F1604" s="1" t="s">
        <v>47</v>
      </c>
      <c r="G1604" s="1">
        <f t="shared" si="125"/>
        <v>1</v>
      </c>
      <c r="H1604" s="1" t="s">
        <v>48</v>
      </c>
      <c r="I1604" s="1" t="s">
        <v>49</v>
      </c>
      <c r="J1604" s="23" t="s">
        <v>50</v>
      </c>
      <c r="K1604" s="2" t="s">
        <v>51</v>
      </c>
      <c r="L1604" s="1">
        <v>204</v>
      </c>
      <c r="M1604" s="1"/>
      <c r="N1604" s="1" t="str">
        <f t="shared" si="128"/>
        <v>Suppressed</v>
      </c>
      <c r="O1604" s="1" t="str">
        <f t="shared" si="126"/>
        <v/>
      </c>
      <c r="P1604" s="1">
        <v>58</v>
      </c>
      <c r="Q1604" s="1">
        <v>1057</v>
      </c>
      <c r="R1604" s="1" t="str">
        <f t="shared" si="129"/>
        <v>3</v>
      </c>
      <c r="S1604" s="1">
        <v>65</v>
      </c>
      <c r="T1604" s="1" t="str">
        <f t="shared" si="127"/>
        <v>2</v>
      </c>
      <c r="U1604" s="1">
        <v>-33.949019999999997</v>
      </c>
      <c r="V1604" s="3">
        <v>151.162305</v>
      </c>
    </row>
    <row r="1605" spans="1:22" x14ac:dyDescent="0.35">
      <c r="A1605" s="22" t="s">
        <v>4687</v>
      </c>
      <c r="B1605" s="1" t="s">
        <v>4688</v>
      </c>
      <c r="C1605" s="1" t="s">
        <v>4689</v>
      </c>
      <c r="D1605" s="1" t="s">
        <v>224</v>
      </c>
      <c r="E1605" s="1" t="s">
        <v>229</v>
      </c>
      <c r="F1605" s="1" t="s">
        <v>47</v>
      </c>
      <c r="G1605" s="1">
        <f t="shared" si="125"/>
        <v>1</v>
      </c>
      <c r="H1605" s="1" t="s">
        <v>48</v>
      </c>
      <c r="I1605" s="1" t="s">
        <v>3731</v>
      </c>
      <c r="J1605" s="23" t="s">
        <v>50</v>
      </c>
      <c r="K1605" s="2" t="s">
        <v>51</v>
      </c>
      <c r="L1605" s="1">
        <v>33</v>
      </c>
      <c r="M1605" s="1">
        <v>0</v>
      </c>
      <c r="N1605" s="1" t="str">
        <f t="shared" si="128"/>
        <v>Published</v>
      </c>
      <c r="O1605" s="1">
        <f t="shared" si="126"/>
        <v>0</v>
      </c>
      <c r="P1605" s="1">
        <v>47</v>
      </c>
      <c r="Q1605" s="1">
        <v>1088</v>
      </c>
      <c r="R1605" s="1" t="str">
        <f t="shared" si="129"/>
        <v>3</v>
      </c>
      <c r="S1605" s="1">
        <v>39</v>
      </c>
      <c r="T1605" s="1" t="str">
        <f t="shared" si="127"/>
        <v>1</v>
      </c>
      <c r="U1605" s="1">
        <v>-33.933427999999999</v>
      </c>
      <c r="V1605" s="3">
        <v>151.12555</v>
      </c>
    </row>
    <row r="1606" spans="1:22" x14ac:dyDescent="0.35">
      <c r="A1606" s="22" t="s">
        <v>4690</v>
      </c>
      <c r="B1606" s="1" t="s">
        <v>4691</v>
      </c>
      <c r="C1606" s="1" t="s">
        <v>754</v>
      </c>
      <c r="D1606" s="1" t="s">
        <v>587</v>
      </c>
      <c r="E1606" s="1" t="s">
        <v>107</v>
      </c>
      <c r="F1606" s="1" t="s">
        <v>57</v>
      </c>
      <c r="G1606" s="1">
        <f t="shared" si="125"/>
        <v>2</v>
      </c>
      <c r="H1606" s="1" t="s">
        <v>92</v>
      </c>
      <c r="I1606" s="1" t="s">
        <v>49</v>
      </c>
      <c r="J1606" s="23" t="s">
        <v>50</v>
      </c>
      <c r="K1606" s="2" t="s">
        <v>51</v>
      </c>
      <c r="L1606" s="1">
        <v>157</v>
      </c>
      <c r="M1606" s="1">
        <v>63</v>
      </c>
      <c r="N1606" s="1" t="str">
        <f t="shared" si="128"/>
        <v>Published</v>
      </c>
      <c r="O1606" s="1">
        <f t="shared" si="126"/>
        <v>98.91</v>
      </c>
      <c r="P1606" s="1">
        <v>8</v>
      </c>
      <c r="Q1606" s="1">
        <v>756</v>
      </c>
      <c r="R1606" s="1" t="str">
        <f t="shared" si="129"/>
        <v>1</v>
      </c>
      <c r="S1606" s="1">
        <v>194</v>
      </c>
      <c r="T1606" s="1" t="str">
        <f t="shared" si="127"/>
        <v>2</v>
      </c>
      <c r="U1606" s="1">
        <v>-28.854780000000002</v>
      </c>
      <c r="V1606" s="3">
        <v>153.036779</v>
      </c>
    </row>
    <row r="1607" spans="1:22" x14ac:dyDescent="0.35">
      <c r="A1607" s="22" t="s">
        <v>4692</v>
      </c>
      <c r="B1607" s="1" t="s">
        <v>4693</v>
      </c>
      <c r="C1607" s="1" t="s">
        <v>4694</v>
      </c>
      <c r="D1607" s="1" t="s">
        <v>152</v>
      </c>
      <c r="E1607" s="1" t="s">
        <v>170</v>
      </c>
      <c r="F1607" s="1" t="s">
        <v>47</v>
      </c>
      <c r="G1607" s="1">
        <f t="shared" si="125"/>
        <v>1</v>
      </c>
      <c r="H1607" s="1" t="s">
        <v>48</v>
      </c>
      <c r="I1607" s="1" t="s">
        <v>3731</v>
      </c>
      <c r="J1607" s="23" t="s">
        <v>50</v>
      </c>
      <c r="K1607" s="2" t="s">
        <v>51</v>
      </c>
      <c r="L1607" s="1">
        <v>93</v>
      </c>
      <c r="M1607" s="1"/>
      <c r="N1607" s="1" t="str">
        <f t="shared" si="128"/>
        <v>Suppressed</v>
      </c>
      <c r="O1607" s="1" t="str">
        <f t="shared" si="126"/>
        <v/>
      </c>
      <c r="P1607" s="1">
        <v>94</v>
      </c>
      <c r="Q1607" s="1">
        <v>1027</v>
      </c>
      <c r="R1607" s="1" t="str">
        <f t="shared" si="129"/>
        <v>3</v>
      </c>
      <c r="S1607" s="1">
        <v>90</v>
      </c>
      <c r="T1607" s="1" t="str">
        <f t="shared" si="127"/>
        <v>1</v>
      </c>
      <c r="U1607" s="1">
        <v>-33.889237000000001</v>
      </c>
      <c r="V1607" s="3">
        <v>151.00958800000001</v>
      </c>
    </row>
    <row r="1608" spans="1:22" x14ac:dyDescent="0.35">
      <c r="A1608" s="22" t="s">
        <v>4695</v>
      </c>
      <c r="B1608" s="1" t="s">
        <v>4696</v>
      </c>
      <c r="C1608" s="1" t="s">
        <v>126</v>
      </c>
      <c r="D1608" s="1" t="s">
        <v>126</v>
      </c>
      <c r="E1608" s="1" t="s">
        <v>147</v>
      </c>
      <c r="F1608" s="1" t="s">
        <v>47</v>
      </c>
      <c r="G1608" s="1">
        <f t="shared" si="125"/>
        <v>1</v>
      </c>
      <c r="H1608" s="1" t="s">
        <v>148</v>
      </c>
      <c r="I1608" s="1" t="s">
        <v>49</v>
      </c>
      <c r="J1608" s="23" t="s">
        <v>50</v>
      </c>
      <c r="K1608" s="2" t="s">
        <v>51</v>
      </c>
      <c r="L1608" s="1">
        <v>534</v>
      </c>
      <c r="M1608" s="1"/>
      <c r="N1608" s="1" t="str">
        <f t="shared" si="128"/>
        <v>Suppressed</v>
      </c>
      <c r="O1608" s="1" t="str">
        <f t="shared" si="126"/>
        <v/>
      </c>
      <c r="P1608" s="1">
        <v>73</v>
      </c>
      <c r="Q1608" s="1">
        <v>1110</v>
      </c>
      <c r="R1608" s="1" t="str">
        <f t="shared" si="129"/>
        <v>4</v>
      </c>
      <c r="S1608" s="1">
        <v>22</v>
      </c>
      <c r="T1608" s="1" t="str">
        <f t="shared" si="127"/>
        <v>3</v>
      </c>
      <c r="U1608" s="1">
        <v>-33.713498999999999</v>
      </c>
      <c r="V1608" s="3">
        <v>151.09514799999999</v>
      </c>
    </row>
    <row r="1609" spans="1:22" x14ac:dyDescent="0.35">
      <c r="A1609" s="22" t="s">
        <v>4697</v>
      </c>
      <c r="B1609" s="1" t="s">
        <v>4698</v>
      </c>
      <c r="C1609" s="1" t="s">
        <v>2303</v>
      </c>
      <c r="D1609" s="1" t="s">
        <v>386</v>
      </c>
      <c r="E1609" s="1" t="s">
        <v>229</v>
      </c>
      <c r="F1609" s="1" t="s">
        <v>47</v>
      </c>
      <c r="G1609" s="1">
        <f t="shared" si="125"/>
        <v>1</v>
      </c>
      <c r="H1609" s="1" t="s">
        <v>48</v>
      </c>
      <c r="I1609" s="1" t="s">
        <v>3731</v>
      </c>
      <c r="J1609" s="23" t="s">
        <v>50</v>
      </c>
      <c r="K1609" s="2" t="s">
        <v>51</v>
      </c>
      <c r="L1609" s="1">
        <v>59</v>
      </c>
      <c r="M1609" s="1"/>
      <c r="N1609" s="1" t="str">
        <f t="shared" si="128"/>
        <v>Suppressed</v>
      </c>
      <c r="O1609" s="1" t="str">
        <f t="shared" si="126"/>
        <v/>
      </c>
      <c r="P1609" s="1">
        <v>52</v>
      </c>
      <c r="Q1609" s="1">
        <v>1097</v>
      </c>
      <c r="R1609" s="1" t="str">
        <f t="shared" si="129"/>
        <v>3</v>
      </c>
      <c r="S1609" s="1">
        <v>26</v>
      </c>
      <c r="T1609" s="1" t="str">
        <f t="shared" si="127"/>
        <v>1</v>
      </c>
      <c r="U1609" s="1">
        <v>-33.973128000000003</v>
      </c>
      <c r="V1609" s="3">
        <v>151.09053599999999</v>
      </c>
    </row>
    <row r="1610" spans="1:22" x14ac:dyDescent="0.35">
      <c r="A1610" s="22" t="s">
        <v>4699</v>
      </c>
      <c r="B1610" s="1" t="s">
        <v>4700</v>
      </c>
      <c r="C1610" s="1" t="s">
        <v>1939</v>
      </c>
      <c r="D1610" s="1" t="s">
        <v>1939</v>
      </c>
      <c r="E1610" s="1" t="s">
        <v>147</v>
      </c>
      <c r="F1610" s="1" t="s">
        <v>47</v>
      </c>
      <c r="G1610" s="1">
        <f t="shared" si="125"/>
        <v>1</v>
      </c>
      <c r="H1610" s="1" t="s">
        <v>148</v>
      </c>
      <c r="I1610" s="1" t="s">
        <v>49</v>
      </c>
      <c r="J1610" s="23" t="s">
        <v>50</v>
      </c>
      <c r="K1610" s="2" t="s">
        <v>51</v>
      </c>
      <c r="L1610" s="1">
        <v>205</v>
      </c>
      <c r="M1610" s="1">
        <v>0</v>
      </c>
      <c r="N1610" s="1" t="str">
        <f t="shared" si="128"/>
        <v>Published</v>
      </c>
      <c r="O1610" s="1">
        <f t="shared" si="126"/>
        <v>0</v>
      </c>
      <c r="P1610" s="1">
        <v>48</v>
      </c>
      <c r="Q1610" s="1">
        <v>1154</v>
      </c>
      <c r="R1610" s="1" t="str">
        <f t="shared" si="129"/>
        <v>4</v>
      </c>
      <c r="S1610" s="1">
        <v>7</v>
      </c>
      <c r="T1610" s="1" t="str">
        <f t="shared" si="127"/>
        <v>2</v>
      </c>
      <c r="U1610" s="1">
        <v>-33.812007999999999</v>
      </c>
      <c r="V1610" s="3">
        <v>151.241883</v>
      </c>
    </row>
    <row r="1611" spans="1:22" x14ac:dyDescent="0.35">
      <c r="A1611" s="22" t="s">
        <v>4701</v>
      </c>
      <c r="B1611" s="1" t="s">
        <v>4702</v>
      </c>
      <c r="C1611" s="1" t="s">
        <v>4703</v>
      </c>
      <c r="D1611" s="1" t="s">
        <v>537</v>
      </c>
      <c r="E1611" s="1" t="s">
        <v>181</v>
      </c>
      <c r="F1611" s="1" t="s">
        <v>47</v>
      </c>
      <c r="G1611" s="1">
        <f t="shared" si="125"/>
        <v>1</v>
      </c>
      <c r="H1611" s="1" t="s">
        <v>182</v>
      </c>
      <c r="I1611" s="1" t="s">
        <v>49</v>
      </c>
      <c r="J1611" s="23" t="s">
        <v>50</v>
      </c>
      <c r="K1611" s="2" t="s">
        <v>51</v>
      </c>
      <c r="L1611" s="1">
        <v>524</v>
      </c>
      <c r="M1611" s="1"/>
      <c r="N1611" s="1" t="str">
        <f t="shared" si="128"/>
        <v>Suppressed</v>
      </c>
      <c r="O1611" s="1" t="str">
        <f t="shared" si="126"/>
        <v/>
      </c>
      <c r="P1611" s="1">
        <v>95</v>
      </c>
      <c r="Q1611" s="1">
        <v>934</v>
      </c>
      <c r="R1611" s="1" t="str">
        <f t="shared" si="129"/>
        <v>2</v>
      </c>
      <c r="S1611" s="1">
        <v>140</v>
      </c>
      <c r="T1611" s="1" t="str">
        <f t="shared" si="127"/>
        <v>3</v>
      </c>
      <c r="U1611" s="1">
        <v>-33.890976999999999</v>
      </c>
      <c r="V1611" s="3">
        <v>150.95355499999999</v>
      </c>
    </row>
    <row r="1612" spans="1:22" x14ac:dyDescent="0.35">
      <c r="A1612" s="22" t="s">
        <v>4704</v>
      </c>
      <c r="B1612" s="1" t="s">
        <v>4705</v>
      </c>
      <c r="C1612" s="1" t="s">
        <v>451</v>
      </c>
      <c r="D1612" s="1" t="s">
        <v>169</v>
      </c>
      <c r="E1612" s="1" t="s">
        <v>170</v>
      </c>
      <c r="F1612" s="1" t="s">
        <v>47</v>
      </c>
      <c r="G1612" s="1">
        <f t="shared" si="125"/>
        <v>1</v>
      </c>
      <c r="H1612" s="1" t="s">
        <v>48</v>
      </c>
      <c r="I1612" s="1" t="s">
        <v>49</v>
      </c>
      <c r="J1612" s="23" t="s">
        <v>50</v>
      </c>
      <c r="K1612" s="2" t="s">
        <v>51</v>
      </c>
      <c r="L1612" s="1">
        <v>259</v>
      </c>
      <c r="M1612" s="1">
        <v>3</v>
      </c>
      <c r="N1612" s="1" t="str">
        <f t="shared" si="128"/>
        <v>Published</v>
      </c>
      <c r="O1612" s="1">
        <f t="shared" si="126"/>
        <v>7.77</v>
      </c>
      <c r="P1612" s="1">
        <v>95</v>
      </c>
      <c r="Q1612" s="1">
        <v>923</v>
      </c>
      <c r="R1612" s="1" t="str">
        <f t="shared" si="129"/>
        <v>2</v>
      </c>
      <c r="S1612" s="1">
        <v>165</v>
      </c>
      <c r="T1612" s="1" t="str">
        <f t="shared" si="127"/>
        <v>2</v>
      </c>
      <c r="U1612" s="1">
        <v>-33.848269999999999</v>
      </c>
      <c r="V1612" s="3">
        <v>151.00998100000001</v>
      </c>
    </row>
    <row r="1613" spans="1:22" x14ac:dyDescent="0.35">
      <c r="A1613" s="22" t="s">
        <v>4706</v>
      </c>
      <c r="B1613" s="1" t="s">
        <v>4707</v>
      </c>
      <c r="C1613" s="1" t="s">
        <v>1352</v>
      </c>
      <c r="D1613" s="1" t="s">
        <v>280</v>
      </c>
      <c r="E1613" s="1" t="s">
        <v>281</v>
      </c>
      <c r="F1613" s="1" t="s">
        <v>57</v>
      </c>
      <c r="G1613" s="1">
        <f t="shared" si="125"/>
        <v>2</v>
      </c>
      <c r="H1613" s="1" t="s">
        <v>92</v>
      </c>
      <c r="I1613" s="1" t="s">
        <v>49</v>
      </c>
      <c r="J1613" s="23" t="s">
        <v>50</v>
      </c>
      <c r="K1613" s="2" t="s">
        <v>51</v>
      </c>
      <c r="L1613" s="1">
        <v>467</v>
      </c>
      <c r="M1613" s="1">
        <v>21</v>
      </c>
      <c r="N1613" s="1" t="str">
        <f t="shared" si="128"/>
        <v>Published</v>
      </c>
      <c r="O1613" s="1">
        <f t="shared" si="126"/>
        <v>98.07</v>
      </c>
      <c r="P1613" s="1">
        <v>4</v>
      </c>
      <c r="Q1613" s="1">
        <v>940</v>
      </c>
      <c r="R1613" s="1" t="str">
        <f t="shared" si="129"/>
        <v>2</v>
      </c>
      <c r="S1613" s="1">
        <v>113</v>
      </c>
      <c r="T1613" s="1" t="str">
        <f t="shared" si="127"/>
        <v>3</v>
      </c>
      <c r="U1613" s="1">
        <v>-29.670687000000001</v>
      </c>
      <c r="V1613" s="3">
        <v>152.92987299999999</v>
      </c>
    </row>
    <row r="1614" spans="1:22" x14ac:dyDescent="0.35">
      <c r="A1614" s="22" t="s">
        <v>4708</v>
      </c>
      <c r="B1614" s="1" t="s">
        <v>4709</v>
      </c>
      <c r="C1614" s="1" t="s">
        <v>228</v>
      </c>
      <c r="D1614" s="1" t="s">
        <v>152</v>
      </c>
      <c r="E1614" s="1" t="s">
        <v>229</v>
      </c>
      <c r="F1614" s="1" t="s">
        <v>47</v>
      </c>
      <c r="G1614" s="1">
        <f t="shared" si="125"/>
        <v>1</v>
      </c>
      <c r="H1614" s="1" t="s">
        <v>48</v>
      </c>
      <c r="I1614" s="1" t="s">
        <v>3731</v>
      </c>
      <c r="J1614" s="23" t="s">
        <v>50</v>
      </c>
      <c r="K1614" s="2" t="s">
        <v>51</v>
      </c>
      <c r="L1614" s="1">
        <v>173</v>
      </c>
      <c r="M1614" s="1">
        <v>0</v>
      </c>
      <c r="N1614" s="1" t="str">
        <f t="shared" si="128"/>
        <v>Published</v>
      </c>
      <c r="O1614" s="1">
        <f t="shared" si="126"/>
        <v>0</v>
      </c>
      <c r="P1614" s="1">
        <v>86</v>
      </c>
      <c r="Q1614" s="1">
        <v>1047</v>
      </c>
      <c r="R1614" s="1" t="str">
        <f t="shared" si="129"/>
        <v>3</v>
      </c>
      <c r="S1614" s="1">
        <v>82</v>
      </c>
      <c r="T1614" s="1" t="str">
        <f t="shared" si="127"/>
        <v>2</v>
      </c>
      <c r="U1614" s="1">
        <v>-33.916083999999998</v>
      </c>
      <c r="V1614" s="3">
        <v>151.04975999999999</v>
      </c>
    </row>
    <row r="1615" spans="1:22" x14ac:dyDescent="0.35">
      <c r="A1615" s="22" t="s">
        <v>4710</v>
      </c>
      <c r="B1615" s="1" t="s">
        <v>4711</v>
      </c>
      <c r="C1615" s="1" t="s">
        <v>944</v>
      </c>
      <c r="D1615" s="1" t="s">
        <v>944</v>
      </c>
      <c r="E1615" s="1" t="s">
        <v>261</v>
      </c>
      <c r="F1615" s="1" t="s">
        <v>57</v>
      </c>
      <c r="G1615" s="1">
        <f t="shared" si="125"/>
        <v>2</v>
      </c>
      <c r="H1615" s="1" t="s">
        <v>70</v>
      </c>
      <c r="I1615" s="1" t="s">
        <v>49</v>
      </c>
      <c r="J1615" s="23" t="s">
        <v>50</v>
      </c>
      <c r="K1615" s="2" t="s">
        <v>51</v>
      </c>
      <c r="L1615" s="1">
        <v>336</v>
      </c>
      <c r="M1615" s="1">
        <v>31</v>
      </c>
      <c r="N1615" s="1" t="str">
        <f t="shared" si="128"/>
        <v>Published</v>
      </c>
      <c r="O1615" s="1">
        <f t="shared" si="126"/>
        <v>104.16</v>
      </c>
      <c r="P1615" s="1">
        <v>3</v>
      </c>
      <c r="Q1615" s="1">
        <v>896</v>
      </c>
      <c r="R1615" s="1" t="str">
        <f t="shared" si="129"/>
        <v>1</v>
      </c>
      <c r="S1615" s="1">
        <v>135</v>
      </c>
      <c r="T1615" s="1" t="str">
        <f t="shared" si="127"/>
        <v>3</v>
      </c>
      <c r="U1615" s="1">
        <v>-33.822374000000003</v>
      </c>
      <c r="V1615" s="3">
        <v>148.68726599999999</v>
      </c>
    </row>
    <row r="1616" spans="1:22" x14ac:dyDescent="0.35">
      <c r="A1616" s="22" t="s">
        <v>4712</v>
      </c>
      <c r="B1616" s="1" t="s">
        <v>4713</v>
      </c>
      <c r="C1616" s="1" t="s">
        <v>232</v>
      </c>
      <c r="D1616" s="1" t="s">
        <v>152</v>
      </c>
      <c r="E1616" s="1" t="s">
        <v>229</v>
      </c>
      <c r="F1616" s="1" t="s">
        <v>47</v>
      </c>
      <c r="G1616" s="1">
        <f t="shared" si="125"/>
        <v>1</v>
      </c>
      <c r="H1616" s="1" t="s">
        <v>182</v>
      </c>
      <c r="I1616" s="1" t="s">
        <v>3731</v>
      </c>
      <c r="J1616" s="23" t="s">
        <v>50</v>
      </c>
      <c r="K1616" s="2" t="s">
        <v>51</v>
      </c>
      <c r="L1616" s="1">
        <v>141</v>
      </c>
      <c r="M1616" s="1"/>
      <c r="N1616" s="1" t="str">
        <f t="shared" si="128"/>
        <v>Suppressed</v>
      </c>
      <c r="O1616" s="1" t="str">
        <f t="shared" si="126"/>
        <v/>
      </c>
      <c r="P1616" s="1">
        <v>96</v>
      </c>
      <c r="Q1616" s="1">
        <v>999</v>
      </c>
      <c r="R1616" s="1" t="str">
        <f t="shared" si="129"/>
        <v>2</v>
      </c>
      <c r="S1616" s="1">
        <v>123</v>
      </c>
      <c r="T1616" s="1" t="str">
        <f t="shared" si="127"/>
        <v>2</v>
      </c>
      <c r="U1616" s="1">
        <v>-33.931229999999999</v>
      </c>
      <c r="V1616" s="3">
        <v>151.03840199999999</v>
      </c>
    </row>
    <row r="1617" spans="1:22" x14ac:dyDescent="0.35">
      <c r="A1617" s="22" t="s">
        <v>4714</v>
      </c>
      <c r="B1617" s="1" t="s">
        <v>4715</v>
      </c>
      <c r="C1617" s="1" t="s">
        <v>4716</v>
      </c>
      <c r="D1617" s="1" t="s">
        <v>74</v>
      </c>
      <c r="E1617" s="1" t="s">
        <v>75</v>
      </c>
      <c r="F1617" s="1" t="s">
        <v>47</v>
      </c>
      <c r="G1617" s="1">
        <f t="shared" si="125"/>
        <v>1</v>
      </c>
      <c r="H1617" s="1" t="s">
        <v>63</v>
      </c>
      <c r="I1617" s="1" t="s">
        <v>3731</v>
      </c>
      <c r="J1617" s="23" t="s">
        <v>50</v>
      </c>
      <c r="K1617" s="2" t="s">
        <v>51</v>
      </c>
      <c r="L1617" s="1">
        <v>55</v>
      </c>
      <c r="M1617" s="1"/>
      <c r="N1617" s="1" t="str">
        <f t="shared" si="128"/>
        <v>Suppressed</v>
      </c>
      <c r="O1617" s="1" t="str">
        <f t="shared" si="126"/>
        <v/>
      </c>
      <c r="P1617" s="1">
        <v>23</v>
      </c>
      <c r="Q1617" s="1">
        <v>1100</v>
      </c>
      <c r="R1617" s="1" t="str">
        <f t="shared" si="129"/>
        <v>4</v>
      </c>
      <c r="S1617" s="1">
        <v>16</v>
      </c>
      <c r="T1617" s="1" t="str">
        <f t="shared" si="127"/>
        <v>1</v>
      </c>
      <c r="U1617" s="1">
        <v>-32.934854999999999</v>
      </c>
      <c r="V1617" s="3">
        <v>151.68802700000001</v>
      </c>
    </row>
    <row r="1618" spans="1:22" x14ac:dyDescent="0.35">
      <c r="A1618" s="22" t="s">
        <v>4717</v>
      </c>
      <c r="B1618" s="1" t="s">
        <v>4718</v>
      </c>
      <c r="C1618" s="1" t="s">
        <v>4719</v>
      </c>
      <c r="D1618" s="1" t="s">
        <v>1502</v>
      </c>
      <c r="E1618" s="1" t="s">
        <v>46</v>
      </c>
      <c r="F1618" s="1" t="s">
        <v>47</v>
      </c>
      <c r="G1618" s="1">
        <f t="shared" si="125"/>
        <v>1</v>
      </c>
      <c r="H1618" s="1" t="s">
        <v>48</v>
      </c>
      <c r="I1618" s="1" t="s">
        <v>49</v>
      </c>
      <c r="J1618" s="23" t="s">
        <v>50</v>
      </c>
      <c r="K1618" s="2" t="s">
        <v>51</v>
      </c>
      <c r="L1618" s="1">
        <v>424</v>
      </c>
      <c r="M1618" s="1"/>
      <c r="N1618" s="1" t="str">
        <f t="shared" si="128"/>
        <v>Suppressed</v>
      </c>
      <c r="O1618" s="1" t="str">
        <f t="shared" si="126"/>
        <v/>
      </c>
      <c r="P1618" s="1">
        <v>92</v>
      </c>
      <c r="Q1618" s="1">
        <v>1069</v>
      </c>
      <c r="R1618" s="1" t="str">
        <f t="shared" si="129"/>
        <v>3</v>
      </c>
      <c r="S1618" s="1">
        <v>41</v>
      </c>
      <c r="T1618" s="1" t="str">
        <f t="shared" si="127"/>
        <v>3</v>
      </c>
      <c r="U1618" s="1">
        <v>-33.866461000000001</v>
      </c>
      <c r="V1618" s="3">
        <v>151.06671</v>
      </c>
    </row>
    <row r="1619" spans="1:22" x14ac:dyDescent="0.35">
      <c r="A1619" s="22" t="s">
        <v>4720</v>
      </c>
      <c r="B1619" s="1" t="s">
        <v>4721</v>
      </c>
      <c r="C1619" s="1" t="s">
        <v>726</v>
      </c>
      <c r="D1619" s="1" t="s">
        <v>191</v>
      </c>
      <c r="E1619" s="1" t="s">
        <v>75</v>
      </c>
      <c r="F1619" s="1" t="s">
        <v>47</v>
      </c>
      <c r="G1619" s="1">
        <f t="shared" si="125"/>
        <v>1</v>
      </c>
      <c r="H1619" s="1" t="s">
        <v>63</v>
      </c>
      <c r="I1619" s="1" t="s">
        <v>49</v>
      </c>
      <c r="J1619" s="23" t="s">
        <v>50</v>
      </c>
      <c r="K1619" s="2" t="s">
        <v>51</v>
      </c>
      <c r="L1619" s="1">
        <v>149</v>
      </c>
      <c r="M1619" s="1">
        <v>10</v>
      </c>
      <c r="N1619" s="1" t="str">
        <f t="shared" si="128"/>
        <v>Published</v>
      </c>
      <c r="O1619" s="1">
        <f t="shared" si="126"/>
        <v>14.9</v>
      </c>
      <c r="P1619" s="1">
        <v>6</v>
      </c>
      <c r="Q1619" s="1">
        <v>1014</v>
      </c>
      <c r="R1619" s="1" t="str">
        <f t="shared" si="129"/>
        <v>3</v>
      </c>
      <c r="S1619" s="1">
        <v>90</v>
      </c>
      <c r="T1619" s="1" t="str">
        <f t="shared" si="127"/>
        <v>2</v>
      </c>
      <c r="U1619" s="1">
        <v>-32.937812000000001</v>
      </c>
      <c r="V1619" s="3">
        <v>151.66572300000001</v>
      </c>
    </row>
    <row r="1620" spans="1:22" x14ac:dyDescent="0.35">
      <c r="A1620" s="22" t="s">
        <v>4722</v>
      </c>
      <c r="B1620" s="1" t="s">
        <v>4723</v>
      </c>
      <c r="C1620" s="1" t="s">
        <v>703</v>
      </c>
      <c r="D1620" s="1" t="s">
        <v>703</v>
      </c>
      <c r="E1620" s="1" t="s">
        <v>261</v>
      </c>
      <c r="F1620" s="1" t="s">
        <v>57</v>
      </c>
      <c r="G1620" s="1">
        <f t="shared" si="125"/>
        <v>2</v>
      </c>
      <c r="H1620" s="1" t="s">
        <v>70</v>
      </c>
      <c r="I1620" s="1" t="s">
        <v>49</v>
      </c>
      <c r="J1620" s="23" t="s">
        <v>50</v>
      </c>
      <c r="K1620" s="2" t="s">
        <v>51</v>
      </c>
      <c r="L1620" s="1">
        <v>503</v>
      </c>
      <c r="M1620" s="1">
        <v>20</v>
      </c>
      <c r="N1620" s="1" t="str">
        <f t="shared" si="128"/>
        <v>Published</v>
      </c>
      <c r="O1620" s="1">
        <f t="shared" si="126"/>
        <v>100.60000000000001</v>
      </c>
      <c r="P1620" s="1">
        <v>12</v>
      </c>
      <c r="Q1620" s="1">
        <v>938</v>
      </c>
      <c r="R1620" s="1" t="str">
        <f t="shared" si="129"/>
        <v>2</v>
      </c>
      <c r="S1620" s="1">
        <v>118</v>
      </c>
      <c r="T1620" s="1" t="str">
        <f t="shared" si="127"/>
        <v>3</v>
      </c>
      <c r="U1620" s="1">
        <v>-33.268526000000001</v>
      </c>
      <c r="V1620" s="3">
        <v>149.10356999999999</v>
      </c>
    </row>
    <row r="1621" spans="1:22" x14ac:dyDescent="0.35">
      <c r="A1621" s="22" t="s">
        <v>4724</v>
      </c>
      <c r="B1621" s="1" t="s">
        <v>4725</v>
      </c>
      <c r="C1621" s="1" t="s">
        <v>1461</v>
      </c>
      <c r="D1621" s="1" t="s">
        <v>737</v>
      </c>
      <c r="E1621" s="1" t="s">
        <v>738</v>
      </c>
      <c r="F1621" s="1" t="s">
        <v>47</v>
      </c>
      <c r="G1621" s="1">
        <f t="shared" si="125"/>
        <v>1</v>
      </c>
      <c r="H1621" s="1" t="s">
        <v>182</v>
      </c>
      <c r="I1621" s="1" t="s">
        <v>49</v>
      </c>
      <c r="J1621" s="23" t="s">
        <v>50</v>
      </c>
      <c r="K1621" s="2" t="s">
        <v>51</v>
      </c>
      <c r="L1621" s="1">
        <v>106</v>
      </c>
      <c r="M1621" s="1"/>
      <c r="N1621" s="1" t="str">
        <f t="shared" si="128"/>
        <v>Suppressed</v>
      </c>
      <c r="O1621" s="1" t="str">
        <f t="shared" si="126"/>
        <v/>
      </c>
      <c r="P1621" s="1">
        <v>11</v>
      </c>
      <c r="Q1621" s="1">
        <v>1072</v>
      </c>
      <c r="R1621" s="1" t="str">
        <f t="shared" si="129"/>
        <v>3</v>
      </c>
      <c r="S1621" s="1">
        <v>57</v>
      </c>
      <c r="T1621" s="1" t="str">
        <f t="shared" si="127"/>
        <v>2</v>
      </c>
      <c r="U1621" s="1">
        <v>-34.082070999999999</v>
      </c>
      <c r="V1621" s="3">
        <v>151.02025900000001</v>
      </c>
    </row>
    <row r="1622" spans="1:22" x14ac:dyDescent="0.35">
      <c r="A1622" s="22" t="s">
        <v>4726</v>
      </c>
      <c r="B1622" s="1" t="s">
        <v>4727</v>
      </c>
      <c r="C1622" s="1" t="s">
        <v>101</v>
      </c>
      <c r="D1622" s="1" t="s">
        <v>101</v>
      </c>
      <c r="E1622" s="1" t="s">
        <v>102</v>
      </c>
      <c r="F1622" s="1" t="s">
        <v>69</v>
      </c>
      <c r="G1622" s="1">
        <f t="shared" si="125"/>
        <v>3</v>
      </c>
      <c r="H1622" s="1" t="s">
        <v>70</v>
      </c>
      <c r="I1622" s="1" t="s">
        <v>49</v>
      </c>
      <c r="J1622" s="23" t="s">
        <v>50</v>
      </c>
      <c r="K1622" s="2" t="s">
        <v>51</v>
      </c>
      <c r="L1622" s="1">
        <v>120</v>
      </c>
      <c r="M1622" s="1">
        <v>8</v>
      </c>
      <c r="N1622" s="1" t="str">
        <f t="shared" si="128"/>
        <v>Published</v>
      </c>
      <c r="O1622" s="1">
        <f t="shared" si="126"/>
        <v>9.6</v>
      </c>
      <c r="P1622" s="1"/>
      <c r="Q1622" s="1">
        <v>985</v>
      </c>
      <c r="R1622" s="1" t="str">
        <f t="shared" si="129"/>
        <v>2</v>
      </c>
      <c r="S1622" s="1">
        <v>78</v>
      </c>
      <c r="T1622" s="1" t="str">
        <f t="shared" si="127"/>
        <v>2</v>
      </c>
      <c r="U1622" s="1">
        <v>-31.945381999999999</v>
      </c>
      <c r="V1622" s="3">
        <v>141.47200000000001</v>
      </c>
    </row>
    <row r="1623" spans="1:22" x14ac:dyDescent="0.35">
      <c r="A1623" s="22" t="s">
        <v>4728</v>
      </c>
      <c r="B1623" s="1" t="s">
        <v>4729</v>
      </c>
      <c r="C1623" s="1" t="s">
        <v>1292</v>
      </c>
      <c r="D1623" s="1" t="s">
        <v>689</v>
      </c>
      <c r="E1623" s="1" t="s">
        <v>122</v>
      </c>
      <c r="F1623" s="1" t="s">
        <v>47</v>
      </c>
      <c r="G1623" s="1">
        <f t="shared" si="125"/>
        <v>1</v>
      </c>
      <c r="H1623" s="1" t="s">
        <v>182</v>
      </c>
      <c r="I1623" s="1" t="s">
        <v>3192</v>
      </c>
      <c r="J1623" s="23" t="s">
        <v>50</v>
      </c>
      <c r="K1623" s="2" t="s">
        <v>51</v>
      </c>
      <c r="L1623" s="1">
        <v>63</v>
      </c>
      <c r="M1623" s="1">
        <v>24</v>
      </c>
      <c r="N1623" s="1" t="str">
        <f t="shared" si="128"/>
        <v>Published</v>
      </c>
      <c r="O1623" s="1">
        <f t="shared" si="126"/>
        <v>15.12</v>
      </c>
      <c r="P1623" s="1">
        <v>24</v>
      </c>
      <c r="Q1623" s="1">
        <v>896</v>
      </c>
      <c r="R1623" s="1" t="str">
        <f t="shared" si="129"/>
        <v>1</v>
      </c>
      <c r="S1623" s="1">
        <v>178</v>
      </c>
      <c r="T1623" s="1" t="str">
        <f t="shared" si="127"/>
        <v>1</v>
      </c>
      <c r="U1623" s="1">
        <v>-33.967931</v>
      </c>
      <c r="V1623" s="3">
        <v>150.878601</v>
      </c>
    </row>
    <row r="1624" spans="1:22" x14ac:dyDescent="0.35">
      <c r="A1624" s="22" t="s">
        <v>4730</v>
      </c>
      <c r="B1624" s="1" t="s">
        <v>4731</v>
      </c>
      <c r="C1624" s="1" t="s">
        <v>1017</v>
      </c>
      <c r="D1624" s="1" t="s">
        <v>203</v>
      </c>
      <c r="E1624" s="1" t="s">
        <v>204</v>
      </c>
      <c r="F1624" s="1" t="s">
        <v>47</v>
      </c>
      <c r="G1624" s="1">
        <f t="shared" si="125"/>
        <v>1</v>
      </c>
      <c r="H1624" s="1" t="s">
        <v>148</v>
      </c>
      <c r="I1624" s="1" t="s">
        <v>3192</v>
      </c>
      <c r="J1624" s="23" t="s">
        <v>50</v>
      </c>
      <c r="K1624" s="2" t="s">
        <v>51</v>
      </c>
      <c r="L1624" s="1">
        <v>62</v>
      </c>
      <c r="M1624" s="1"/>
      <c r="N1624" s="1" t="str">
        <f t="shared" si="128"/>
        <v>Suppressed</v>
      </c>
      <c r="O1624" s="1" t="str">
        <f t="shared" si="126"/>
        <v/>
      </c>
      <c r="P1624" s="1">
        <v>59</v>
      </c>
      <c r="Q1624" s="1">
        <v>1050</v>
      </c>
      <c r="R1624" s="1" t="str">
        <f t="shared" si="129"/>
        <v>3</v>
      </c>
      <c r="S1624" s="1">
        <v>63</v>
      </c>
      <c r="T1624" s="1" t="str">
        <f t="shared" si="127"/>
        <v>1</v>
      </c>
      <c r="U1624" s="1">
        <v>-33.746130999999998</v>
      </c>
      <c r="V1624" s="3">
        <v>151.28746599999999</v>
      </c>
    </row>
    <row r="1625" spans="1:22" x14ac:dyDescent="0.35">
      <c r="A1625" s="22" t="s">
        <v>4732</v>
      </c>
      <c r="B1625" s="1" t="s">
        <v>4733</v>
      </c>
      <c r="C1625" s="1" t="s">
        <v>4734</v>
      </c>
      <c r="D1625" s="1" t="s">
        <v>1776</v>
      </c>
      <c r="E1625" s="1" t="s">
        <v>147</v>
      </c>
      <c r="F1625" s="1" t="s">
        <v>47</v>
      </c>
      <c r="G1625" s="1">
        <f t="shared" si="125"/>
        <v>1</v>
      </c>
      <c r="H1625" s="1" t="s">
        <v>148</v>
      </c>
      <c r="I1625" s="1" t="s">
        <v>3192</v>
      </c>
      <c r="J1625" s="23" t="s">
        <v>50</v>
      </c>
      <c r="K1625" s="2" t="s">
        <v>51</v>
      </c>
      <c r="L1625" s="1">
        <v>60</v>
      </c>
      <c r="M1625" s="1"/>
      <c r="N1625" s="1" t="str">
        <f t="shared" si="128"/>
        <v>Suppressed</v>
      </c>
      <c r="O1625" s="1" t="str">
        <f t="shared" si="126"/>
        <v/>
      </c>
      <c r="P1625" s="1">
        <v>61</v>
      </c>
      <c r="Q1625" s="1">
        <v>1098</v>
      </c>
      <c r="R1625" s="1" t="str">
        <f t="shared" si="129"/>
        <v>3</v>
      </c>
      <c r="S1625" s="1">
        <v>27</v>
      </c>
      <c r="T1625" s="1" t="str">
        <f t="shared" si="127"/>
        <v>1</v>
      </c>
      <c r="U1625" s="1">
        <v>-33.773952000000001</v>
      </c>
      <c r="V1625" s="3">
        <v>151.17220699999999</v>
      </c>
    </row>
    <row r="1626" spans="1:22" x14ac:dyDescent="0.35">
      <c r="A1626" s="22" t="s">
        <v>4735</v>
      </c>
      <c r="B1626" s="1" t="s">
        <v>4736</v>
      </c>
      <c r="C1626" s="1" t="s">
        <v>3110</v>
      </c>
      <c r="D1626" s="1" t="s">
        <v>152</v>
      </c>
      <c r="E1626" s="1" t="s">
        <v>170</v>
      </c>
      <c r="F1626" s="1" t="s">
        <v>47</v>
      </c>
      <c r="G1626" s="1">
        <f t="shared" si="125"/>
        <v>1</v>
      </c>
      <c r="H1626" s="1" t="s">
        <v>48</v>
      </c>
      <c r="I1626" s="1" t="s">
        <v>3192</v>
      </c>
      <c r="J1626" s="23" t="s">
        <v>50</v>
      </c>
      <c r="K1626" s="2" t="s">
        <v>51</v>
      </c>
      <c r="L1626" s="1">
        <v>63</v>
      </c>
      <c r="M1626" s="1">
        <v>21</v>
      </c>
      <c r="N1626" s="1" t="str">
        <f t="shared" si="128"/>
        <v>Published</v>
      </c>
      <c r="O1626" s="1">
        <f t="shared" si="126"/>
        <v>13.229999999999999</v>
      </c>
      <c r="P1626" s="1">
        <v>61</v>
      </c>
      <c r="Q1626" s="1">
        <v>889</v>
      </c>
      <c r="R1626" s="1" t="str">
        <f t="shared" si="129"/>
        <v>1</v>
      </c>
      <c r="S1626" s="1">
        <v>190</v>
      </c>
      <c r="T1626" s="1" t="str">
        <f t="shared" si="127"/>
        <v>1</v>
      </c>
      <c r="U1626" s="1">
        <v>-33.867714999999997</v>
      </c>
      <c r="V1626" s="3">
        <v>150.98901799999999</v>
      </c>
    </row>
    <row r="1627" spans="1:22" x14ac:dyDescent="0.35">
      <c r="A1627" s="22" t="s">
        <v>4737</v>
      </c>
      <c r="B1627" s="1" t="s">
        <v>4738</v>
      </c>
      <c r="C1627" s="1" t="s">
        <v>223</v>
      </c>
      <c r="D1627" s="1" t="s">
        <v>224</v>
      </c>
      <c r="E1627" s="1" t="s">
        <v>225</v>
      </c>
      <c r="F1627" s="1" t="s">
        <v>47</v>
      </c>
      <c r="G1627" s="1">
        <f t="shared" si="125"/>
        <v>1</v>
      </c>
      <c r="H1627" s="1" t="s">
        <v>48</v>
      </c>
      <c r="I1627" s="1" t="s">
        <v>4739</v>
      </c>
      <c r="J1627" s="23" t="s">
        <v>50</v>
      </c>
      <c r="K1627" s="2" t="s">
        <v>51</v>
      </c>
      <c r="L1627" s="1"/>
      <c r="M1627" s="1"/>
      <c r="N1627" s="1" t="str">
        <f t="shared" si="128"/>
        <v>Suppressed</v>
      </c>
      <c r="O1627" s="1" t="str">
        <f t="shared" si="126"/>
        <v/>
      </c>
      <c r="P1627" s="1"/>
      <c r="Q1627" s="1"/>
      <c r="R1627" s="1" t="str">
        <f t="shared" si="129"/>
        <v>No ICSEA</v>
      </c>
      <c r="S1627" s="1">
        <v>26</v>
      </c>
      <c r="T1627" s="1" t="str">
        <f t="shared" si="127"/>
        <v>No enrolment</v>
      </c>
      <c r="U1627" s="1">
        <v>-33.942627000000002</v>
      </c>
      <c r="V1627" s="3">
        <v>151.19613799999999</v>
      </c>
    </row>
    <row r="1628" spans="1:22" x14ac:dyDescent="0.35">
      <c r="A1628" s="22" t="s">
        <v>4740</v>
      </c>
      <c r="B1628" s="1" t="s">
        <v>4741</v>
      </c>
      <c r="C1628" s="1" t="s">
        <v>4742</v>
      </c>
      <c r="D1628" s="1" t="s">
        <v>1155</v>
      </c>
      <c r="E1628" s="1" t="s">
        <v>306</v>
      </c>
      <c r="F1628" s="1" t="s">
        <v>47</v>
      </c>
      <c r="G1628" s="1">
        <f t="shared" si="125"/>
        <v>1</v>
      </c>
      <c r="H1628" s="1" t="s">
        <v>148</v>
      </c>
      <c r="I1628" s="1" t="s">
        <v>4743</v>
      </c>
      <c r="J1628" s="23" t="s">
        <v>50</v>
      </c>
      <c r="K1628" s="2" t="s">
        <v>51</v>
      </c>
      <c r="L1628" s="1"/>
      <c r="M1628" s="1"/>
      <c r="N1628" s="1" t="str">
        <f t="shared" si="128"/>
        <v>Suppressed</v>
      </c>
      <c r="O1628" s="1" t="str">
        <f t="shared" si="126"/>
        <v/>
      </c>
      <c r="P1628" s="1"/>
      <c r="Q1628" s="1"/>
      <c r="R1628" s="1" t="str">
        <f t="shared" si="129"/>
        <v>No ICSEA</v>
      </c>
      <c r="S1628" s="1"/>
      <c r="T1628" s="1" t="str">
        <f t="shared" si="127"/>
        <v>No enrolment</v>
      </c>
      <c r="U1628" s="1">
        <v>-33.816091999999998</v>
      </c>
      <c r="V1628" s="3">
        <v>151.13284899999999</v>
      </c>
    </row>
    <row r="1629" spans="1:22" x14ac:dyDescent="0.35">
      <c r="A1629" s="22" t="s">
        <v>4744</v>
      </c>
      <c r="B1629" s="1" t="s">
        <v>4745</v>
      </c>
      <c r="C1629" s="1" t="s">
        <v>4746</v>
      </c>
      <c r="D1629" s="1" t="s">
        <v>121</v>
      </c>
      <c r="E1629" s="1" t="s">
        <v>122</v>
      </c>
      <c r="F1629" s="1" t="s">
        <v>47</v>
      </c>
      <c r="G1629" s="1">
        <f t="shared" si="125"/>
        <v>1</v>
      </c>
      <c r="H1629" s="1" t="s">
        <v>86</v>
      </c>
      <c r="I1629" s="1" t="s">
        <v>4743</v>
      </c>
      <c r="J1629" s="23" t="s">
        <v>50</v>
      </c>
      <c r="K1629" s="2" t="s">
        <v>51</v>
      </c>
      <c r="L1629" s="1"/>
      <c r="M1629" s="1"/>
      <c r="N1629" s="1" t="str">
        <f t="shared" si="128"/>
        <v>Suppressed</v>
      </c>
      <c r="O1629" s="1" t="str">
        <f t="shared" si="126"/>
        <v/>
      </c>
      <c r="P1629" s="1"/>
      <c r="Q1629" s="1"/>
      <c r="R1629" s="1" t="str">
        <f t="shared" si="129"/>
        <v>No ICSEA</v>
      </c>
      <c r="S1629" s="1"/>
      <c r="T1629" s="1" t="str">
        <f t="shared" si="127"/>
        <v>No enrolment</v>
      </c>
      <c r="U1629" s="1">
        <v>-34.120004000000002</v>
      </c>
      <c r="V1629" s="3">
        <v>150.70968500000001</v>
      </c>
    </row>
    <row r="1630" spans="1:22" x14ac:dyDescent="0.35">
      <c r="A1630" s="22" t="s">
        <v>4747</v>
      </c>
      <c r="B1630" s="1" t="s">
        <v>4748</v>
      </c>
      <c r="C1630" s="1" t="s">
        <v>794</v>
      </c>
      <c r="D1630" s="1" t="s">
        <v>180</v>
      </c>
      <c r="E1630" s="1" t="s">
        <v>181</v>
      </c>
      <c r="F1630" s="1" t="s">
        <v>47</v>
      </c>
      <c r="G1630" s="1">
        <f t="shared" si="125"/>
        <v>1</v>
      </c>
      <c r="H1630" s="1" t="s">
        <v>182</v>
      </c>
      <c r="I1630" s="1" t="s">
        <v>4743</v>
      </c>
      <c r="J1630" s="23" t="s">
        <v>50</v>
      </c>
      <c r="K1630" s="2" t="s">
        <v>51</v>
      </c>
      <c r="L1630" s="1"/>
      <c r="M1630" s="1"/>
      <c r="N1630" s="1" t="str">
        <f t="shared" si="128"/>
        <v>Suppressed</v>
      </c>
      <c r="O1630" s="1" t="str">
        <f t="shared" si="126"/>
        <v/>
      </c>
      <c r="P1630" s="1"/>
      <c r="Q1630" s="1"/>
      <c r="R1630" s="1" t="str">
        <f t="shared" si="129"/>
        <v>No ICSEA</v>
      </c>
      <c r="S1630" s="1"/>
      <c r="T1630" s="1" t="str">
        <f t="shared" si="127"/>
        <v>No enrolment</v>
      </c>
      <c r="U1630" s="1">
        <v>-33.910277999999998</v>
      </c>
      <c r="V1630" s="3">
        <v>150.961511</v>
      </c>
    </row>
    <row r="1631" spans="1:22" x14ac:dyDescent="0.35">
      <c r="A1631" s="22" t="s">
        <v>4749</v>
      </c>
      <c r="B1631" s="1" t="s">
        <v>4750</v>
      </c>
      <c r="C1631" s="1" t="s">
        <v>4141</v>
      </c>
      <c r="D1631" s="1" t="s">
        <v>1131</v>
      </c>
      <c r="E1631" s="1" t="s">
        <v>429</v>
      </c>
      <c r="F1631" s="1" t="s">
        <v>47</v>
      </c>
      <c r="G1631" s="1">
        <f t="shared" si="125"/>
        <v>1</v>
      </c>
      <c r="H1631" s="1" t="s">
        <v>148</v>
      </c>
      <c r="I1631" s="1" t="s">
        <v>3192</v>
      </c>
      <c r="J1631" s="23" t="s">
        <v>50</v>
      </c>
      <c r="K1631" s="2" t="s">
        <v>51</v>
      </c>
      <c r="L1631" s="1">
        <v>65</v>
      </c>
      <c r="M1631" s="1">
        <v>34</v>
      </c>
      <c r="N1631" s="1" t="str">
        <f t="shared" si="128"/>
        <v>Published</v>
      </c>
      <c r="O1631" s="1">
        <f t="shared" si="126"/>
        <v>22.1</v>
      </c>
      <c r="P1631" s="1">
        <v>32</v>
      </c>
      <c r="Q1631" s="1">
        <v>871</v>
      </c>
      <c r="R1631" s="1" t="str">
        <f t="shared" si="129"/>
        <v>1</v>
      </c>
      <c r="S1631" s="1">
        <v>178</v>
      </c>
      <c r="T1631" s="1" t="str">
        <f t="shared" si="127"/>
        <v>1</v>
      </c>
      <c r="U1631" s="1">
        <v>-33.764296999999999</v>
      </c>
      <c r="V1631" s="3">
        <v>150.75038499999999</v>
      </c>
    </row>
    <row r="1632" spans="1:22" x14ac:dyDescent="0.35">
      <c r="A1632" s="22" t="s">
        <v>4751</v>
      </c>
      <c r="B1632" s="1" t="s">
        <v>4752</v>
      </c>
      <c r="C1632" s="1" t="s">
        <v>688</v>
      </c>
      <c r="D1632" s="1" t="s">
        <v>689</v>
      </c>
      <c r="E1632" s="1" t="s">
        <v>122</v>
      </c>
      <c r="F1632" s="1" t="s">
        <v>47</v>
      </c>
      <c r="G1632" s="1">
        <f t="shared" si="125"/>
        <v>1</v>
      </c>
      <c r="H1632" s="1" t="s">
        <v>86</v>
      </c>
      <c r="I1632" s="1" t="s">
        <v>3192</v>
      </c>
      <c r="J1632" s="23" t="s">
        <v>50</v>
      </c>
      <c r="K1632" s="2" t="s">
        <v>51</v>
      </c>
      <c r="L1632" s="1">
        <v>19</v>
      </c>
      <c r="M1632" s="1">
        <v>37</v>
      </c>
      <c r="N1632" s="1" t="str">
        <f t="shared" si="128"/>
        <v>Published</v>
      </c>
      <c r="O1632" s="1">
        <f t="shared" si="126"/>
        <v>7.03</v>
      </c>
      <c r="P1632" s="1"/>
      <c r="Q1632" s="1">
        <v>871</v>
      </c>
      <c r="R1632" s="1" t="str">
        <f t="shared" si="129"/>
        <v>1</v>
      </c>
      <c r="S1632" s="1">
        <v>208</v>
      </c>
      <c r="T1632" s="1" t="str">
        <f t="shared" si="127"/>
        <v>1</v>
      </c>
      <c r="U1632" s="1">
        <v>-34.088473999999998</v>
      </c>
      <c r="V1632" s="3">
        <v>150.82633100000001</v>
      </c>
    </row>
    <row r="1633" spans="1:22" x14ac:dyDescent="0.35">
      <c r="A1633" s="22" t="s">
        <v>4753</v>
      </c>
      <c r="B1633" s="1" t="s">
        <v>4754</v>
      </c>
      <c r="C1633" s="1" t="s">
        <v>4385</v>
      </c>
      <c r="D1633" s="1" t="s">
        <v>186</v>
      </c>
      <c r="E1633" s="1" t="s">
        <v>187</v>
      </c>
      <c r="F1633" s="1" t="s">
        <v>47</v>
      </c>
      <c r="G1633" s="1">
        <f t="shared" si="125"/>
        <v>1</v>
      </c>
      <c r="H1633" s="1" t="s">
        <v>63</v>
      </c>
      <c r="I1633" s="1" t="s">
        <v>3192</v>
      </c>
      <c r="J1633" s="23" t="s">
        <v>50</v>
      </c>
      <c r="K1633" s="2" t="s">
        <v>4755</v>
      </c>
      <c r="L1633" s="1">
        <v>54</v>
      </c>
      <c r="M1633" s="1">
        <v>63</v>
      </c>
      <c r="N1633" s="1" t="str">
        <f t="shared" si="128"/>
        <v>Published</v>
      </c>
      <c r="O1633" s="1">
        <f t="shared" si="126"/>
        <v>34.020000000000003</v>
      </c>
      <c r="P1633" s="1"/>
      <c r="Q1633" s="1">
        <v>826</v>
      </c>
      <c r="R1633" s="1" t="str">
        <f t="shared" si="129"/>
        <v>1</v>
      </c>
      <c r="S1633" s="1">
        <v>172</v>
      </c>
      <c r="T1633" s="1" t="str">
        <f t="shared" si="127"/>
        <v>1</v>
      </c>
      <c r="U1633" s="1">
        <v>-33.423699999999997</v>
      </c>
      <c r="V1633" s="3">
        <v>151.29599999999999</v>
      </c>
    </row>
    <row r="1634" spans="1:22" x14ac:dyDescent="0.35">
      <c r="A1634" s="22" t="s">
        <v>4756</v>
      </c>
      <c r="B1634" s="1" t="s">
        <v>4757</v>
      </c>
      <c r="C1634" s="1" t="s">
        <v>4758</v>
      </c>
      <c r="D1634" s="1" t="s">
        <v>74</v>
      </c>
      <c r="E1634" s="1" t="s">
        <v>75</v>
      </c>
      <c r="F1634" s="1" t="s">
        <v>47</v>
      </c>
      <c r="G1634" s="1">
        <f t="shared" si="125"/>
        <v>1</v>
      </c>
      <c r="H1634" s="1" t="s">
        <v>63</v>
      </c>
      <c r="I1634" s="1" t="s">
        <v>4743</v>
      </c>
      <c r="J1634" s="23" t="s">
        <v>50</v>
      </c>
      <c r="K1634" s="2" t="s">
        <v>51</v>
      </c>
      <c r="L1634" s="1"/>
      <c r="M1634" s="1"/>
      <c r="N1634" s="1" t="str">
        <f t="shared" si="128"/>
        <v>Suppressed</v>
      </c>
      <c r="O1634" s="1" t="str">
        <f t="shared" si="126"/>
        <v/>
      </c>
      <c r="P1634" s="1"/>
      <c r="Q1634" s="1"/>
      <c r="R1634" s="1" t="str">
        <f t="shared" si="129"/>
        <v>No ICSEA</v>
      </c>
      <c r="S1634" s="1"/>
      <c r="T1634" s="1" t="str">
        <f t="shared" si="127"/>
        <v>No enrolment</v>
      </c>
      <c r="U1634" s="1">
        <v>-32.876106999999998</v>
      </c>
      <c r="V1634" s="3">
        <v>151.69613200000001</v>
      </c>
    </row>
    <row r="1635" spans="1:22" x14ac:dyDescent="0.35">
      <c r="A1635" s="22" t="s">
        <v>4759</v>
      </c>
      <c r="B1635" s="1" t="s">
        <v>4760</v>
      </c>
      <c r="C1635" s="1" t="s">
        <v>4530</v>
      </c>
      <c r="D1635" s="1" t="s">
        <v>761</v>
      </c>
      <c r="E1635" s="1" t="s">
        <v>127</v>
      </c>
      <c r="F1635" s="1" t="s">
        <v>47</v>
      </c>
      <c r="G1635" s="1">
        <f t="shared" si="125"/>
        <v>1</v>
      </c>
      <c r="H1635" s="1" t="s">
        <v>148</v>
      </c>
      <c r="I1635" s="1" t="s">
        <v>3192</v>
      </c>
      <c r="J1635" s="23" t="s">
        <v>50</v>
      </c>
      <c r="K1635" s="2" t="s">
        <v>51</v>
      </c>
      <c r="L1635" s="1">
        <v>98</v>
      </c>
      <c r="M1635" s="1"/>
      <c r="N1635" s="1" t="str">
        <f t="shared" si="128"/>
        <v>Suppressed</v>
      </c>
      <c r="O1635" s="1" t="str">
        <f t="shared" si="126"/>
        <v/>
      </c>
      <c r="P1635" s="1">
        <v>55</v>
      </c>
      <c r="Q1635" s="1">
        <v>1034</v>
      </c>
      <c r="R1635" s="1" t="str">
        <f t="shared" si="129"/>
        <v>3</v>
      </c>
      <c r="S1635" s="1">
        <v>88</v>
      </c>
      <c r="T1635" s="1" t="str">
        <f t="shared" si="127"/>
        <v>1</v>
      </c>
      <c r="U1635" s="1">
        <v>-33.707053999999999</v>
      </c>
      <c r="V1635" s="3">
        <v>150.95217</v>
      </c>
    </row>
    <row r="1636" spans="1:22" x14ac:dyDescent="0.35">
      <c r="A1636" s="22" t="s">
        <v>4761</v>
      </c>
      <c r="B1636" s="1" t="s">
        <v>4762</v>
      </c>
      <c r="C1636" s="1" t="s">
        <v>4763</v>
      </c>
      <c r="D1636" s="1" t="s">
        <v>1003</v>
      </c>
      <c r="E1636" s="1" t="s">
        <v>225</v>
      </c>
      <c r="F1636" s="1" t="s">
        <v>47</v>
      </c>
      <c r="G1636" s="1">
        <f t="shared" si="125"/>
        <v>1</v>
      </c>
      <c r="H1636" s="1" t="s">
        <v>48</v>
      </c>
      <c r="I1636" s="1" t="s">
        <v>3192</v>
      </c>
      <c r="J1636" s="23" t="s">
        <v>50</v>
      </c>
      <c r="K1636" s="2" t="s">
        <v>51</v>
      </c>
      <c r="L1636" s="1">
        <v>29</v>
      </c>
      <c r="M1636" s="1">
        <v>52</v>
      </c>
      <c r="N1636" s="1" t="str">
        <f t="shared" si="128"/>
        <v>Published</v>
      </c>
      <c r="O1636" s="1">
        <f t="shared" si="126"/>
        <v>15.08</v>
      </c>
      <c r="P1636" s="1"/>
      <c r="Q1636" s="1">
        <v>890</v>
      </c>
      <c r="R1636" s="1" t="str">
        <f t="shared" si="129"/>
        <v>1</v>
      </c>
      <c r="S1636" s="1">
        <v>160</v>
      </c>
      <c r="T1636" s="1" t="str">
        <f t="shared" si="127"/>
        <v>1</v>
      </c>
      <c r="U1636" s="1">
        <v>-33.904024999999997</v>
      </c>
      <c r="V1636" s="3">
        <v>151.20310799999999</v>
      </c>
    </row>
    <row r="1637" spans="1:22" x14ac:dyDescent="0.35">
      <c r="A1637" s="22" t="s">
        <v>4764</v>
      </c>
      <c r="B1637" s="1" t="s">
        <v>4765</v>
      </c>
      <c r="C1637" s="1" t="s">
        <v>4766</v>
      </c>
      <c r="D1637" s="1" t="s">
        <v>203</v>
      </c>
      <c r="E1637" s="1" t="s">
        <v>204</v>
      </c>
      <c r="F1637" s="1" t="s">
        <v>47</v>
      </c>
      <c r="G1637" s="1">
        <f t="shared" si="125"/>
        <v>1</v>
      </c>
      <c r="H1637" s="1" t="s">
        <v>148</v>
      </c>
      <c r="I1637" s="1" t="s">
        <v>3192</v>
      </c>
      <c r="J1637" s="23" t="s">
        <v>50</v>
      </c>
      <c r="K1637" s="2" t="s">
        <v>51</v>
      </c>
      <c r="L1637" s="1"/>
      <c r="M1637" s="1"/>
      <c r="N1637" s="1" t="str">
        <f t="shared" si="128"/>
        <v>Suppressed</v>
      </c>
      <c r="O1637" s="1" t="str">
        <f t="shared" si="126"/>
        <v/>
      </c>
      <c r="P1637" s="1"/>
      <c r="Q1637" s="1"/>
      <c r="R1637" s="1" t="str">
        <f t="shared" si="129"/>
        <v>No ICSEA</v>
      </c>
      <c r="S1637" s="1">
        <v>150</v>
      </c>
      <c r="T1637" s="1" t="str">
        <f t="shared" si="127"/>
        <v>No enrolment</v>
      </c>
      <c r="U1637" s="1">
        <v>-33.798518999999999</v>
      </c>
      <c r="V1637" s="3">
        <v>151.288476</v>
      </c>
    </row>
    <row r="1638" spans="1:22" x14ac:dyDescent="0.35">
      <c r="A1638" s="22" t="s">
        <v>4767</v>
      </c>
      <c r="B1638" s="1" t="s">
        <v>4768</v>
      </c>
      <c r="C1638" s="1" t="s">
        <v>688</v>
      </c>
      <c r="D1638" s="1" t="s">
        <v>689</v>
      </c>
      <c r="E1638" s="1" t="s">
        <v>122</v>
      </c>
      <c r="F1638" s="1" t="s">
        <v>47</v>
      </c>
      <c r="G1638" s="1">
        <f t="shared" si="125"/>
        <v>1</v>
      </c>
      <c r="H1638" s="1" t="s">
        <v>86</v>
      </c>
      <c r="I1638" s="1" t="s">
        <v>3192</v>
      </c>
      <c r="J1638" s="23" t="s">
        <v>50</v>
      </c>
      <c r="K1638" s="2" t="s">
        <v>51</v>
      </c>
      <c r="L1638" s="1">
        <v>59</v>
      </c>
      <c r="M1638" s="1">
        <v>12</v>
      </c>
      <c r="N1638" s="1" t="str">
        <f t="shared" si="128"/>
        <v>Published</v>
      </c>
      <c r="O1638" s="1">
        <f t="shared" si="126"/>
        <v>7.08</v>
      </c>
      <c r="P1638" s="1">
        <v>47</v>
      </c>
      <c r="Q1638" s="1">
        <v>967</v>
      </c>
      <c r="R1638" s="1" t="str">
        <f t="shared" si="129"/>
        <v>2</v>
      </c>
      <c r="S1638" s="1">
        <v>129</v>
      </c>
      <c r="T1638" s="1" t="str">
        <f t="shared" si="127"/>
        <v>1</v>
      </c>
      <c r="U1638" s="1">
        <v>-34.062207999999998</v>
      </c>
      <c r="V1638" s="3">
        <v>150.824219</v>
      </c>
    </row>
    <row r="1639" spans="1:22" x14ac:dyDescent="0.35">
      <c r="A1639" s="22" t="s">
        <v>4769</v>
      </c>
      <c r="B1639" s="1" t="s">
        <v>4770</v>
      </c>
      <c r="C1639" s="1" t="s">
        <v>2869</v>
      </c>
      <c r="D1639" s="1" t="s">
        <v>74</v>
      </c>
      <c r="E1639" s="1" t="s">
        <v>75</v>
      </c>
      <c r="F1639" s="1" t="s">
        <v>47</v>
      </c>
      <c r="G1639" s="1">
        <f t="shared" si="125"/>
        <v>1</v>
      </c>
      <c r="H1639" s="1" t="s">
        <v>63</v>
      </c>
      <c r="I1639" s="1" t="s">
        <v>3192</v>
      </c>
      <c r="J1639" s="23" t="s">
        <v>50</v>
      </c>
      <c r="K1639" s="2" t="s">
        <v>51</v>
      </c>
      <c r="L1639" s="1">
        <v>37</v>
      </c>
      <c r="M1639" s="1">
        <v>22</v>
      </c>
      <c r="N1639" s="1" t="str">
        <f t="shared" si="128"/>
        <v>Published</v>
      </c>
      <c r="O1639" s="1">
        <f t="shared" si="126"/>
        <v>8.14</v>
      </c>
      <c r="P1639" s="1">
        <v>19</v>
      </c>
      <c r="Q1639" s="1">
        <v>960</v>
      </c>
      <c r="R1639" s="1" t="str">
        <f t="shared" si="129"/>
        <v>2</v>
      </c>
      <c r="S1639" s="1">
        <v>125</v>
      </c>
      <c r="T1639" s="1" t="str">
        <f t="shared" si="127"/>
        <v>1</v>
      </c>
      <c r="U1639" s="1">
        <v>-32.909171000000001</v>
      </c>
      <c r="V1639" s="3">
        <v>151.723388</v>
      </c>
    </row>
    <row r="1640" spans="1:22" x14ac:dyDescent="0.35">
      <c r="A1640" s="22" t="s">
        <v>4771</v>
      </c>
      <c r="B1640" s="1" t="s">
        <v>4772</v>
      </c>
      <c r="C1640" s="1" t="s">
        <v>1676</v>
      </c>
      <c r="D1640" s="1" t="s">
        <v>386</v>
      </c>
      <c r="E1640" s="1" t="s">
        <v>229</v>
      </c>
      <c r="F1640" s="1" t="s">
        <v>47</v>
      </c>
      <c r="G1640" s="1">
        <f t="shared" si="125"/>
        <v>1</v>
      </c>
      <c r="H1640" s="1" t="s">
        <v>48</v>
      </c>
      <c r="I1640" s="1" t="s">
        <v>3192</v>
      </c>
      <c r="J1640" s="23" t="s">
        <v>50</v>
      </c>
      <c r="K1640" s="2" t="s">
        <v>51</v>
      </c>
      <c r="L1640" s="1"/>
      <c r="M1640" s="1"/>
      <c r="N1640" s="1" t="str">
        <f t="shared" si="128"/>
        <v>Suppressed</v>
      </c>
      <c r="O1640" s="1" t="str">
        <f t="shared" si="126"/>
        <v/>
      </c>
      <c r="P1640" s="1"/>
      <c r="Q1640" s="1"/>
      <c r="R1640" s="1" t="str">
        <f t="shared" si="129"/>
        <v>No ICSEA</v>
      </c>
      <c r="S1640" s="1">
        <v>100</v>
      </c>
      <c r="T1640" s="1" t="str">
        <f t="shared" si="127"/>
        <v>No enrolment</v>
      </c>
      <c r="U1640" s="1">
        <v>-33.966709999999999</v>
      </c>
      <c r="V1640" s="3">
        <v>151.13399000000001</v>
      </c>
    </row>
    <row r="1641" spans="1:22" x14ac:dyDescent="0.35">
      <c r="A1641" s="22" t="s">
        <v>4773</v>
      </c>
      <c r="B1641" s="1" t="s">
        <v>4774</v>
      </c>
      <c r="C1641" s="1" t="s">
        <v>4775</v>
      </c>
      <c r="D1641" s="1" t="s">
        <v>203</v>
      </c>
      <c r="E1641" s="1" t="s">
        <v>204</v>
      </c>
      <c r="F1641" s="1" t="s">
        <v>47</v>
      </c>
      <c r="G1641" s="1">
        <f t="shared" si="125"/>
        <v>1</v>
      </c>
      <c r="H1641" s="1" t="s">
        <v>148</v>
      </c>
      <c r="I1641" s="1" t="s">
        <v>3192</v>
      </c>
      <c r="J1641" s="23" t="s">
        <v>50</v>
      </c>
      <c r="K1641" s="2" t="s">
        <v>51</v>
      </c>
      <c r="L1641" s="1"/>
      <c r="M1641" s="1"/>
      <c r="N1641" s="1" t="str">
        <f t="shared" si="128"/>
        <v>Suppressed</v>
      </c>
      <c r="O1641" s="1" t="str">
        <f t="shared" si="126"/>
        <v/>
      </c>
      <c r="P1641" s="1"/>
      <c r="Q1641" s="1"/>
      <c r="R1641" s="1" t="str">
        <f t="shared" si="129"/>
        <v>No ICSEA</v>
      </c>
      <c r="S1641" s="1">
        <v>150</v>
      </c>
      <c r="T1641" s="1" t="str">
        <f t="shared" si="127"/>
        <v>No enrolment</v>
      </c>
      <c r="U1641" s="1">
        <v>-33.773490000000002</v>
      </c>
      <c r="V1641" s="3">
        <v>151.29131000000001</v>
      </c>
    </row>
    <row r="1642" spans="1:22" x14ac:dyDescent="0.35">
      <c r="A1642" s="22" t="s">
        <v>4776</v>
      </c>
      <c r="B1642" s="1" t="s">
        <v>4777</v>
      </c>
      <c r="C1642" s="1" t="s">
        <v>876</v>
      </c>
      <c r="D1642" s="1" t="s">
        <v>876</v>
      </c>
      <c r="E1642" s="1" t="s">
        <v>330</v>
      </c>
      <c r="F1642" s="1" t="s">
        <v>47</v>
      </c>
      <c r="G1642" s="1">
        <f t="shared" si="125"/>
        <v>1</v>
      </c>
      <c r="H1642" s="1" t="s">
        <v>48</v>
      </c>
      <c r="I1642" s="1" t="s">
        <v>3192</v>
      </c>
      <c r="J1642" s="23" t="s">
        <v>50</v>
      </c>
      <c r="K1642" s="2" t="s">
        <v>51</v>
      </c>
      <c r="L1642" s="1">
        <v>53</v>
      </c>
      <c r="M1642" s="1"/>
      <c r="N1642" s="1" t="str">
        <f t="shared" si="128"/>
        <v>Suppressed</v>
      </c>
      <c r="O1642" s="1" t="str">
        <f t="shared" si="126"/>
        <v/>
      </c>
      <c r="P1642" s="1"/>
      <c r="Q1642" s="1">
        <v>1055</v>
      </c>
      <c r="R1642" s="1" t="str">
        <f t="shared" si="129"/>
        <v>3</v>
      </c>
      <c r="S1642" s="1">
        <v>69</v>
      </c>
      <c r="T1642" s="1" t="str">
        <f t="shared" si="127"/>
        <v>1</v>
      </c>
      <c r="U1642" s="1">
        <v>-33.910564000000001</v>
      </c>
      <c r="V1642" s="3">
        <v>151.24318400000001</v>
      </c>
    </row>
    <row r="1643" spans="1:22" x14ac:dyDescent="0.35">
      <c r="A1643" s="22" t="s">
        <v>4778</v>
      </c>
      <c r="B1643" s="1" t="s">
        <v>4779</v>
      </c>
      <c r="C1643" s="1" t="s">
        <v>1676</v>
      </c>
      <c r="D1643" s="1" t="s">
        <v>224</v>
      </c>
      <c r="E1643" s="1" t="s">
        <v>229</v>
      </c>
      <c r="F1643" s="1" t="s">
        <v>47</v>
      </c>
      <c r="G1643" s="1">
        <f t="shared" si="125"/>
        <v>1</v>
      </c>
      <c r="H1643" s="1" t="s">
        <v>48</v>
      </c>
      <c r="I1643" s="1" t="s">
        <v>3192</v>
      </c>
      <c r="J1643" s="23" t="s">
        <v>50</v>
      </c>
      <c r="K1643" s="2" t="s">
        <v>51</v>
      </c>
      <c r="L1643" s="1">
        <v>64</v>
      </c>
      <c r="M1643" s="1"/>
      <c r="N1643" s="1" t="str">
        <f t="shared" si="128"/>
        <v>Suppressed</v>
      </c>
      <c r="O1643" s="1" t="str">
        <f t="shared" si="126"/>
        <v/>
      </c>
      <c r="P1643" s="1">
        <v>39</v>
      </c>
      <c r="Q1643" s="1">
        <v>1055</v>
      </c>
      <c r="R1643" s="1" t="str">
        <f t="shared" si="129"/>
        <v>3</v>
      </c>
      <c r="S1643" s="1">
        <v>79</v>
      </c>
      <c r="T1643" s="1" t="str">
        <f t="shared" si="127"/>
        <v>1</v>
      </c>
      <c r="U1643" s="1">
        <v>-33.969054999999997</v>
      </c>
      <c r="V1643" s="3">
        <v>151.13753199999999</v>
      </c>
    </row>
    <row r="1644" spans="1:22" x14ac:dyDescent="0.35">
      <c r="A1644" s="22" t="s">
        <v>4780</v>
      </c>
      <c r="B1644" s="1" t="s">
        <v>4781</v>
      </c>
      <c r="C1644" s="1" t="s">
        <v>2413</v>
      </c>
      <c r="D1644" s="1" t="s">
        <v>152</v>
      </c>
      <c r="E1644" s="1" t="s">
        <v>229</v>
      </c>
      <c r="F1644" s="1" t="s">
        <v>47</v>
      </c>
      <c r="G1644" s="1">
        <f t="shared" si="125"/>
        <v>1</v>
      </c>
      <c r="H1644" s="1" t="s">
        <v>182</v>
      </c>
      <c r="I1644" s="1" t="s">
        <v>3192</v>
      </c>
      <c r="J1644" s="23" t="s">
        <v>50</v>
      </c>
      <c r="K1644" s="2" t="s">
        <v>51</v>
      </c>
      <c r="L1644" s="1">
        <v>100</v>
      </c>
      <c r="M1644" s="1"/>
      <c r="N1644" s="1" t="str">
        <f t="shared" si="128"/>
        <v>Suppressed</v>
      </c>
      <c r="O1644" s="1" t="str">
        <f t="shared" si="126"/>
        <v/>
      </c>
      <c r="P1644" s="1">
        <v>83</v>
      </c>
      <c r="Q1644" s="1">
        <v>1005</v>
      </c>
      <c r="R1644" s="1" t="str">
        <f t="shared" si="129"/>
        <v>3</v>
      </c>
      <c r="S1644" s="1">
        <v>114</v>
      </c>
      <c r="T1644" s="1" t="str">
        <f t="shared" si="127"/>
        <v>2</v>
      </c>
      <c r="U1644" s="1">
        <v>-33.942492999999999</v>
      </c>
      <c r="V1644" s="3">
        <v>151.015897</v>
      </c>
    </row>
    <row r="1645" spans="1:22" x14ac:dyDescent="0.35">
      <c r="A1645" s="22" t="s">
        <v>4782</v>
      </c>
      <c r="B1645" s="1" t="s">
        <v>4783</v>
      </c>
      <c r="C1645" s="1" t="s">
        <v>2472</v>
      </c>
      <c r="D1645" s="1" t="s">
        <v>1155</v>
      </c>
      <c r="E1645" s="1" t="s">
        <v>306</v>
      </c>
      <c r="F1645" s="1" t="s">
        <v>47</v>
      </c>
      <c r="G1645" s="1">
        <f t="shared" si="125"/>
        <v>1</v>
      </c>
      <c r="H1645" s="1" t="s">
        <v>148</v>
      </c>
      <c r="I1645" s="1" t="s">
        <v>3192</v>
      </c>
      <c r="J1645" s="23" t="s">
        <v>50</v>
      </c>
      <c r="K1645" s="2" t="s">
        <v>51</v>
      </c>
      <c r="L1645" s="1">
        <v>17</v>
      </c>
      <c r="M1645" s="1"/>
      <c r="N1645" s="1" t="str">
        <f t="shared" si="128"/>
        <v>Suppressed</v>
      </c>
      <c r="O1645" s="1" t="str">
        <f t="shared" si="126"/>
        <v/>
      </c>
      <c r="P1645" s="1"/>
      <c r="Q1645" s="1">
        <v>1011</v>
      </c>
      <c r="R1645" s="1" t="str">
        <f t="shared" si="129"/>
        <v>3</v>
      </c>
      <c r="S1645" s="1">
        <v>99</v>
      </c>
      <c r="T1645" s="1" t="str">
        <f t="shared" si="127"/>
        <v>1</v>
      </c>
      <c r="U1645" s="1">
        <v>-33.803223000000003</v>
      </c>
      <c r="V1645" s="3">
        <v>151.12553500000001</v>
      </c>
    </row>
    <row r="1646" spans="1:22" x14ac:dyDescent="0.35">
      <c r="A1646" s="22" t="s">
        <v>4784</v>
      </c>
      <c r="B1646" s="1" t="s">
        <v>4785</v>
      </c>
      <c r="C1646" s="1" t="s">
        <v>4786</v>
      </c>
      <c r="D1646" s="1" t="s">
        <v>115</v>
      </c>
      <c r="E1646" s="1" t="s">
        <v>225</v>
      </c>
      <c r="F1646" s="1" t="s">
        <v>47</v>
      </c>
      <c r="G1646" s="1">
        <f t="shared" si="125"/>
        <v>1</v>
      </c>
      <c r="H1646" s="1" t="s">
        <v>48</v>
      </c>
      <c r="I1646" s="1" t="s">
        <v>3192</v>
      </c>
      <c r="J1646" s="23" t="s">
        <v>50</v>
      </c>
      <c r="K1646" s="2" t="s">
        <v>51</v>
      </c>
      <c r="L1646" s="1">
        <v>37</v>
      </c>
      <c r="M1646" s="1">
        <v>30</v>
      </c>
      <c r="N1646" s="1" t="str">
        <f t="shared" si="128"/>
        <v>Published</v>
      </c>
      <c r="O1646" s="1">
        <f t="shared" si="126"/>
        <v>11.1</v>
      </c>
      <c r="P1646" s="1"/>
      <c r="Q1646" s="1">
        <v>977</v>
      </c>
      <c r="R1646" s="1" t="str">
        <f t="shared" si="129"/>
        <v>2</v>
      </c>
      <c r="S1646" s="1">
        <v>108</v>
      </c>
      <c r="T1646" s="1" t="str">
        <f t="shared" si="127"/>
        <v>1</v>
      </c>
      <c r="U1646" s="1">
        <v>-33.887445</v>
      </c>
      <c r="V1646" s="3">
        <v>151.175254</v>
      </c>
    </row>
    <row r="1647" spans="1:22" x14ac:dyDescent="0.35">
      <c r="A1647" s="22" t="s">
        <v>4787</v>
      </c>
      <c r="B1647" s="1" t="s">
        <v>4788</v>
      </c>
      <c r="C1647" s="1" t="s">
        <v>4789</v>
      </c>
      <c r="D1647" s="1" t="s">
        <v>1003</v>
      </c>
      <c r="E1647" s="1" t="s">
        <v>225</v>
      </c>
      <c r="F1647" s="1" t="s">
        <v>47</v>
      </c>
      <c r="G1647" s="1">
        <f t="shared" si="125"/>
        <v>1</v>
      </c>
      <c r="H1647" s="1" t="s">
        <v>48</v>
      </c>
      <c r="I1647" s="1" t="s">
        <v>3192</v>
      </c>
      <c r="J1647" s="23" t="s">
        <v>50</v>
      </c>
      <c r="K1647" s="2" t="s">
        <v>51</v>
      </c>
      <c r="L1647" s="1"/>
      <c r="M1647" s="1"/>
      <c r="N1647" s="1" t="str">
        <f t="shared" si="128"/>
        <v>Suppressed</v>
      </c>
      <c r="O1647" s="1" t="str">
        <f t="shared" si="126"/>
        <v/>
      </c>
      <c r="P1647" s="1"/>
      <c r="Q1647" s="1"/>
      <c r="R1647" s="1" t="str">
        <f t="shared" si="129"/>
        <v>No ICSEA</v>
      </c>
      <c r="S1647" s="1">
        <v>100</v>
      </c>
      <c r="T1647" s="1" t="str">
        <f t="shared" si="127"/>
        <v>No enrolment</v>
      </c>
      <c r="U1647" s="1">
        <v>-33.889313999999999</v>
      </c>
      <c r="V1647" s="3">
        <v>151.18024500000001</v>
      </c>
    </row>
    <row r="1648" spans="1:22" x14ac:dyDescent="0.35">
      <c r="A1648" s="22" t="s">
        <v>4790</v>
      </c>
      <c r="B1648" s="1" t="s">
        <v>4791</v>
      </c>
      <c r="C1648" s="1" t="s">
        <v>4792</v>
      </c>
      <c r="D1648" s="1" t="s">
        <v>146</v>
      </c>
      <c r="E1648" s="1" t="s">
        <v>147</v>
      </c>
      <c r="F1648" s="1" t="s">
        <v>47</v>
      </c>
      <c r="G1648" s="1">
        <f t="shared" si="125"/>
        <v>1</v>
      </c>
      <c r="H1648" s="1" t="s">
        <v>148</v>
      </c>
      <c r="I1648" s="1" t="s">
        <v>3192</v>
      </c>
      <c r="J1648" s="23" t="s">
        <v>50</v>
      </c>
      <c r="K1648" s="2" t="s">
        <v>51</v>
      </c>
      <c r="L1648" s="1"/>
      <c r="M1648" s="1"/>
      <c r="N1648" s="1" t="str">
        <f t="shared" si="128"/>
        <v>Suppressed</v>
      </c>
      <c r="O1648" s="1" t="str">
        <f t="shared" si="126"/>
        <v/>
      </c>
      <c r="P1648" s="1"/>
      <c r="Q1648" s="1"/>
      <c r="R1648" s="1" t="str">
        <f t="shared" si="129"/>
        <v>No ICSEA</v>
      </c>
      <c r="S1648" s="1">
        <v>100</v>
      </c>
      <c r="T1648" s="1" t="str">
        <f t="shared" si="127"/>
        <v>No enrolment</v>
      </c>
      <c r="U1648" s="1">
        <v>-33.820684999999997</v>
      </c>
      <c r="V1648" s="3">
        <v>151.19078999999999</v>
      </c>
    </row>
    <row r="1649" spans="1:22" x14ac:dyDescent="0.35">
      <c r="A1649" s="22" t="s">
        <v>4793</v>
      </c>
      <c r="B1649" s="1" t="s">
        <v>4794</v>
      </c>
      <c r="C1649" s="1" t="s">
        <v>876</v>
      </c>
      <c r="D1649" s="1" t="s">
        <v>876</v>
      </c>
      <c r="E1649" s="1" t="s">
        <v>330</v>
      </c>
      <c r="F1649" s="1" t="s">
        <v>47</v>
      </c>
      <c r="G1649" s="1">
        <f t="shared" si="125"/>
        <v>1</v>
      </c>
      <c r="H1649" s="1" t="s">
        <v>48</v>
      </c>
      <c r="I1649" s="1" t="s">
        <v>3192</v>
      </c>
      <c r="J1649" s="23" t="s">
        <v>50</v>
      </c>
      <c r="K1649" s="2" t="s">
        <v>51</v>
      </c>
      <c r="L1649" s="1"/>
      <c r="M1649" s="1"/>
      <c r="N1649" s="1" t="str">
        <f t="shared" si="128"/>
        <v>Suppressed</v>
      </c>
      <c r="O1649" s="1" t="str">
        <f t="shared" si="126"/>
        <v/>
      </c>
      <c r="P1649" s="1"/>
      <c r="Q1649" s="1"/>
      <c r="R1649" s="1" t="str">
        <f t="shared" si="129"/>
        <v>No ICSEA</v>
      </c>
      <c r="S1649" s="1">
        <v>100</v>
      </c>
      <c r="T1649" s="1" t="str">
        <f t="shared" si="127"/>
        <v>No enrolment</v>
      </c>
      <c r="U1649" s="1">
        <v>-33.919052999999998</v>
      </c>
      <c r="V1649" s="3">
        <v>151.23906700000001</v>
      </c>
    </row>
    <row r="1650" spans="1:22" x14ac:dyDescent="0.35">
      <c r="A1650" s="22" t="s">
        <v>4795</v>
      </c>
      <c r="B1650" s="1" t="s">
        <v>4796</v>
      </c>
      <c r="C1650" s="1" t="s">
        <v>736</v>
      </c>
      <c r="D1650" s="1" t="s">
        <v>737</v>
      </c>
      <c r="E1650" s="1" t="s">
        <v>738</v>
      </c>
      <c r="F1650" s="1" t="s">
        <v>47</v>
      </c>
      <c r="G1650" s="1">
        <f t="shared" si="125"/>
        <v>1</v>
      </c>
      <c r="H1650" s="1" t="s">
        <v>182</v>
      </c>
      <c r="I1650" s="1" t="s">
        <v>3192</v>
      </c>
      <c r="J1650" s="23" t="s">
        <v>50</v>
      </c>
      <c r="K1650" s="2" t="s">
        <v>51</v>
      </c>
      <c r="L1650" s="1"/>
      <c r="M1650" s="1"/>
      <c r="N1650" s="1" t="str">
        <f t="shared" si="128"/>
        <v>Suppressed</v>
      </c>
      <c r="O1650" s="1" t="str">
        <f t="shared" si="126"/>
        <v/>
      </c>
      <c r="P1650" s="1"/>
      <c r="Q1650" s="1"/>
      <c r="R1650" s="1" t="str">
        <f t="shared" si="129"/>
        <v>No ICSEA</v>
      </c>
      <c r="S1650" s="1">
        <v>100</v>
      </c>
      <c r="T1650" s="1" t="str">
        <f t="shared" si="127"/>
        <v>No enrolment</v>
      </c>
      <c r="U1650" s="1">
        <v>-34.038034000000003</v>
      </c>
      <c r="V1650" s="3">
        <v>151.114597</v>
      </c>
    </row>
    <row r="1651" spans="1:22" x14ac:dyDescent="0.35">
      <c r="A1651" s="22" t="s">
        <v>4797</v>
      </c>
      <c r="B1651" s="1" t="s">
        <v>4798</v>
      </c>
      <c r="C1651" s="1" t="s">
        <v>232</v>
      </c>
      <c r="D1651" s="1" t="s">
        <v>152</v>
      </c>
      <c r="E1651" s="1" t="s">
        <v>229</v>
      </c>
      <c r="F1651" s="1" t="s">
        <v>47</v>
      </c>
      <c r="G1651" s="1">
        <f t="shared" si="125"/>
        <v>1</v>
      </c>
      <c r="H1651" s="1" t="s">
        <v>182</v>
      </c>
      <c r="I1651" s="1" t="s">
        <v>3192</v>
      </c>
      <c r="J1651" s="23" t="s">
        <v>50</v>
      </c>
      <c r="K1651" s="2" t="s">
        <v>51</v>
      </c>
      <c r="L1651" s="1"/>
      <c r="M1651" s="1"/>
      <c r="N1651" s="1" t="str">
        <f t="shared" si="128"/>
        <v>Suppressed</v>
      </c>
      <c r="O1651" s="1" t="str">
        <f t="shared" si="126"/>
        <v/>
      </c>
      <c r="P1651" s="1"/>
      <c r="Q1651" s="1"/>
      <c r="R1651" s="1" t="str">
        <f t="shared" si="129"/>
        <v>No ICSEA</v>
      </c>
      <c r="S1651" s="1">
        <v>100</v>
      </c>
      <c r="T1651" s="1" t="str">
        <f t="shared" si="127"/>
        <v>No enrolment</v>
      </c>
      <c r="U1651" s="1">
        <v>-33.933446000000004</v>
      </c>
      <c r="V1651" s="3">
        <v>151.02106900000001</v>
      </c>
    </row>
    <row r="1652" spans="1:22" x14ac:dyDescent="0.35">
      <c r="A1652" s="22" t="s">
        <v>4799</v>
      </c>
      <c r="B1652" s="1" t="s">
        <v>4800</v>
      </c>
      <c r="C1652" s="1" t="s">
        <v>713</v>
      </c>
      <c r="D1652" s="1" t="s">
        <v>713</v>
      </c>
      <c r="E1652" s="1" t="s">
        <v>80</v>
      </c>
      <c r="F1652" s="1" t="s">
        <v>57</v>
      </c>
      <c r="G1652" s="1">
        <f t="shared" si="125"/>
        <v>2</v>
      </c>
      <c r="H1652" s="1" t="s">
        <v>70</v>
      </c>
      <c r="I1652" s="1" t="s">
        <v>3192</v>
      </c>
      <c r="J1652" s="23" t="s">
        <v>50</v>
      </c>
      <c r="K1652" s="2" t="s">
        <v>51</v>
      </c>
      <c r="L1652" s="1">
        <v>71</v>
      </c>
      <c r="M1652" s="1">
        <v>25</v>
      </c>
      <c r="N1652" s="1" t="str">
        <f t="shared" si="128"/>
        <v>Published</v>
      </c>
      <c r="O1652" s="1">
        <f t="shared" si="126"/>
        <v>17.75</v>
      </c>
      <c r="P1652" s="1">
        <v>23</v>
      </c>
      <c r="Q1652" s="1">
        <v>929</v>
      </c>
      <c r="R1652" s="1" t="str">
        <f t="shared" si="129"/>
        <v>2</v>
      </c>
      <c r="S1652" s="1">
        <v>151</v>
      </c>
      <c r="T1652" s="1" t="str">
        <f t="shared" si="127"/>
        <v>1</v>
      </c>
      <c r="U1652" s="1">
        <v>-35.126266000000001</v>
      </c>
      <c r="V1652" s="3">
        <v>147.369416</v>
      </c>
    </row>
    <row r="1653" spans="1:22" x14ac:dyDescent="0.35">
      <c r="A1653" s="22" t="s">
        <v>4801</v>
      </c>
      <c r="B1653" s="1" t="s">
        <v>4802</v>
      </c>
      <c r="C1653" s="1" t="s">
        <v>176</v>
      </c>
      <c r="D1653" s="1" t="s">
        <v>176</v>
      </c>
      <c r="E1653" s="1" t="s">
        <v>85</v>
      </c>
      <c r="F1653" s="1" t="s">
        <v>47</v>
      </c>
      <c r="G1653" s="1">
        <f t="shared" si="125"/>
        <v>1</v>
      </c>
      <c r="H1653" s="1" t="s">
        <v>86</v>
      </c>
      <c r="I1653" s="1" t="s">
        <v>3192</v>
      </c>
      <c r="J1653" s="23" t="s">
        <v>50</v>
      </c>
      <c r="K1653" s="2" t="s">
        <v>51</v>
      </c>
      <c r="L1653" s="1"/>
      <c r="M1653" s="1"/>
      <c r="N1653" s="1" t="str">
        <f t="shared" si="128"/>
        <v>Suppressed</v>
      </c>
      <c r="O1653" s="1" t="str">
        <f t="shared" si="126"/>
        <v/>
      </c>
      <c r="P1653" s="1"/>
      <c r="Q1653" s="1"/>
      <c r="R1653" s="1" t="str">
        <f t="shared" si="129"/>
        <v>No ICSEA</v>
      </c>
      <c r="S1653" s="1">
        <v>100</v>
      </c>
      <c r="T1653" s="1" t="str">
        <f t="shared" si="127"/>
        <v>No enrolment</v>
      </c>
      <c r="U1653" s="1">
        <v>-34.424793000000001</v>
      </c>
      <c r="V1653" s="3">
        <v>150.88393500000001</v>
      </c>
    </row>
    <row r="1654" spans="1:22" x14ac:dyDescent="0.35">
      <c r="A1654" s="22" t="s">
        <v>4803</v>
      </c>
      <c r="B1654" s="1" t="s">
        <v>4804</v>
      </c>
      <c r="C1654" s="1" t="s">
        <v>180</v>
      </c>
      <c r="D1654" s="1" t="s">
        <v>180</v>
      </c>
      <c r="E1654" s="1" t="s">
        <v>181</v>
      </c>
      <c r="F1654" s="1" t="s">
        <v>47</v>
      </c>
      <c r="G1654" s="1">
        <f t="shared" si="125"/>
        <v>1</v>
      </c>
      <c r="H1654" s="1" t="s">
        <v>182</v>
      </c>
      <c r="I1654" s="1" t="s">
        <v>3192</v>
      </c>
      <c r="J1654" s="23" t="s">
        <v>50</v>
      </c>
      <c r="K1654" s="2" t="s">
        <v>51</v>
      </c>
      <c r="L1654" s="1"/>
      <c r="M1654" s="1"/>
      <c r="N1654" s="1" t="str">
        <f t="shared" si="128"/>
        <v>Suppressed</v>
      </c>
      <c r="O1654" s="1" t="str">
        <f t="shared" si="126"/>
        <v/>
      </c>
      <c r="P1654" s="1"/>
      <c r="Q1654" s="1"/>
      <c r="R1654" s="1" t="str">
        <f t="shared" si="129"/>
        <v>No ICSEA</v>
      </c>
      <c r="S1654" s="1">
        <v>100</v>
      </c>
      <c r="T1654" s="1" t="str">
        <f t="shared" si="127"/>
        <v>No enrolment</v>
      </c>
      <c r="U1654" s="1">
        <v>-33.919911999999997</v>
      </c>
      <c r="V1654" s="3">
        <v>150.931084</v>
      </c>
    </row>
    <row r="1655" spans="1:22" x14ac:dyDescent="0.35">
      <c r="A1655" s="22" t="s">
        <v>4805</v>
      </c>
      <c r="B1655" s="1" t="s">
        <v>4806</v>
      </c>
      <c r="C1655" s="1" t="s">
        <v>4807</v>
      </c>
      <c r="D1655" s="1" t="s">
        <v>74</v>
      </c>
      <c r="E1655" s="1" t="s">
        <v>75</v>
      </c>
      <c r="F1655" s="1" t="s">
        <v>47</v>
      </c>
      <c r="G1655" s="1">
        <f t="shared" si="125"/>
        <v>1</v>
      </c>
      <c r="H1655" s="1" t="s">
        <v>63</v>
      </c>
      <c r="I1655" s="1" t="s">
        <v>3192</v>
      </c>
      <c r="J1655" s="23" t="s">
        <v>50</v>
      </c>
      <c r="K1655" s="2" t="s">
        <v>51</v>
      </c>
      <c r="L1655" s="1"/>
      <c r="M1655" s="1"/>
      <c r="N1655" s="1" t="str">
        <f t="shared" si="128"/>
        <v>Suppressed</v>
      </c>
      <c r="O1655" s="1" t="str">
        <f t="shared" si="126"/>
        <v/>
      </c>
      <c r="P1655" s="1"/>
      <c r="Q1655" s="1"/>
      <c r="R1655" s="1" t="str">
        <f t="shared" si="129"/>
        <v>No ICSEA</v>
      </c>
      <c r="S1655" s="1">
        <v>100</v>
      </c>
      <c r="T1655" s="1" t="str">
        <f t="shared" si="127"/>
        <v>No enrolment</v>
      </c>
      <c r="U1655" s="1">
        <v>-32.921377999999997</v>
      </c>
      <c r="V1655" s="3">
        <v>151.69739799999999</v>
      </c>
    </row>
    <row r="1656" spans="1:22" x14ac:dyDescent="0.35">
      <c r="A1656" s="22" t="s">
        <v>4808</v>
      </c>
      <c r="B1656" s="1" t="s">
        <v>4809</v>
      </c>
      <c r="C1656" s="1" t="s">
        <v>3256</v>
      </c>
      <c r="D1656" s="1" t="s">
        <v>642</v>
      </c>
      <c r="E1656" s="1" t="s">
        <v>170</v>
      </c>
      <c r="F1656" s="1" t="s">
        <v>47</v>
      </c>
      <c r="G1656" s="1">
        <f t="shared" si="125"/>
        <v>1</v>
      </c>
      <c r="H1656" s="1" t="s">
        <v>48</v>
      </c>
      <c r="I1656" s="1" t="s">
        <v>3192</v>
      </c>
      <c r="J1656" s="23" t="s">
        <v>50</v>
      </c>
      <c r="K1656" s="2" t="s">
        <v>51</v>
      </c>
      <c r="L1656" s="1">
        <v>46</v>
      </c>
      <c r="M1656" s="1">
        <v>13</v>
      </c>
      <c r="N1656" s="1" t="str">
        <f t="shared" si="128"/>
        <v>Published</v>
      </c>
      <c r="O1656" s="1">
        <f t="shared" si="126"/>
        <v>5.98</v>
      </c>
      <c r="P1656" s="1">
        <v>42</v>
      </c>
      <c r="Q1656" s="1">
        <v>1001</v>
      </c>
      <c r="R1656" s="1" t="str">
        <f t="shared" si="129"/>
        <v>3</v>
      </c>
      <c r="S1656" s="1">
        <v>116</v>
      </c>
      <c r="T1656" s="1" t="str">
        <f t="shared" si="127"/>
        <v>1</v>
      </c>
      <c r="U1656" s="1">
        <v>-33.800809000000001</v>
      </c>
      <c r="V1656" s="3">
        <v>150.98765900000001</v>
      </c>
    </row>
    <row r="1657" spans="1:22" x14ac:dyDescent="0.35">
      <c r="A1657" s="22" t="s">
        <v>4810</v>
      </c>
      <c r="B1657" s="1" t="s">
        <v>4811</v>
      </c>
      <c r="C1657" s="1" t="s">
        <v>1927</v>
      </c>
      <c r="D1657" s="1" t="s">
        <v>169</v>
      </c>
      <c r="E1657" s="1" t="s">
        <v>170</v>
      </c>
      <c r="F1657" s="1" t="s">
        <v>47</v>
      </c>
      <c r="G1657" s="1">
        <f t="shared" si="125"/>
        <v>1</v>
      </c>
      <c r="H1657" s="1" t="s">
        <v>48</v>
      </c>
      <c r="I1657" s="1" t="s">
        <v>3192</v>
      </c>
      <c r="J1657" s="23" t="s">
        <v>50</v>
      </c>
      <c r="K1657" s="2" t="s">
        <v>51</v>
      </c>
      <c r="L1657" s="1">
        <v>55</v>
      </c>
      <c r="M1657" s="1">
        <v>24</v>
      </c>
      <c r="N1657" s="1" t="str">
        <f t="shared" si="128"/>
        <v>Published</v>
      </c>
      <c r="O1657" s="1">
        <f t="shared" si="126"/>
        <v>13.2</v>
      </c>
      <c r="P1657" s="1"/>
      <c r="Q1657" s="1">
        <v>895</v>
      </c>
      <c r="R1657" s="1" t="str">
        <f t="shared" si="129"/>
        <v>1</v>
      </c>
      <c r="S1657" s="1">
        <v>181</v>
      </c>
      <c r="T1657" s="1" t="str">
        <f t="shared" si="127"/>
        <v>1</v>
      </c>
      <c r="U1657" s="1">
        <v>-33.841496999999997</v>
      </c>
      <c r="V1657" s="3">
        <v>150.97553300000001</v>
      </c>
    </row>
    <row r="1658" spans="1:22" x14ac:dyDescent="0.35">
      <c r="A1658" s="22" t="s">
        <v>4812</v>
      </c>
      <c r="B1658" s="1" t="s">
        <v>4813</v>
      </c>
      <c r="C1658" s="1" t="s">
        <v>4182</v>
      </c>
      <c r="D1658" s="1" t="s">
        <v>689</v>
      </c>
      <c r="E1658" s="1" t="s">
        <v>122</v>
      </c>
      <c r="F1658" s="1" t="s">
        <v>47</v>
      </c>
      <c r="G1658" s="1">
        <f t="shared" si="125"/>
        <v>1</v>
      </c>
      <c r="H1658" s="1" t="s">
        <v>182</v>
      </c>
      <c r="I1658" s="1" t="s">
        <v>3192</v>
      </c>
      <c r="J1658" s="23" t="s">
        <v>50</v>
      </c>
      <c r="K1658" s="2" t="s">
        <v>51</v>
      </c>
      <c r="L1658" s="1">
        <v>98</v>
      </c>
      <c r="M1658" s="1"/>
      <c r="N1658" s="1" t="str">
        <f t="shared" si="128"/>
        <v>Suppressed</v>
      </c>
      <c r="O1658" s="1" t="str">
        <f t="shared" si="126"/>
        <v/>
      </c>
      <c r="P1658" s="1">
        <v>75</v>
      </c>
      <c r="Q1658" s="1">
        <v>1019</v>
      </c>
      <c r="R1658" s="1" t="str">
        <f t="shared" si="129"/>
        <v>3</v>
      </c>
      <c r="S1658" s="1">
        <v>97</v>
      </c>
      <c r="T1658" s="1" t="str">
        <f t="shared" si="127"/>
        <v>1</v>
      </c>
      <c r="U1658" s="1">
        <v>-34.023862000000001</v>
      </c>
      <c r="V1658" s="3">
        <v>150.85090700000001</v>
      </c>
    </row>
    <row r="1659" spans="1:22" x14ac:dyDescent="0.35">
      <c r="A1659" s="22" t="s">
        <v>4814</v>
      </c>
      <c r="B1659" s="1" t="s">
        <v>4815</v>
      </c>
      <c r="C1659" s="1" t="s">
        <v>692</v>
      </c>
      <c r="D1659" s="1" t="s">
        <v>152</v>
      </c>
      <c r="E1659" s="1" t="s">
        <v>229</v>
      </c>
      <c r="F1659" s="1" t="s">
        <v>47</v>
      </c>
      <c r="G1659" s="1">
        <f t="shared" si="125"/>
        <v>1</v>
      </c>
      <c r="H1659" s="1" t="s">
        <v>48</v>
      </c>
      <c r="I1659" s="1" t="s">
        <v>3192</v>
      </c>
      <c r="J1659" s="23" t="s">
        <v>50</v>
      </c>
      <c r="K1659" s="2" t="s">
        <v>51</v>
      </c>
      <c r="L1659" s="1">
        <v>51</v>
      </c>
      <c r="M1659" s="1"/>
      <c r="N1659" s="1" t="str">
        <f t="shared" si="128"/>
        <v>Suppressed</v>
      </c>
      <c r="O1659" s="1" t="str">
        <f t="shared" si="126"/>
        <v/>
      </c>
      <c r="P1659" s="1">
        <v>82</v>
      </c>
      <c r="Q1659" s="1">
        <v>1011</v>
      </c>
      <c r="R1659" s="1" t="str">
        <f t="shared" si="129"/>
        <v>3</v>
      </c>
      <c r="S1659" s="1">
        <v>112</v>
      </c>
      <c r="T1659" s="1" t="str">
        <f t="shared" si="127"/>
        <v>1</v>
      </c>
      <c r="U1659" s="1">
        <v>-33.908248</v>
      </c>
      <c r="V1659" s="3">
        <v>151.09588099999999</v>
      </c>
    </row>
    <row r="1660" spans="1:22" x14ac:dyDescent="0.35">
      <c r="A1660" s="22" t="s">
        <v>4816</v>
      </c>
      <c r="B1660" s="1" t="s">
        <v>4817</v>
      </c>
      <c r="C1660" s="1" t="s">
        <v>4818</v>
      </c>
      <c r="D1660" s="1" t="s">
        <v>90</v>
      </c>
      <c r="E1660" s="1" t="s">
        <v>91</v>
      </c>
      <c r="F1660" s="1" t="s">
        <v>57</v>
      </c>
      <c r="G1660" s="1">
        <f t="shared" si="125"/>
        <v>2</v>
      </c>
      <c r="H1660" s="1" t="s">
        <v>92</v>
      </c>
      <c r="I1660" s="1" t="s">
        <v>3192</v>
      </c>
      <c r="J1660" s="23" t="s">
        <v>50</v>
      </c>
      <c r="K1660" s="2" t="s">
        <v>51</v>
      </c>
      <c r="L1660" s="1">
        <v>70</v>
      </c>
      <c r="M1660" s="1">
        <v>46</v>
      </c>
      <c r="N1660" s="1" t="str">
        <f t="shared" si="128"/>
        <v>Published</v>
      </c>
      <c r="O1660" s="1">
        <f t="shared" si="126"/>
        <v>32.200000000000003</v>
      </c>
      <c r="P1660" s="1"/>
      <c r="Q1660" s="1">
        <v>870</v>
      </c>
      <c r="R1660" s="1" t="str">
        <f t="shared" si="129"/>
        <v>1</v>
      </c>
      <c r="S1660" s="1">
        <v>165</v>
      </c>
      <c r="T1660" s="1" t="str">
        <f t="shared" si="127"/>
        <v>1</v>
      </c>
      <c r="U1660" s="1">
        <v>-31.10651</v>
      </c>
      <c r="V1660" s="3">
        <v>150.91970000000001</v>
      </c>
    </row>
    <row r="1661" spans="1:22" x14ac:dyDescent="0.35">
      <c r="A1661" s="22" t="s">
        <v>4819</v>
      </c>
      <c r="B1661" s="1" t="s">
        <v>4820</v>
      </c>
      <c r="C1661" s="1" t="s">
        <v>4821</v>
      </c>
      <c r="D1661" s="1" t="s">
        <v>236</v>
      </c>
      <c r="E1661" s="1" t="s">
        <v>107</v>
      </c>
      <c r="F1661" s="1" t="s">
        <v>47</v>
      </c>
      <c r="G1661" s="1">
        <f t="shared" si="125"/>
        <v>1</v>
      </c>
      <c r="H1661" s="1" t="s">
        <v>92</v>
      </c>
      <c r="I1661" s="1" t="s">
        <v>3192</v>
      </c>
      <c r="J1661" s="23" t="s">
        <v>50</v>
      </c>
      <c r="K1661" s="2" t="s">
        <v>51</v>
      </c>
      <c r="L1661" s="1">
        <v>24</v>
      </c>
      <c r="M1661" s="1">
        <v>33</v>
      </c>
      <c r="N1661" s="1" t="str">
        <f t="shared" si="128"/>
        <v>Published</v>
      </c>
      <c r="O1661" s="1">
        <f t="shared" si="126"/>
        <v>7.92</v>
      </c>
      <c r="P1661" s="1">
        <v>0</v>
      </c>
      <c r="Q1661" s="1">
        <v>936</v>
      </c>
      <c r="R1661" s="1" t="str">
        <f t="shared" si="129"/>
        <v>2</v>
      </c>
      <c r="S1661" s="1">
        <v>155</v>
      </c>
      <c r="T1661" s="1" t="str">
        <f t="shared" si="127"/>
        <v>1</v>
      </c>
      <c r="U1661" s="1">
        <v>-28.207695999999999</v>
      </c>
      <c r="V1661" s="3">
        <v>153.53877700000001</v>
      </c>
    </row>
    <row r="1662" spans="1:22" x14ac:dyDescent="0.35">
      <c r="A1662" s="22" t="s">
        <v>4822</v>
      </c>
      <c r="B1662" s="1" t="s">
        <v>4823</v>
      </c>
      <c r="C1662" s="1" t="s">
        <v>2422</v>
      </c>
      <c r="D1662" s="1" t="s">
        <v>837</v>
      </c>
      <c r="E1662" s="1" t="s">
        <v>838</v>
      </c>
      <c r="F1662" s="1" t="s">
        <v>47</v>
      </c>
      <c r="G1662" s="1">
        <f t="shared" si="125"/>
        <v>1</v>
      </c>
      <c r="H1662" s="1" t="s">
        <v>148</v>
      </c>
      <c r="I1662" s="1" t="s">
        <v>3192</v>
      </c>
      <c r="J1662" s="23" t="s">
        <v>50</v>
      </c>
      <c r="K1662" s="2" t="s">
        <v>51</v>
      </c>
      <c r="L1662" s="1">
        <v>40</v>
      </c>
      <c r="M1662" s="1">
        <v>30</v>
      </c>
      <c r="N1662" s="1" t="str">
        <f t="shared" si="128"/>
        <v>Published</v>
      </c>
      <c r="O1662" s="1">
        <f t="shared" si="126"/>
        <v>12</v>
      </c>
      <c r="P1662" s="1">
        <v>0</v>
      </c>
      <c r="Q1662" s="1">
        <v>912</v>
      </c>
      <c r="R1662" s="1" t="str">
        <f t="shared" si="129"/>
        <v>2</v>
      </c>
      <c r="S1662" s="1">
        <v>190</v>
      </c>
      <c r="T1662" s="1" t="str">
        <f t="shared" si="127"/>
        <v>1</v>
      </c>
      <c r="U1662" s="1">
        <v>-33.677515999999997</v>
      </c>
      <c r="V1662" s="3">
        <v>150.86634599999999</v>
      </c>
    </row>
    <row r="1663" spans="1:22" x14ac:dyDescent="0.35">
      <c r="A1663" s="22" t="s">
        <v>4824</v>
      </c>
      <c r="B1663" s="1" t="s">
        <v>4825</v>
      </c>
      <c r="C1663" s="1" t="s">
        <v>3742</v>
      </c>
      <c r="D1663" s="1" t="s">
        <v>737</v>
      </c>
      <c r="E1663" s="1" t="s">
        <v>738</v>
      </c>
      <c r="F1663" s="1" t="s">
        <v>47</v>
      </c>
      <c r="G1663" s="1">
        <f t="shared" si="125"/>
        <v>1</v>
      </c>
      <c r="H1663" s="1" t="s">
        <v>182</v>
      </c>
      <c r="I1663" s="1" t="s">
        <v>3192</v>
      </c>
      <c r="J1663" s="23" t="s">
        <v>50</v>
      </c>
      <c r="K1663" s="2" t="s">
        <v>51</v>
      </c>
      <c r="L1663" s="1">
        <v>66</v>
      </c>
      <c r="M1663" s="1">
        <v>14</v>
      </c>
      <c r="N1663" s="1" t="str">
        <f t="shared" si="128"/>
        <v>Published</v>
      </c>
      <c r="O1663" s="1">
        <f t="shared" si="126"/>
        <v>9.24</v>
      </c>
      <c r="P1663" s="1"/>
      <c r="Q1663" s="1">
        <v>956</v>
      </c>
      <c r="R1663" s="1" t="str">
        <f t="shared" si="129"/>
        <v>2</v>
      </c>
      <c r="S1663" s="1">
        <v>115</v>
      </c>
      <c r="T1663" s="1" t="str">
        <f t="shared" si="127"/>
        <v>1</v>
      </c>
      <c r="U1663" s="1">
        <v>-34.041708999999997</v>
      </c>
      <c r="V1663" s="3">
        <v>151.05254500000001</v>
      </c>
    </row>
    <row r="1664" spans="1:22" x14ac:dyDescent="0.35">
      <c r="A1664" s="22" t="s">
        <v>4826</v>
      </c>
      <c r="B1664" s="1" t="s">
        <v>4827</v>
      </c>
      <c r="C1664" s="1" t="s">
        <v>4828</v>
      </c>
      <c r="D1664" s="1" t="s">
        <v>195</v>
      </c>
      <c r="E1664" s="1" t="s">
        <v>196</v>
      </c>
      <c r="F1664" s="1" t="s">
        <v>57</v>
      </c>
      <c r="G1664" s="1">
        <f t="shared" si="125"/>
        <v>2</v>
      </c>
      <c r="H1664" s="1" t="s">
        <v>86</v>
      </c>
      <c r="I1664" s="1" t="s">
        <v>3192</v>
      </c>
      <c r="J1664" s="23" t="s">
        <v>50</v>
      </c>
      <c r="K1664" s="2" t="s">
        <v>51</v>
      </c>
      <c r="L1664" s="1">
        <v>37</v>
      </c>
      <c r="M1664" s="1">
        <v>27</v>
      </c>
      <c r="N1664" s="1" t="str">
        <f t="shared" si="128"/>
        <v>Published</v>
      </c>
      <c r="O1664" s="1">
        <f t="shared" si="126"/>
        <v>9.99</v>
      </c>
      <c r="P1664" s="1"/>
      <c r="Q1664" s="1">
        <v>860</v>
      </c>
      <c r="R1664" s="1" t="str">
        <f t="shared" si="129"/>
        <v>1</v>
      </c>
      <c r="S1664" s="1">
        <v>162</v>
      </c>
      <c r="T1664" s="1" t="str">
        <f t="shared" si="127"/>
        <v>1</v>
      </c>
      <c r="U1664" s="1">
        <v>-34.455041999999999</v>
      </c>
      <c r="V1664" s="3">
        <v>150.477057</v>
      </c>
    </row>
    <row r="1665" spans="1:22" x14ac:dyDescent="0.35">
      <c r="A1665" s="22" t="s">
        <v>4829</v>
      </c>
      <c r="B1665" s="1" t="s">
        <v>4830</v>
      </c>
      <c r="C1665" s="1" t="s">
        <v>4831</v>
      </c>
      <c r="D1665" s="1" t="s">
        <v>211</v>
      </c>
      <c r="E1665" s="1" t="s">
        <v>102</v>
      </c>
      <c r="F1665" s="1" t="s">
        <v>57</v>
      </c>
      <c r="G1665" s="1">
        <f t="shared" si="125"/>
        <v>2</v>
      </c>
      <c r="H1665" s="1" t="s">
        <v>58</v>
      </c>
      <c r="I1665" s="1" t="s">
        <v>3192</v>
      </c>
      <c r="J1665" s="23" t="s">
        <v>50</v>
      </c>
      <c r="K1665" s="2" t="s">
        <v>51</v>
      </c>
      <c r="L1665" s="1">
        <v>24</v>
      </c>
      <c r="M1665" s="1">
        <v>83</v>
      </c>
      <c r="N1665" s="1" t="str">
        <f t="shared" si="128"/>
        <v>Published</v>
      </c>
      <c r="O1665" s="1">
        <f t="shared" si="126"/>
        <v>19.919999999999998</v>
      </c>
      <c r="P1665" s="1"/>
      <c r="Q1665" s="1">
        <v>706</v>
      </c>
      <c r="R1665" s="1" t="str">
        <f t="shared" si="129"/>
        <v>1</v>
      </c>
      <c r="S1665" s="1">
        <v>238</v>
      </c>
      <c r="T1665" s="1" t="str">
        <f t="shared" si="127"/>
        <v>1</v>
      </c>
      <c r="U1665" s="1">
        <v>-32.251353000000002</v>
      </c>
      <c r="V1665" s="3">
        <v>148.60655499999999</v>
      </c>
    </row>
    <row r="1666" spans="1:22" x14ac:dyDescent="0.35">
      <c r="A1666" s="22" t="s">
        <v>4832</v>
      </c>
      <c r="B1666" s="1" t="s">
        <v>4833</v>
      </c>
      <c r="C1666" s="1" t="s">
        <v>4834</v>
      </c>
      <c r="D1666" s="1" t="s">
        <v>146</v>
      </c>
      <c r="E1666" s="1" t="s">
        <v>147</v>
      </c>
      <c r="F1666" s="1" t="s">
        <v>47</v>
      </c>
      <c r="G1666" s="1">
        <f t="shared" ref="G1666:G1729" si="130">IF(F1666="Major Cities of Australia",1,IF(F1666="Inner Regional Australia",2,IF(F1666="Outer Regional Australia",3,IF(F1666="Remote Australia",4,IF(F1666="Very Remote Australia",5,6)))))</f>
        <v>1</v>
      </c>
      <c r="H1666" s="1" t="s">
        <v>148</v>
      </c>
      <c r="I1666" s="1" t="s">
        <v>3192</v>
      </c>
      <c r="J1666" s="23" t="s">
        <v>50</v>
      </c>
      <c r="K1666" s="2" t="s">
        <v>51</v>
      </c>
      <c r="L1666" s="1">
        <v>30</v>
      </c>
      <c r="M1666" s="1"/>
      <c r="N1666" s="1" t="str">
        <f t="shared" si="128"/>
        <v>Suppressed</v>
      </c>
      <c r="O1666" s="1" t="str">
        <f t="shared" ref="O1666:O1729" si="131">IF(OR(M1666="",L1666=""),"",M1666/100*L1666)</f>
        <v/>
      </c>
      <c r="P1666" s="1">
        <v>36</v>
      </c>
      <c r="Q1666" s="1">
        <v>1075</v>
      </c>
      <c r="R1666" s="1" t="str">
        <f t="shared" si="129"/>
        <v>3</v>
      </c>
      <c r="S1666" s="1">
        <v>57</v>
      </c>
      <c r="T1666" s="1" t="str">
        <f t="shared" ref="T1666:T1729" si="132">IF(L1666="","No enrolment",IF(L1666&lt;100,"1",IF(L1666&lt;300,"2",IF(L1666&lt;600,"3",IF(L1666&lt;1000,"4","5")))))</f>
        <v>1</v>
      </c>
      <c r="U1666" s="1">
        <v>-33.819372000000001</v>
      </c>
      <c r="V1666" s="3">
        <v>151.200343</v>
      </c>
    </row>
    <row r="1667" spans="1:22" x14ac:dyDescent="0.35">
      <c r="A1667" s="22" t="s">
        <v>4835</v>
      </c>
      <c r="B1667" s="1" t="s">
        <v>4836</v>
      </c>
      <c r="C1667" s="1" t="s">
        <v>4837</v>
      </c>
      <c r="D1667" s="1" t="s">
        <v>203</v>
      </c>
      <c r="E1667" s="1" t="s">
        <v>204</v>
      </c>
      <c r="F1667" s="1" t="s">
        <v>47</v>
      </c>
      <c r="G1667" s="1">
        <f t="shared" si="130"/>
        <v>1</v>
      </c>
      <c r="H1667" s="1" t="s">
        <v>148</v>
      </c>
      <c r="I1667" s="1" t="s">
        <v>3192</v>
      </c>
      <c r="J1667" s="23" t="s">
        <v>50</v>
      </c>
      <c r="K1667" s="2" t="s">
        <v>51</v>
      </c>
      <c r="L1667" s="1">
        <v>35</v>
      </c>
      <c r="M1667" s="1"/>
      <c r="N1667" s="1" t="str">
        <f t="shared" ref="N1667:N1730" si="133">IF(M1667="","Suppressed","Published")</f>
        <v>Suppressed</v>
      </c>
      <c r="O1667" s="1" t="str">
        <f t="shared" si="131"/>
        <v/>
      </c>
      <c r="P1667" s="1"/>
      <c r="Q1667" s="1">
        <v>1039</v>
      </c>
      <c r="R1667" s="1" t="str">
        <f t="shared" ref="R1667:R1730" si="134">IF(Q1667="","No ICSEA",IF(Q1667&lt;900,"1",IF(Q1667&lt;1000,"2",IF(Q1667&lt;1100,"3","4"))))</f>
        <v>3</v>
      </c>
      <c r="S1667" s="1">
        <v>81</v>
      </c>
      <c r="T1667" s="1" t="str">
        <f t="shared" si="132"/>
        <v>1</v>
      </c>
      <c r="U1667" s="1">
        <v>-33.772010999999999</v>
      </c>
      <c r="V1667" s="3">
        <v>151.26248799999999</v>
      </c>
    </row>
    <row r="1668" spans="1:22" x14ac:dyDescent="0.35">
      <c r="A1668" s="22" t="s">
        <v>4838</v>
      </c>
      <c r="B1668" s="1" t="s">
        <v>4839</v>
      </c>
      <c r="C1668" s="1" t="s">
        <v>90</v>
      </c>
      <c r="D1668" s="1" t="s">
        <v>90</v>
      </c>
      <c r="E1668" s="1" t="s">
        <v>91</v>
      </c>
      <c r="F1668" s="1" t="s">
        <v>57</v>
      </c>
      <c r="G1668" s="1">
        <f t="shared" si="130"/>
        <v>2</v>
      </c>
      <c r="H1668" s="1" t="s">
        <v>92</v>
      </c>
      <c r="I1668" s="1" t="s">
        <v>3192</v>
      </c>
      <c r="J1668" s="23" t="s">
        <v>50</v>
      </c>
      <c r="K1668" s="2" t="s">
        <v>51</v>
      </c>
      <c r="L1668" s="1">
        <v>20</v>
      </c>
      <c r="M1668" s="1">
        <v>90</v>
      </c>
      <c r="N1668" s="1" t="str">
        <f t="shared" si="133"/>
        <v>Published</v>
      </c>
      <c r="O1668" s="1">
        <f t="shared" si="131"/>
        <v>18</v>
      </c>
      <c r="P1668" s="1"/>
      <c r="Q1668" s="1">
        <v>753</v>
      </c>
      <c r="R1668" s="1" t="str">
        <f t="shared" si="134"/>
        <v>1</v>
      </c>
      <c r="S1668" s="1">
        <v>177</v>
      </c>
      <c r="T1668" s="1" t="str">
        <f t="shared" si="132"/>
        <v>1</v>
      </c>
      <c r="U1668" s="1">
        <v>-31.10651</v>
      </c>
      <c r="V1668" s="3">
        <v>150.9211</v>
      </c>
    </row>
    <row r="1669" spans="1:22" x14ac:dyDescent="0.35">
      <c r="A1669" s="22" t="s">
        <v>4840</v>
      </c>
      <c r="B1669" s="1" t="s">
        <v>4841</v>
      </c>
      <c r="C1669" s="1" t="s">
        <v>2404</v>
      </c>
      <c r="D1669" s="1" t="s">
        <v>152</v>
      </c>
      <c r="E1669" s="1" t="s">
        <v>170</v>
      </c>
      <c r="F1669" s="1" t="s">
        <v>47</v>
      </c>
      <c r="G1669" s="1">
        <f t="shared" si="130"/>
        <v>1</v>
      </c>
      <c r="H1669" s="1" t="s">
        <v>48</v>
      </c>
      <c r="I1669" s="1" t="s">
        <v>3192</v>
      </c>
      <c r="J1669" s="23" t="s">
        <v>50</v>
      </c>
      <c r="K1669" s="2" t="s">
        <v>51</v>
      </c>
      <c r="L1669" s="1">
        <v>20</v>
      </c>
      <c r="M1669" s="1"/>
      <c r="N1669" s="1" t="str">
        <f t="shared" si="133"/>
        <v>Suppressed</v>
      </c>
      <c r="O1669" s="1" t="str">
        <f t="shared" si="131"/>
        <v/>
      </c>
      <c r="P1669" s="1"/>
      <c r="Q1669" s="1">
        <v>919</v>
      </c>
      <c r="R1669" s="1" t="str">
        <f t="shared" si="134"/>
        <v>2</v>
      </c>
      <c r="S1669" s="1">
        <v>172</v>
      </c>
      <c r="T1669" s="1" t="str">
        <f t="shared" si="132"/>
        <v>1</v>
      </c>
      <c r="U1669" s="1">
        <v>-33.885010000000001</v>
      </c>
      <c r="V1669" s="3">
        <v>151.02380400000001</v>
      </c>
    </row>
    <row r="1670" spans="1:22" x14ac:dyDescent="0.35">
      <c r="A1670" s="22" t="s">
        <v>4842</v>
      </c>
      <c r="B1670" s="1" t="s">
        <v>4843</v>
      </c>
      <c r="C1670" s="1" t="s">
        <v>4844</v>
      </c>
      <c r="D1670" s="1" t="s">
        <v>191</v>
      </c>
      <c r="E1670" s="1" t="s">
        <v>75</v>
      </c>
      <c r="F1670" s="1" t="s">
        <v>47</v>
      </c>
      <c r="G1670" s="1">
        <f t="shared" si="130"/>
        <v>1</v>
      </c>
      <c r="H1670" s="1" t="s">
        <v>63</v>
      </c>
      <c r="I1670" s="1" t="s">
        <v>3192</v>
      </c>
      <c r="J1670" s="23" t="s">
        <v>50</v>
      </c>
      <c r="K1670" s="2" t="s">
        <v>51</v>
      </c>
      <c r="L1670" s="1">
        <v>31</v>
      </c>
      <c r="M1670" s="1">
        <v>35</v>
      </c>
      <c r="N1670" s="1" t="str">
        <f t="shared" si="133"/>
        <v>Published</v>
      </c>
      <c r="O1670" s="1">
        <f t="shared" si="131"/>
        <v>10.85</v>
      </c>
      <c r="P1670" s="1"/>
      <c r="Q1670" s="1">
        <v>869</v>
      </c>
      <c r="R1670" s="1" t="str">
        <f t="shared" si="134"/>
        <v>1</v>
      </c>
      <c r="S1670" s="1">
        <v>207</v>
      </c>
      <c r="T1670" s="1" t="str">
        <f t="shared" si="132"/>
        <v>1</v>
      </c>
      <c r="U1670" s="1">
        <v>-32.956712000000003</v>
      </c>
      <c r="V1670" s="3">
        <v>151.56442999999999</v>
      </c>
    </row>
    <row r="1671" spans="1:22" x14ac:dyDescent="0.35">
      <c r="A1671" s="22" t="s">
        <v>4845</v>
      </c>
      <c r="B1671" s="1" t="s">
        <v>4846</v>
      </c>
      <c r="C1671" s="1" t="s">
        <v>3534</v>
      </c>
      <c r="D1671" s="1" t="s">
        <v>537</v>
      </c>
      <c r="E1671" s="1" t="s">
        <v>170</v>
      </c>
      <c r="F1671" s="1" t="s">
        <v>47</v>
      </c>
      <c r="G1671" s="1">
        <f t="shared" si="130"/>
        <v>1</v>
      </c>
      <c r="H1671" s="1" t="s">
        <v>48</v>
      </c>
      <c r="I1671" s="1" t="s">
        <v>3192</v>
      </c>
      <c r="J1671" s="23" t="s">
        <v>50</v>
      </c>
      <c r="K1671" s="2" t="s">
        <v>51</v>
      </c>
      <c r="L1671" s="1">
        <v>89</v>
      </c>
      <c r="M1671" s="1">
        <v>27</v>
      </c>
      <c r="N1671" s="1" t="str">
        <f t="shared" si="133"/>
        <v>Published</v>
      </c>
      <c r="O1671" s="1">
        <f t="shared" si="131"/>
        <v>24.03</v>
      </c>
      <c r="P1671" s="1">
        <v>36</v>
      </c>
      <c r="Q1671" s="1">
        <v>889</v>
      </c>
      <c r="R1671" s="1" t="str">
        <f t="shared" si="134"/>
        <v>1</v>
      </c>
      <c r="S1671" s="1">
        <v>173</v>
      </c>
      <c r="T1671" s="1" t="str">
        <f t="shared" si="132"/>
        <v>1</v>
      </c>
      <c r="U1671" s="1">
        <v>-33.868234999999999</v>
      </c>
      <c r="V1671" s="3">
        <v>150.9709</v>
      </c>
    </row>
    <row r="1672" spans="1:22" x14ac:dyDescent="0.35">
      <c r="A1672" s="22" t="s">
        <v>4847</v>
      </c>
      <c r="B1672" s="1" t="s">
        <v>4848</v>
      </c>
      <c r="C1672" s="1" t="s">
        <v>580</v>
      </c>
      <c r="D1672" s="1" t="s">
        <v>224</v>
      </c>
      <c r="E1672" s="1" t="s">
        <v>229</v>
      </c>
      <c r="F1672" s="1" t="s">
        <v>47</v>
      </c>
      <c r="G1672" s="1">
        <f t="shared" si="130"/>
        <v>1</v>
      </c>
      <c r="H1672" s="1" t="s">
        <v>48</v>
      </c>
      <c r="I1672" s="1" t="s">
        <v>3192</v>
      </c>
      <c r="J1672" s="23" t="s">
        <v>50</v>
      </c>
      <c r="K1672" s="2" t="s">
        <v>51</v>
      </c>
      <c r="L1672" s="1">
        <v>99</v>
      </c>
      <c r="M1672" s="1"/>
      <c r="N1672" s="1" t="str">
        <f t="shared" si="133"/>
        <v>Suppressed</v>
      </c>
      <c r="O1672" s="1" t="str">
        <f t="shared" si="131"/>
        <v/>
      </c>
      <c r="P1672" s="1">
        <v>77</v>
      </c>
      <c r="Q1672" s="1">
        <v>1036</v>
      </c>
      <c r="R1672" s="1" t="str">
        <f t="shared" si="134"/>
        <v>3</v>
      </c>
      <c r="S1672" s="1">
        <v>92</v>
      </c>
      <c r="T1672" s="1" t="str">
        <f t="shared" si="132"/>
        <v>1</v>
      </c>
      <c r="U1672" s="1">
        <v>-33.954569999999997</v>
      </c>
      <c r="V1672" s="3">
        <v>151.15216799999999</v>
      </c>
    </row>
    <row r="1673" spans="1:22" x14ac:dyDescent="0.35">
      <c r="A1673" s="22" t="s">
        <v>4849</v>
      </c>
      <c r="B1673" s="1" t="s">
        <v>4850</v>
      </c>
      <c r="C1673" s="1" t="s">
        <v>1529</v>
      </c>
      <c r="D1673" s="1" t="s">
        <v>386</v>
      </c>
      <c r="E1673" s="1" t="s">
        <v>229</v>
      </c>
      <c r="F1673" s="1" t="s">
        <v>47</v>
      </c>
      <c r="G1673" s="1">
        <f t="shared" si="130"/>
        <v>1</v>
      </c>
      <c r="H1673" s="1" t="s">
        <v>48</v>
      </c>
      <c r="I1673" s="1" t="s">
        <v>3192</v>
      </c>
      <c r="J1673" s="23" t="s">
        <v>50</v>
      </c>
      <c r="K1673" s="2" t="s">
        <v>51</v>
      </c>
      <c r="L1673" s="1">
        <v>46</v>
      </c>
      <c r="M1673" s="1">
        <v>15</v>
      </c>
      <c r="N1673" s="1" t="str">
        <f t="shared" si="133"/>
        <v>Published</v>
      </c>
      <c r="O1673" s="1">
        <f t="shared" si="131"/>
        <v>6.8999999999999995</v>
      </c>
      <c r="P1673" s="1">
        <v>39</v>
      </c>
      <c r="Q1673" s="1">
        <v>999</v>
      </c>
      <c r="R1673" s="1" t="str">
        <f t="shared" si="134"/>
        <v>2</v>
      </c>
      <c r="S1673" s="1">
        <v>100</v>
      </c>
      <c r="T1673" s="1" t="str">
        <f t="shared" si="132"/>
        <v>1</v>
      </c>
      <c r="U1673" s="1">
        <v>-33.971003000000003</v>
      </c>
      <c r="V1673" s="3">
        <v>151.103173</v>
      </c>
    </row>
    <row r="1674" spans="1:22" x14ac:dyDescent="0.35">
      <c r="A1674" s="22" t="s">
        <v>4851</v>
      </c>
      <c r="B1674" s="1" t="s">
        <v>4852</v>
      </c>
      <c r="C1674" s="1" t="s">
        <v>291</v>
      </c>
      <c r="D1674" s="1" t="s">
        <v>291</v>
      </c>
      <c r="E1674" s="1" t="s">
        <v>261</v>
      </c>
      <c r="F1674" s="1" t="s">
        <v>57</v>
      </c>
      <c r="G1674" s="1">
        <f t="shared" si="130"/>
        <v>2</v>
      </c>
      <c r="H1674" s="1" t="s">
        <v>58</v>
      </c>
      <c r="I1674" s="1" t="s">
        <v>3192</v>
      </c>
      <c r="J1674" s="23" t="s">
        <v>50</v>
      </c>
      <c r="K1674" s="2" t="s">
        <v>51</v>
      </c>
      <c r="L1674" s="1">
        <v>97</v>
      </c>
      <c r="M1674" s="1">
        <v>26</v>
      </c>
      <c r="N1674" s="1" t="str">
        <f t="shared" si="133"/>
        <v>Published</v>
      </c>
      <c r="O1674" s="1">
        <f t="shared" si="131"/>
        <v>25.220000000000002</v>
      </c>
      <c r="P1674" s="1">
        <v>6</v>
      </c>
      <c r="Q1674" s="1">
        <v>908</v>
      </c>
      <c r="R1674" s="1" t="str">
        <f t="shared" si="134"/>
        <v>2</v>
      </c>
      <c r="S1674" s="1">
        <v>150</v>
      </c>
      <c r="T1674" s="1" t="str">
        <f t="shared" si="132"/>
        <v>1</v>
      </c>
      <c r="U1674" s="1">
        <v>-33.426015</v>
      </c>
      <c r="V1674" s="3">
        <v>149.565755</v>
      </c>
    </row>
    <row r="1675" spans="1:22" x14ac:dyDescent="0.35">
      <c r="A1675" s="22" t="s">
        <v>4853</v>
      </c>
      <c r="B1675" s="1" t="s">
        <v>4854</v>
      </c>
      <c r="C1675" s="1" t="s">
        <v>1897</v>
      </c>
      <c r="D1675" s="1" t="s">
        <v>837</v>
      </c>
      <c r="E1675" s="1" t="s">
        <v>838</v>
      </c>
      <c r="F1675" s="1" t="s">
        <v>47</v>
      </c>
      <c r="G1675" s="1">
        <f t="shared" si="130"/>
        <v>1</v>
      </c>
      <c r="H1675" s="1" t="s">
        <v>182</v>
      </c>
      <c r="I1675" s="1" t="s">
        <v>3192</v>
      </c>
      <c r="J1675" s="23" t="s">
        <v>50</v>
      </c>
      <c r="K1675" s="2" t="s">
        <v>51</v>
      </c>
      <c r="L1675" s="1">
        <v>86</v>
      </c>
      <c r="M1675" s="1">
        <v>8</v>
      </c>
      <c r="N1675" s="1" t="str">
        <f t="shared" si="133"/>
        <v>Published</v>
      </c>
      <c r="O1675" s="1">
        <f t="shared" si="131"/>
        <v>6.88</v>
      </c>
      <c r="P1675" s="1">
        <v>75</v>
      </c>
      <c r="Q1675" s="1">
        <v>1009</v>
      </c>
      <c r="R1675" s="1" t="str">
        <f t="shared" si="134"/>
        <v>3</v>
      </c>
      <c r="S1675" s="1">
        <v>90</v>
      </c>
      <c r="T1675" s="1" t="str">
        <f t="shared" si="132"/>
        <v>1</v>
      </c>
      <c r="U1675" s="1">
        <v>-33.769095</v>
      </c>
      <c r="V1675" s="3">
        <v>150.93749299999999</v>
      </c>
    </row>
    <row r="1676" spans="1:22" x14ac:dyDescent="0.35">
      <c r="A1676" s="22" t="s">
        <v>4855</v>
      </c>
      <c r="B1676" s="1" t="s">
        <v>4856</v>
      </c>
      <c r="C1676" s="1" t="s">
        <v>737</v>
      </c>
      <c r="D1676" s="1" t="s">
        <v>737</v>
      </c>
      <c r="E1676" s="1" t="s">
        <v>738</v>
      </c>
      <c r="F1676" s="1" t="s">
        <v>47</v>
      </c>
      <c r="G1676" s="1">
        <f t="shared" si="130"/>
        <v>1</v>
      </c>
      <c r="H1676" s="1" t="s">
        <v>182</v>
      </c>
      <c r="I1676" s="1" t="s">
        <v>3192</v>
      </c>
      <c r="J1676" s="23" t="s">
        <v>50</v>
      </c>
      <c r="K1676" s="2" t="s">
        <v>51</v>
      </c>
      <c r="L1676" s="1">
        <v>47</v>
      </c>
      <c r="M1676" s="1"/>
      <c r="N1676" s="1" t="str">
        <f t="shared" si="133"/>
        <v>Suppressed</v>
      </c>
      <c r="O1676" s="1" t="str">
        <f t="shared" si="131"/>
        <v/>
      </c>
      <c r="P1676" s="1">
        <v>32</v>
      </c>
      <c r="Q1676" s="1">
        <v>1039</v>
      </c>
      <c r="R1676" s="1" t="str">
        <f t="shared" si="134"/>
        <v>3</v>
      </c>
      <c r="S1676" s="1">
        <v>82</v>
      </c>
      <c r="T1676" s="1" t="str">
        <f t="shared" si="132"/>
        <v>1</v>
      </c>
      <c r="U1676" s="1">
        <v>-34.034965</v>
      </c>
      <c r="V1676" s="3">
        <v>151.058739</v>
      </c>
    </row>
    <row r="1677" spans="1:22" x14ac:dyDescent="0.35">
      <c r="A1677" s="22" t="s">
        <v>4857</v>
      </c>
      <c r="B1677" s="1" t="s">
        <v>4858</v>
      </c>
      <c r="C1677" s="1" t="s">
        <v>4141</v>
      </c>
      <c r="D1677" s="1" t="s">
        <v>1131</v>
      </c>
      <c r="E1677" s="1" t="s">
        <v>429</v>
      </c>
      <c r="F1677" s="1" t="s">
        <v>47</v>
      </c>
      <c r="G1677" s="1">
        <f t="shared" si="130"/>
        <v>1</v>
      </c>
      <c r="H1677" s="1" t="s">
        <v>148</v>
      </c>
      <c r="I1677" s="1" t="s">
        <v>3192</v>
      </c>
      <c r="J1677" s="23" t="s">
        <v>50</v>
      </c>
      <c r="K1677" s="2" t="s">
        <v>51</v>
      </c>
      <c r="L1677" s="1">
        <v>104</v>
      </c>
      <c r="M1677" s="1">
        <v>15</v>
      </c>
      <c r="N1677" s="1" t="str">
        <f t="shared" si="133"/>
        <v>Published</v>
      </c>
      <c r="O1677" s="1">
        <f t="shared" si="131"/>
        <v>15.6</v>
      </c>
      <c r="P1677" s="1">
        <v>34</v>
      </c>
      <c r="Q1677" s="1">
        <v>946</v>
      </c>
      <c r="R1677" s="1" t="str">
        <f t="shared" si="134"/>
        <v>2</v>
      </c>
      <c r="S1677" s="1">
        <v>142</v>
      </c>
      <c r="T1677" s="1" t="str">
        <f t="shared" si="132"/>
        <v>2</v>
      </c>
      <c r="U1677" s="1">
        <v>-33.766354999999997</v>
      </c>
      <c r="V1677" s="3">
        <v>150.75711799999999</v>
      </c>
    </row>
    <row r="1678" spans="1:22" x14ac:dyDescent="0.35">
      <c r="A1678" s="22" t="s">
        <v>4859</v>
      </c>
      <c r="B1678" s="1" t="s">
        <v>4860</v>
      </c>
      <c r="C1678" s="1" t="s">
        <v>703</v>
      </c>
      <c r="D1678" s="1" t="s">
        <v>703</v>
      </c>
      <c r="E1678" s="1" t="s">
        <v>261</v>
      </c>
      <c r="F1678" s="1" t="s">
        <v>57</v>
      </c>
      <c r="G1678" s="1">
        <f t="shared" si="130"/>
        <v>2</v>
      </c>
      <c r="H1678" s="1" t="s">
        <v>70</v>
      </c>
      <c r="I1678" s="1" t="s">
        <v>3192</v>
      </c>
      <c r="J1678" s="23" t="s">
        <v>50</v>
      </c>
      <c r="K1678" s="2" t="s">
        <v>51</v>
      </c>
      <c r="L1678" s="1">
        <v>134</v>
      </c>
      <c r="M1678" s="1">
        <v>27</v>
      </c>
      <c r="N1678" s="1" t="str">
        <f t="shared" si="133"/>
        <v>Published</v>
      </c>
      <c r="O1678" s="1">
        <f t="shared" si="131"/>
        <v>36.18</v>
      </c>
      <c r="P1678" s="1">
        <v>9</v>
      </c>
      <c r="Q1678" s="1">
        <v>882</v>
      </c>
      <c r="R1678" s="1" t="str">
        <f t="shared" si="134"/>
        <v>1</v>
      </c>
      <c r="S1678" s="1">
        <v>159</v>
      </c>
      <c r="T1678" s="1" t="str">
        <f t="shared" si="132"/>
        <v>2</v>
      </c>
      <c r="U1678" s="1">
        <v>-33.296478</v>
      </c>
      <c r="V1678" s="3">
        <v>149.097489</v>
      </c>
    </row>
    <row r="1679" spans="1:22" x14ac:dyDescent="0.35">
      <c r="A1679" s="22" t="s">
        <v>4861</v>
      </c>
      <c r="B1679" s="1" t="s">
        <v>4862</v>
      </c>
      <c r="C1679" s="1" t="s">
        <v>4863</v>
      </c>
      <c r="D1679" s="1" t="s">
        <v>186</v>
      </c>
      <c r="E1679" s="1" t="s">
        <v>187</v>
      </c>
      <c r="F1679" s="1" t="s">
        <v>47</v>
      </c>
      <c r="G1679" s="1">
        <f t="shared" si="130"/>
        <v>1</v>
      </c>
      <c r="H1679" s="1" t="s">
        <v>63</v>
      </c>
      <c r="I1679" s="1" t="s">
        <v>3192</v>
      </c>
      <c r="J1679" s="23" t="s">
        <v>50</v>
      </c>
      <c r="K1679" s="2" t="s">
        <v>51</v>
      </c>
      <c r="L1679" s="1">
        <v>159</v>
      </c>
      <c r="M1679" s="1">
        <v>11</v>
      </c>
      <c r="N1679" s="1" t="str">
        <f t="shared" si="133"/>
        <v>Published</v>
      </c>
      <c r="O1679" s="1">
        <f t="shared" si="131"/>
        <v>17.489999999999998</v>
      </c>
      <c r="P1679" s="1">
        <v>11</v>
      </c>
      <c r="Q1679" s="1">
        <v>963</v>
      </c>
      <c r="R1679" s="1" t="str">
        <f t="shared" si="134"/>
        <v>2</v>
      </c>
      <c r="S1679" s="1">
        <v>141</v>
      </c>
      <c r="T1679" s="1" t="str">
        <f t="shared" si="132"/>
        <v>2</v>
      </c>
      <c r="U1679" s="1">
        <v>-33.406579999999998</v>
      </c>
      <c r="V1679" s="3">
        <v>151.33572899999999</v>
      </c>
    </row>
    <row r="1680" spans="1:22" x14ac:dyDescent="0.35">
      <c r="A1680" s="22" t="s">
        <v>4864</v>
      </c>
      <c r="B1680" s="1" t="s">
        <v>4865</v>
      </c>
      <c r="C1680" s="1" t="s">
        <v>3102</v>
      </c>
      <c r="D1680" s="1" t="s">
        <v>180</v>
      </c>
      <c r="E1680" s="1" t="s">
        <v>181</v>
      </c>
      <c r="F1680" s="1" t="s">
        <v>47</v>
      </c>
      <c r="G1680" s="1">
        <f t="shared" si="130"/>
        <v>1</v>
      </c>
      <c r="H1680" s="1" t="s">
        <v>182</v>
      </c>
      <c r="I1680" s="1" t="s">
        <v>3192</v>
      </c>
      <c r="J1680" s="23" t="s">
        <v>50</v>
      </c>
      <c r="K1680" s="2" t="s">
        <v>51</v>
      </c>
      <c r="L1680" s="1">
        <v>125</v>
      </c>
      <c r="M1680" s="1"/>
      <c r="N1680" s="1" t="str">
        <f t="shared" si="133"/>
        <v>Suppressed</v>
      </c>
      <c r="O1680" s="1" t="str">
        <f t="shared" si="131"/>
        <v/>
      </c>
      <c r="P1680" s="1">
        <v>82</v>
      </c>
      <c r="Q1680" s="1">
        <v>949</v>
      </c>
      <c r="R1680" s="1" t="str">
        <f t="shared" si="134"/>
        <v>2</v>
      </c>
      <c r="S1680" s="1">
        <v>176</v>
      </c>
      <c r="T1680" s="1" t="str">
        <f t="shared" si="132"/>
        <v>2</v>
      </c>
      <c r="U1680" s="1">
        <v>-33.909640000000003</v>
      </c>
      <c r="V1680" s="3">
        <v>150.92823300000001</v>
      </c>
    </row>
    <row r="1681" spans="1:22" x14ac:dyDescent="0.35">
      <c r="A1681" s="22" t="s">
        <v>4866</v>
      </c>
      <c r="B1681" s="1" t="s">
        <v>4867</v>
      </c>
      <c r="C1681" s="1" t="s">
        <v>501</v>
      </c>
      <c r="D1681" s="1" t="s">
        <v>502</v>
      </c>
      <c r="E1681" s="1" t="s">
        <v>330</v>
      </c>
      <c r="F1681" s="1" t="s">
        <v>47</v>
      </c>
      <c r="G1681" s="1">
        <f t="shared" si="130"/>
        <v>1</v>
      </c>
      <c r="H1681" s="1" t="s">
        <v>48</v>
      </c>
      <c r="I1681" s="1" t="s">
        <v>3192</v>
      </c>
      <c r="J1681" s="23" t="s">
        <v>50</v>
      </c>
      <c r="K1681" s="2" t="s">
        <v>51</v>
      </c>
      <c r="L1681" s="1">
        <v>75</v>
      </c>
      <c r="M1681" s="1">
        <v>16</v>
      </c>
      <c r="N1681" s="1" t="str">
        <f t="shared" si="133"/>
        <v>Published</v>
      </c>
      <c r="O1681" s="1">
        <f t="shared" si="131"/>
        <v>12</v>
      </c>
      <c r="P1681" s="1">
        <v>67</v>
      </c>
      <c r="Q1681" s="1">
        <v>1025</v>
      </c>
      <c r="R1681" s="1" t="str">
        <f t="shared" si="134"/>
        <v>3</v>
      </c>
      <c r="S1681" s="1">
        <v>75</v>
      </c>
      <c r="T1681" s="1" t="str">
        <f t="shared" si="132"/>
        <v>1</v>
      </c>
      <c r="U1681" s="1">
        <v>-33.886631999999999</v>
      </c>
      <c r="V1681" s="3">
        <v>151.27849599999999</v>
      </c>
    </row>
    <row r="1682" spans="1:22" x14ac:dyDescent="0.35">
      <c r="A1682" s="22" t="s">
        <v>4868</v>
      </c>
      <c r="B1682" s="1" t="s">
        <v>4869</v>
      </c>
      <c r="C1682" s="1" t="s">
        <v>3102</v>
      </c>
      <c r="D1682" s="1" t="s">
        <v>180</v>
      </c>
      <c r="E1682" s="1" t="s">
        <v>181</v>
      </c>
      <c r="F1682" s="1" t="s">
        <v>47</v>
      </c>
      <c r="G1682" s="1">
        <f t="shared" si="130"/>
        <v>1</v>
      </c>
      <c r="H1682" s="1" t="s">
        <v>182</v>
      </c>
      <c r="I1682" s="1" t="s">
        <v>3192</v>
      </c>
      <c r="J1682" s="23" t="s">
        <v>50</v>
      </c>
      <c r="K1682" s="2" t="s">
        <v>51</v>
      </c>
      <c r="L1682" s="1">
        <v>59</v>
      </c>
      <c r="M1682" s="1">
        <v>41</v>
      </c>
      <c r="N1682" s="1" t="str">
        <f t="shared" si="133"/>
        <v>Published</v>
      </c>
      <c r="O1682" s="1">
        <f t="shared" si="131"/>
        <v>24.189999999999998</v>
      </c>
      <c r="P1682" s="1">
        <v>44</v>
      </c>
      <c r="Q1682" s="1">
        <v>862</v>
      </c>
      <c r="R1682" s="1" t="str">
        <f t="shared" si="134"/>
        <v>1</v>
      </c>
      <c r="S1682" s="1">
        <v>200</v>
      </c>
      <c r="T1682" s="1" t="str">
        <f t="shared" si="132"/>
        <v>1</v>
      </c>
      <c r="U1682" s="1">
        <v>-33.908214999999998</v>
      </c>
      <c r="V1682" s="3">
        <v>150.93535499999999</v>
      </c>
    </row>
    <row r="1683" spans="1:22" x14ac:dyDescent="0.35">
      <c r="A1683" s="22" t="s">
        <v>4870</v>
      </c>
      <c r="B1683" s="1" t="s">
        <v>4871</v>
      </c>
      <c r="C1683" s="1" t="s">
        <v>1927</v>
      </c>
      <c r="D1683" s="1" t="s">
        <v>169</v>
      </c>
      <c r="E1683" s="1" t="s">
        <v>170</v>
      </c>
      <c r="F1683" s="1" t="s">
        <v>47</v>
      </c>
      <c r="G1683" s="1">
        <f t="shared" si="130"/>
        <v>1</v>
      </c>
      <c r="H1683" s="1" t="s">
        <v>48</v>
      </c>
      <c r="I1683" s="1" t="s">
        <v>3192</v>
      </c>
      <c r="J1683" s="23" t="s">
        <v>50</v>
      </c>
      <c r="K1683" s="2" t="s">
        <v>51</v>
      </c>
      <c r="L1683" s="1">
        <v>189</v>
      </c>
      <c r="M1683" s="1"/>
      <c r="N1683" s="1" t="str">
        <f t="shared" si="133"/>
        <v>Suppressed</v>
      </c>
      <c r="O1683" s="1" t="str">
        <f t="shared" si="131"/>
        <v/>
      </c>
      <c r="P1683" s="1">
        <v>88</v>
      </c>
      <c r="Q1683" s="1">
        <v>983</v>
      </c>
      <c r="R1683" s="1" t="str">
        <f t="shared" si="134"/>
        <v>2</v>
      </c>
      <c r="S1683" s="1">
        <v>134</v>
      </c>
      <c r="T1683" s="1" t="str">
        <f t="shared" si="132"/>
        <v>2</v>
      </c>
      <c r="U1683" s="1">
        <v>-33.828906000000003</v>
      </c>
      <c r="V1683" s="3">
        <v>150.98166399999999</v>
      </c>
    </row>
    <row r="1684" spans="1:22" x14ac:dyDescent="0.35">
      <c r="A1684" s="22" t="s">
        <v>4872</v>
      </c>
      <c r="B1684" s="1" t="s">
        <v>4873</v>
      </c>
      <c r="C1684" s="1" t="s">
        <v>1341</v>
      </c>
      <c r="D1684" s="1" t="s">
        <v>1342</v>
      </c>
      <c r="E1684" s="1" t="s">
        <v>68</v>
      </c>
      <c r="F1684" s="1" t="s">
        <v>57</v>
      </c>
      <c r="G1684" s="1">
        <f t="shared" si="130"/>
        <v>2</v>
      </c>
      <c r="H1684" s="1" t="s">
        <v>86</v>
      </c>
      <c r="I1684" s="1" t="s">
        <v>3192</v>
      </c>
      <c r="J1684" s="23" t="s">
        <v>50</v>
      </c>
      <c r="K1684" s="2" t="s">
        <v>51</v>
      </c>
      <c r="L1684" s="1">
        <v>77</v>
      </c>
      <c r="M1684" s="1">
        <v>18</v>
      </c>
      <c r="N1684" s="1" t="str">
        <f t="shared" si="133"/>
        <v>Published</v>
      </c>
      <c r="O1684" s="1">
        <f t="shared" si="131"/>
        <v>13.86</v>
      </c>
      <c r="P1684" s="1"/>
      <c r="Q1684" s="1">
        <v>911</v>
      </c>
      <c r="R1684" s="1" t="str">
        <f t="shared" si="134"/>
        <v>2</v>
      </c>
      <c r="S1684" s="1">
        <v>158</v>
      </c>
      <c r="T1684" s="1" t="str">
        <f t="shared" si="132"/>
        <v>1</v>
      </c>
      <c r="U1684" s="1">
        <v>-34.744593000000002</v>
      </c>
      <c r="V1684" s="3">
        <v>149.71054899999999</v>
      </c>
    </row>
    <row r="1685" spans="1:22" x14ac:dyDescent="0.35">
      <c r="A1685" s="22" t="s">
        <v>4874</v>
      </c>
      <c r="B1685" s="1" t="s">
        <v>4875</v>
      </c>
      <c r="C1685" s="1" t="s">
        <v>837</v>
      </c>
      <c r="D1685" s="1" t="s">
        <v>837</v>
      </c>
      <c r="E1685" s="1" t="s">
        <v>838</v>
      </c>
      <c r="F1685" s="1" t="s">
        <v>47</v>
      </c>
      <c r="G1685" s="1">
        <f t="shared" si="130"/>
        <v>1</v>
      </c>
      <c r="H1685" s="1" t="s">
        <v>182</v>
      </c>
      <c r="I1685" s="1" t="s">
        <v>3192</v>
      </c>
      <c r="J1685" s="23" t="s">
        <v>50</v>
      </c>
      <c r="K1685" s="2" t="s">
        <v>51</v>
      </c>
      <c r="L1685" s="1">
        <v>56</v>
      </c>
      <c r="M1685" s="1">
        <v>45</v>
      </c>
      <c r="N1685" s="1" t="str">
        <f t="shared" si="133"/>
        <v>Published</v>
      </c>
      <c r="O1685" s="1">
        <f t="shared" si="131"/>
        <v>25.2</v>
      </c>
      <c r="P1685" s="1"/>
      <c r="Q1685" s="1">
        <v>845</v>
      </c>
      <c r="R1685" s="1" t="str">
        <f t="shared" si="134"/>
        <v>1</v>
      </c>
      <c r="S1685" s="1">
        <v>208</v>
      </c>
      <c r="T1685" s="1" t="str">
        <f t="shared" si="132"/>
        <v>1</v>
      </c>
      <c r="U1685" s="1">
        <v>-33.773150000000001</v>
      </c>
      <c r="V1685" s="3">
        <v>150.91103899999999</v>
      </c>
    </row>
    <row r="1686" spans="1:22" x14ac:dyDescent="0.35">
      <c r="A1686" s="22" t="s">
        <v>4876</v>
      </c>
      <c r="B1686" s="1" t="s">
        <v>4877</v>
      </c>
      <c r="C1686" s="1" t="s">
        <v>3954</v>
      </c>
      <c r="D1686" s="1" t="s">
        <v>837</v>
      </c>
      <c r="E1686" s="1" t="s">
        <v>838</v>
      </c>
      <c r="F1686" s="1" t="s">
        <v>47</v>
      </c>
      <c r="G1686" s="1">
        <f t="shared" si="130"/>
        <v>1</v>
      </c>
      <c r="H1686" s="1" t="s">
        <v>148</v>
      </c>
      <c r="I1686" s="1" t="s">
        <v>3192</v>
      </c>
      <c r="J1686" s="23" t="s">
        <v>50</v>
      </c>
      <c r="K1686" s="2" t="s">
        <v>51</v>
      </c>
      <c r="L1686" s="1">
        <v>114</v>
      </c>
      <c r="M1686" s="1">
        <v>17</v>
      </c>
      <c r="N1686" s="1" t="str">
        <f t="shared" si="133"/>
        <v>Published</v>
      </c>
      <c r="O1686" s="1">
        <f t="shared" si="131"/>
        <v>19.380000000000003</v>
      </c>
      <c r="P1686" s="1">
        <v>51</v>
      </c>
      <c r="Q1686" s="1">
        <v>955</v>
      </c>
      <c r="R1686" s="1" t="str">
        <f t="shared" si="134"/>
        <v>2</v>
      </c>
      <c r="S1686" s="1">
        <v>134</v>
      </c>
      <c r="T1686" s="1" t="str">
        <f t="shared" si="132"/>
        <v>2</v>
      </c>
      <c r="U1686" s="1">
        <v>-33.75902</v>
      </c>
      <c r="V1686" s="3">
        <v>150.80706499999999</v>
      </c>
    </row>
    <row r="1687" spans="1:22" x14ac:dyDescent="0.35">
      <c r="A1687" s="22" t="s">
        <v>4878</v>
      </c>
      <c r="B1687" s="1" t="s">
        <v>4879</v>
      </c>
      <c r="C1687" s="1" t="s">
        <v>4096</v>
      </c>
      <c r="D1687" s="1" t="s">
        <v>837</v>
      </c>
      <c r="E1687" s="1" t="s">
        <v>838</v>
      </c>
      <c r="F1687" s="1" t="s">
        <v>47</v>
      </c>
      <c r="G1687" s="1">
        <f t="shared" si="130"/>
        <v>1</v>
      </c>
      <c r="H1687" s="1" t="s">
        <v>148</v>
      </c>
      <c r="I1687" s="1" t="s">
        <v>3192</v>
      </c>
      <c r="J1687" s="23" t="s">
        <v>50</v>
      </c>
      <c r="K1687" s="2" t="s">
        <v>51</v>
      </c>
      <c r="L1687" s="1">
        <v>34</v>
      </c>
      <c r="M1687" s="1">
        <v>35</v>
      </c>
      <c r="N1687" s="1" t="str">
        <f t="shared" si="133"/>
        <v>Published</v>
      </c>
      <c r="O1687" s="1">
        <f t="shared" si="131"/>
        <v>11.899999999999999</v>
      </c>
      <c r="P1687" s="1"/>
      <c r="Q1687" s="1">
        <v>801</v>
      </c>
      <c r="R1687" s="1" t="str">
        <f t="shared" si="134"/>
        <v>1</v>
      </c>
      <c r="S1687" s="1">
        <v>209</v>
      </c>
      <c r="T1687" s="1" t="str">
        <f t="shared" si="132"/>
        <v>1</v>
      </c>
      <c r="U1687" s="1">
        <v>-33.736790999999997</v>
      </c>
      <c r="V1687" s="3">
        <v>150.813357</v>
      </c>
    </row>
    <row r="1688" spans="1:22" x14ac:dyDescent="0.35">
      <c r="A1688" s="22" t="s">
        <v>4880</v>
      </c>
      <c r="B1688" s="1" t="s">
        <v>4881</v>
      </c>
      <c r="C1688" s="1" t="s">
        <v>4882</v>
      </c>
      <c r="D1688" s="1" t="s">
        <v>176</v>
      </c>
      <c r="E1688" s="1" t="s">
        <v>85</v>
      </c>
      <c r="F1688" s="1" t="s">
        <v>47</v>
      </c>
      <c r="G1688" s="1">
        <f t="shared" si="130"/>
        <v>1</v>
      </c>
      <c r="H1688" s="1" t="s">
        <v>86</v>
      </c>
      <c r="I1688" s="1" t="s">
        <v>3192</v>
      </c>
      <c r="J1688" s="23" t="s">
        <v>50</v>
      </c>
      <c r="K1688" s="2" t="s">
        <v>51</v>
      </c>
      <c r="L1688" s="1">
        <v>113</v>
      </c>
      <c r="M1688" s="1">
        <v>19</v>
      </c>
      <c r="N1688" s="1" t="str">
        <f t="shared" si="133"/>
        <v>Published</v>
      </c>
      <c r="O1688" s="1">
        <f t="shared" si="131"/>
        <v>21.47</v>
      </c>
      <c r="P1688" s="1">
        <v>23</v>
      </c>
      <c r="Q1688" s="1">
        <v>945</v>
      </c>
      <c r="R1688" s="1" t="str">
        <f t="shared" si="134"/>
        <v>2</v>
      </c>
      <c r="S1688" s="1">
        <v>145</v>
      </c>
      <c r="T1688" s="1" t="str">
        <f t="shared" si="132"/>
        <v>2</v>
      </c>
      <c r="U1688" s="1">
        <v>-34.411195999999997</v>
      </c>
      <c r="V1688" s="3">
        <v>150.88860500000001</v>
      </c>
    </row>
    <row r="1689" spans="1:22" x14ac:dyDescent="0.35">
      <c r="A1689" s="22" t="s">
        <v>4883</v>
      </c>
      <c r="B1689" s="1" t="s">
        <v>4884</v>
      </c>
      <c r="C1689" s="1" t="s">
        <v>4885</v>
      </c>
      <c r="D1689" s="1" t="s">
        <v>737</v>
      </c>
      <c r="E1689" s="1" t="s">
        <v>738</v>
      </c>
      <c r="F1689" s="1" t="s">
        <v>47</v>
      </c>
      <c r="G1689" s="1">
        <f t="shared" si="130"/>
        <v>1</v>
      </c>
      <c r="H1689" s="1" t="s">
        <v>182</v>
      </c>
      <c r="I1689" s="1" t="s">
        <v>3192</v>
      </c>
      <c r="J1689" s="23" t="s">
        <v>50</v>
      </c>
      <c r="K1689" s="2" t="s">
        <v>51</v>
      </c>
      <c r="L1689" s="1">
        <v>62</v>
      </c>
      <c r="M1689" s="1"/>
      <c r="N1689" s="1" t="str">
        <f t="shared" si="133"/>
        <v>Suppressed</v>
      </c>
      <c r="O1689" s="1" t="str">
        <f t="shared" si="131"/>
        <v/>
      </c>
      <c r="P1689" s="1">
        <v>37</v>
      </c>
      <c r="Q1689" s="1">
        <v>1018</v>
      </c>
      <c r="R1689" s="1" t="str">
        <f t="shared" si="134"/>
        <v>3</v>
      </c>
      <c r="S1689" s="1">
        <v>94</v>
      </c>
      <c r="T1689" s="1" t="str">
        <f t="shared" si="132"/>
        <v>1</v>
      </c>
      <c r="U1689" s="1">
        <v>-34.022243000000003</v>
      </c>
      <c r="V1689" s="3">
        <v>151.08527000000001</v>
      </c>
    </row>
    <row r="1690" spans="1:22" x14ac:dyDescent="0.35">
      <c r="A1690" s="22" t="s">
        <v>4886</v>
      </c>
      <c r="B1690" s="1" t="s">
        <v>4887</v>
      </c>
      <c r="C1690" s="1" t="s">
        <v>3256</v>
      </c>
      <c r="D1690" s="1" t="s">
        <v>642</v>
      </c>
      <c r="E1690" s="1" t="s">
        <v>170</v>
      </c>
      <c r="F1690" s="1" t="s">
        <v>47</v>
      </c>
      <c r="G1690" s="1">
        <f t="shared" si="130"/>
        <v>1</v>
      </c>
      <c r="H1690" s="1" t="s">
        <v>48</v>
      </c>
      <c r="I1690" s="1" t="s">
        <v>3192</v>
      </c>
      <c r="J1690" s="23" t="s">
        <v>50</v>
      </c>
      <c r="K1690" s="2" t="s">
        <v>51</v>
      </c>
      <c r="L1690" s="1"/>
      <c r="M1690" s="1"/>
      <c r="N1690" s="1" t="str">
        <f t="shared" si="133"/>
        <v>Suppressed</v>
      </c>
      <c r="O1690" s="1" t="str">
        <f t="shared" si="131"/>
        <v/>
      </c>
      <c r="P1690" s="1"/>
      <c r="Q1690" s="1"/>
      <c r="R1690" s="1" t="str">
        <f t="shared" si="134"/>
        <v>No ICSEA</v>
      </c>
      <c r="S1690" s="1"/>
      <c r="T1690" s="1" t="str">
        <f t="shared" si="132"/>
        <v>No enrolment</v>
      </c>
      <c r="U1690" s="1">
        <v>-33.802574960000001</v>
      </c>
      <c r="V1690" s="3">
        <v>150.98518580000001</v>
      </c>
    </row>
    <row r="1691" spans="1:22" x14ac:dyDescent="0.35">
      <c r="A1691" s="22" t="s">
        <v>4888</v>
      </c>
      <c r="B1691" s="1" t="s">
        <v>4889</v>
      </c>
      <c r="C1691" s="1" t="s">
        <v>2249</v>
      </c>
      <c r="D1691" s="1" t="s">
        <v>152</v>
      </c>
      <c r="E1691" s="1" t="s">
        <v>229</v>
      </c>
      <c r="F1691" s="1" t="s">
        <v>47</v>
      </c>
      <c r="G1691" s="1">
        <f t="shared" si="130"/>
        <v>1</v>
      </c>
      <c r="H1691" s="1" t="s">
        <v>182</v>
      </c>
      <c r="I1691" s="1" t="s">
        <v>3192</v>
      </c>
      <c r="J1691" s="23" t="s">
        <v>50</v>
      </c>
      <c r="K1691" s="2" t="s">
        <v>51</v>
      </c>
      <c r="L1691" s="1">
        <v>104</v>
      </c>
      <c r="M1691" s="1"/>
      <c r="N1691" s="1" t="str">
        <f t="shared" si="133"/>
        <v>Suppressed</v>
      </c>
      <c r="O1691" s="1" t="str">
        <f t="shared" si="131"/>
        <v/>
      </c>
      <c r="P1691" s="1">
        <v>86</v>
      </c>
      <c r="Q1691" s="1">
        <v>1004</v>
      </c>
      <c r="R1691" s="1" t="str">
        <f t="shared" si="134"/>
        <v>3</v>
      </c>
      <c r="S1691" s="1">
        <v>109</v>
      </c>
      <c r="T1691" s="1" t="str">
        <f t="shared" si="132"/>
        <v>2</v>
      </c>
      <c r="U1691" s="1">
        <v>-33.936107999999997</v>
      </c>
      <c r="V1691" s="3">
        <v>151.02520999999999</v>
      </c>
    </row>
    <row r="1692" spans="1:22" x14ac:dyDescent="0.35">
      <c r="A1692" s="22" t="s">
        <v>4890</v>
      </c>
      <c r="B1692" s="1" t="s">
        <v>4891</v>
      </c>
      <c r="C1692" s="1" t="s">
        <v>4892</v>
      </c>
      <c r="D1692" s="1" t="s">
        <v>95</v>
      </c>
      <c r="E1692" s="1" t="s">
        <v>96</v>
      </c>
      <c r="F1692" s="1" t="s">
        <v>57</v>
      </c>
      <c r="G1692" s="1">
        <f t="shared" si="130"/>
        <v>2</v>
      </c>
      <c r="H1692" s="1" t="s">
        <v>70</v>
      </c>
      <c r="I1692" s="1" t="s">
        <v>3192</v>
      </c>
      <c r="J1692" s="23" t="s">
        <v>50</v>
      </c>
      <c r="K1692" s="2" t="s">
        <v>51</v>
      </c>
      <c r="L1692" s="1">
        <v>67</v>
      </c>
      <c r="M1692" s="1">
        <v>19</v>
      </c>
      <c r="N1692" s="1" t="str">
        <f t="shared" si="133"/>
        <v>Published</v>
      </c>
      <c r="O1692" s="1">
        <f t="shared" si="131"/>
        <v>12.73</v>
      </c>
      <c r="P1692" s="1">
        <v>13</v>
      </c>
      <c r="Q1692" s="1">
        <v>930</v>
      </c>
      <c r="R1692" s="1" t="str">
        <f t="shared" si="134"/>
        <v>2</v>
      </c>
      <c r="S1692" s="1">
        <v>140</v>
      </c>
      <c r="T1692" s="1" t="str">
        <f t="shared" si="132"/>
        <v>1</v>
      </c>
      <c r="U1692" s="1">
        <v>-36.058450999999998</v>
      </c>
      <c r="V1692" s="3">
        <v>146.929575</v>
      </c>
    </row>
    <row r="1693" spans="1:22" x14ac:dyDescent="0.35">
      <c r="A1693" s="22" t="s">
        <v>4893</v>
      </c>
      <c r="B1693" s="1" t="s">
        <v>4894</v>
      </c>
      <c r="C1693" s="1" t="s">
        <v>856</v>
      </c>
      <c r="D1693" s="1" t="s">
        <v>45</v>
      </c>
      <c r="E1693" s="1" t="s">
        <v>46</v>
      </c>
      <c r="F1693" s="1" t="s">
        <v>47</v>
      </c>
      <c r="G1693" s="1">
        <f t="shared" si="130"/>
        <v>1</v>
      </c>
      <c r="H1693" s="1" t="s">
        <v>48</v>
      </c>
      <c r="I1693" s="1" t="s">
        <v>3192</v>
      </c>
      <c r="J1693" s="23" t="s">
        <v>50</v>
      </c>
      <c r="K1693" s="2" t="s">
        <v>51</v>
      </c>
      <c r="L1693" s="1">
        <v>65</v>
      </c>
      <c r="M1693" s="1"/>
      <c r="N1693" s="1" t="str">
        <f t="shared" si="133"/>
        <v>Suppressed</v>
      </c>
      <c r="O1693" s="1" t="str">
        <f t="shared" si="131"/>
        <v/>
      </c>
      <c r="P1693" s="1">
        <v>36</v>
      </c>
      <c r="Q1693" s="1">
        <v>1095</v>
      </c>
      <c r="R1693" s="1" t="str">
        <f t="shared" si="134"/>
        <v>3</v>
      </c>
      <c r="S1693" s="1">
        <v>58</v>
      </c>
      <c r="T1693" s="1" t="str">
        <f t="shared" si="132"/>
        <v>1</v>
      </c>
      <c r="U1693" s="1">
        <v>-33.832948000000002</v>
      </c>
      <c r="V1693" s="3">
        <v>151.09845000000001</v>
      </c>
    </row>
    <row r="1694" spans="1:22" x14ac:dyDescent="0.35">
      <c r="A1694" s="22" t="s">
        <v>4895</v>
      </c>
      <c r="B1694" s="1" t="s">
        <v>4896</v>
      </c>
      <c r="C1694" s="1" t="s">
        <v>126</v>
      </c>
      <c r="D1694" s="1" t="s">
        <v>126</v>
      </c>
      <c r="E1694" s="1" t="s">
        <v>147</v>
      </c>
      <c r="F1694" s="1" t="s">
        <v>47</v>
      </c>
      <c r="G1694" s="1">
        <f t="shared" si="130"/>
        <v>1</v>
      </c>
      <c r="H1694" s="1" t="s">
        <v>148</v>
      </c>
      <c r="I1694" s="1" t="s">
        <v>3192</v>
      </c>
      <c r="J1694" s="23" t="s">
        <v>50</v>
      </c>
      <c r="K1694" s="2" t="s">
        <v>51</v>
      </c>
      <c r="L1694" s="1">
        <v>61</v>
      </c>
      <c r="M1694" s="1">
        <v>0</v>
      </c>
      <c r="N1694" s="1" t="str">
        <f t="shared" si="133"/>
        <v>Published</v>
      </c>
      <c r="O1694" s="1">
        <f t="shared" si="131"/>
        <v>0</v>
      </c>
      <c r="P1694" s="1">
        <v>62</v>
      </c>
      <c r="Q1694" s="1">
        <v>1063</v>
      </c>
      <c r="R1694" s="1" t="str">
        <f t="shared" si="134"/>
        <v>3</v>
      </c>
      <c r="S1694" s="1">
        <v>47</v>
      </c>
      <c r="T1694" s="1" t="str">
        <f t="shared" si="132"/>
        <v>1</v>
      </c>
      <c r="U1694" s="1">
        <v>-33.712071999999999</v>
      </c>
      <c r="V1694" s="3">
        <v>151.09564700000001</v>
      </c>
    </row>
    <row r="1695" spans="1:22" x14ac:dyDescent="0.35">
      <c r="A1695" s="22" t="s">
        <v>4897</v>
      </c>
      <c r="B1695" s="1" t="s">
        <v>4898</v>
      </c>
      <c r="C1695" s="1" t="s">
        <v>1239</v>
      </c>
      <c r="D1695" s="1" t="s">
        <v>203</v>
      </c>
      <c r="E1695" s="1" t="s">
        <v>204</v>
      </c>
      <c r="F1695" s="1" t="s">
        <v>47</v>
      </c>
      <c r="G1695" s="1">
        <f t="shared" si="130"/>
        <v>1</v>
      </c>
      <c r="H1695" s="1" t="s">
        <v>148</v>
      </c>
      <c r="I1695" s="1" t="s">
        <v>3192</v>
      </c>
      <c r="J1695" s="23" t="s">
        <v>50</v>
      </c>
      <c r="K1695" s="2" t="s">
        <v>51</v>
      </c>
      <c r="L1695" s="1">
        <v>34</v>
      </c>
      <c r="M1695" s="1">
        <v>0</v>
      </c>
      <c r="N1695" s="1" t="str">
        <f t="shared" si="133"/>
        <v>Published</v>
      </c>
      <c r="O1695" s="1">
        <f t="shared" si="131"/>
        <v>0</v>
      </c>
      <c r="P1695" s="1">
        <v>57</v>
      </c>
      <c r="Q1695" s="1">
        <v>1073</v>
      </c>
      <c r="R1695" s="1" t="str">
        <f t="shared" si="134"/>
        <v>3</v>
      </c>
      <c r="S1695" s="1">
        <v>52</v>
      </c>
      <c r="T1695" s="1" t="str">
        <f t="shared" si="132"/>
        <v>1</v>
      </c>
      <c r="U1695" s="1">
        <v>-33.756784000000003</v>
      </c>
      <c r="V1695" s="3">
        <v>151.24129099999999</v>
      </c>
    </row>
    <row r="1696" spans="1:22" x14ac:dyDescent="0.35">
      <c r="A1696" s="22" t="s">
        <v>4899</v>
      </c>
      <c r="B1696" s="1" t="s">
        <v>4900</v>
      </c>
      <c r="C1696" s="1" t="s">
        <v>4901</v>
      </c>
      <c r="D1696" s="1" t="s">
        <v>84</v>
      </c>
      <c r="E1696" s="1" t="s">
        <v>85</v>
      </c>
      <c r="F1696" s="1" t="s">
        <v>47</v>
      </c>
      <c r="G1696" s="1">
        <f t="shared" si="130"/>
        <v>1</v>
      </c>
      <c r="H1696" s="1" t="s">
        <v>86</v>
      </c>
      <c r="I1696" s="1" t="s">
        <v>3192</v>
      </c>
      <c r="J1696" s="23" t="s">
        <v>50</v>
      </c>
      <c r="K1696" s="2" t="s">
        <v>51</v>
      </c>
      <c r="L1696" s="1">
        <v>115</v>
      </c>
      <c r="M1696" s="1">
        <v>16</v>
      </c>
      <c r="N1696" s="1" t="str">
        <f t="shared" si="133"/>
        <v>Published</v>
      </c>
      <c r="O1696" s="1">
        <f t="shared" si="131"/>
        <v>18.400000000000002</v>
      </c>
      <c r="P1696" s="1">
        <v>15</v>
      </c>
      <c r="Q1696" s="1">
        <v>938</v>
      </c>
      <c r="R1696" s="1" t="str">
        <f t="shared" si="134"/>
        <v>2</v>
      </c>
      <c r="S1696" s="1">
        <v>163</v>
      </c>
      <c r="T1696" s="1" t="str">
        <f t="shared" si="132"/>
        <v>2</v>
      </c>
      <c r="U1696" s="1">
        <v>-34.555992000000003</v>
      </c>
      <c r="V1696" s="3">
        <v>150.854963</v>
      </c>
    </row>
    <row r="1697" spans="1:22" x14ac:dyDescent="0.35">
      <c r="A1697" s="22" t="s">
        <v>4902</v>
      </c>
      <c r="B1697" s="1" t="s">
        <v>4903</v>
      </c>
      <c r="C1697" s="1" t="s">
        <v>2203</v>
      </c>
      <c r="D1697" s="1" t="s">
        <v>121</v>
      </c>
      <c r="E1697" s="1" t="s">
        <v>122</v>
      </c>
      <c r="F1697" s="1" t="s">
        <v>57</v>
      </c>
      <c r="G1697" s="1">
        <f t="shared" si="130"/>
        <v>2</v>
      </c>
      <c r="H1697" s="1" t="s">
        <v>86</v>
      </c>
      <c r="I1697" s="1" t="s">
        <v>4743</v>
      </c>
      <c r="J1697" s="23" t="s">
        <v>50</v>
      </c>
      <c r="K1697" s="2" t="s">
        <v>51</v>
      </c>
      <c r="L1697" s="1"/>
      <c r="M1697" s="1"/>
      <c r="N1697" s="1" t="str">
        <f t="shared" si="133"/>
        <v>Suppressed</v>
      </c>
      <c r="O1697" s="1" t="str">
        <f t="shared" si="131"/>
        <v/>
      </c>
      <c r="P1697" s="1"/>
      <c r="Q1697" s="1"/>
      <c r="R1697" s="1" t="str">
        <f t="shared" si="134"/>
        <v>No ICSEA</v>
      </c>
      <c r="S1697" s="1"/>
      <c r="T1697" s="1" t="str">
        <f t="shared" si="132"/>
        <v>No enrolment</v>
      </c>
      <c r="U1697" s="1">
        <v>-34.134566999999997</v>
      </c>
      <c r="V1697" s="3">
        <v>150.49916200000001</v>
      </c>
    </row>
    <row r="1698" spans="1:22" x14ac:dyDescent="0.35">
      <c r="A1698" s="22" t="s">
        <v>4904</v>
      </c>
      <c r="B1698" s="1" t="s">
        <v>4905</v>
      </c>
      <c r="C1698" s="1" t="s">
        <v>3495</v>
      </c>
      <c r="D1698" s="1" t="s">
        <v>642</v>
      </c>
      <c r="E1698" s="1" t="s">
        <v>306</v>
      </c>
      <c r="F1698" s="1" t="s">
        <v>47</v>
      </c>
      <c r="G1698" s="1">
        <f t="shared" si="130"/>
        <v>1</v>
      </c>
      <c r="H1698" s="1" t="s">
        <v>148</v>
      </c>
      <c r="I1698" s="1" t="s">
        <v>3192</v>
      </c>
      <c r="J1698" s="23" t="s">
        <v>50</v>
      </c>
      <c r="K1698" s="2" t="s">
        <v>51</v>
      </c>
      <c r="L1698" s="1">
        <v>89</v>
      </c>
      <c r="M1698" s="1">
        <v>8</v>
      </c>
      <c r="N1698" s="1" t="str">
        <f t="shared" si="133"/>
        <v>Published</v>
      </c>
      <c r="O1698" s="1">
        <f t="shared" si="131"/>
        <v>7.12</v>
      </c>
      <c r="P1698" s="1">
        <v>71</v>
      </c>
      <c r="Q1698" s="1">
        <v>1030</v>
      </c>
      <c r="R1698" s="1" t="str">
        <f t="shared" si="134"/>
        <v>3</v>
      </c>
      <c r="S1698" s="1">
        <v>101</v>
      </c>
      <c r="T1698" s="1" t="str">
        <f t="shared" si="132"/>
        <v>1</v>
      </c>
      <c r="U1698" s="1">
        <v>-33.770806</v>
      </c>
      <c r="V1698" s="3">
        <v>151.06064000000001</v>
      </c>
    </row>
    <row r="1699" spans="1:22" x14ac:dyDescent="0.35">
      <c r="A1699" s="22" t="s">
        <v>4906</v>
      </c>
      <c r="B1699" s="1" t="s">
        <v>4907</v>
      </c>
      <c r="C1699" s="1" t="s">
        <v>2762</v>
      </c>
      <c r="D1699" s="1" t="s">
        <v>79</v>
      </c>
      <c r="E1699" s="1" t="s">
        <v>80</v>
      </c>
      <c r="F1699" s="1" t="s">
        <v>57</v>
      </c>
      <c r="G1699" s="1">
        <f t="shared" si="130"/>
        <v>2</v>
      </c>
      <c r="H1699" s="1" t="s">
        <v>70</v>
      </c>
      <c r="I1699" s="1" t="s">
        <v>3192</v>
      </c>
      <c r="J1699" s="23" t="s">
        <v>50</v>
      </c>
      <c r="K1699" s="2" t="s">
        <v>51</v>
      </c>
      <c r="L1699" s="1">
        <v>30</v>
      </c>
      <c r="M1699" s="1">
        <v>33</v>
      </c>
      <c r="N1699" s="1" t="str">
        <f t="shared" si="133"/>
        <v>Published</v>
      </c>
      <c r="O1699" s="1">
        <f t="shared" si="131"/>
        <v>9.9</v>
      </c>
      <c r="P1699" s="1">
        <v>0</v>
      </c>
      <c r="Q1699" s="1">
        <v>869</v>
      </c>
      <c r="R1699" s="1" t="str">
        <f t="shared" si="134"/>
        <v>1</v>
      </c>
      <c r="S1699" s="1">
        <v>180</v>
      </c>
      <c r="T1699" s="1" t="str">
        <f t="shared" si="132"/>
        <v>1</v>
      </c>
      <c r="U1699" s="1">
        <v>-35.303287259999998</v>
      </c>
      <c r="V1699" s="3">
        <v>148.2210355</v>
      </c>
    </row>
    <row r="1700" spans="1:22" x14ac:dyDescent="0.35">
      <c r="A1700" s="22" t="s">
        <v>4908</v>
      </c>
      <c r="B1700" s="1" t="s">
        <v>4909</v>
      </c>
      <c r="C1700" s="1" t="s">
        <v>3834</v>
      </c>
      <c r="D1700" s="1" t="s">
        <v>1776</v>
      </c>
      <c r="E1700" s="1" t="s">
        <v>147</v>
      </c>
      <c r="F1700" s="1" t="s">
        <v>47</v>
      </c>
      <c r="G1700" s="1">
        <f t="shared" si="130"/>
        <v>1</v>
      </c>
      <c r="H1700" s="1" t="s">
        <v>148</v>
      </c>
      <c r="I1700" s="1" t="s">
        <v>3192</v>
      </c>
      <c r="J1700" s="23" t="s">
        <v>50</v>
      </c>
      <c r="K1700" s="2" t="s">
        <v>51</v>
      </c>
      <c r="L1700" s="1">
        <v>75</v>
      </c>
      <c r="M1700" s="1">
        <v>9</v>
      </c>
      <c r="N1700" s="1" t="str">
        <f t="shared" si="133"/>
        <v>Published</v>
      </c>
      <c r="O1700" s="1">
        <f t="shared" si="131"/>
        <v>6.75</v>
      </c>
      <c r="P1700" s="1">
        <v>40</v>
      </c>
      <c r="Q1700" s="1">
        <v>983</v>
      </c>
      <c r="R1700" s="1" t="str">
        <f t="shared" si="134"/>
        <v>2</v>
      </c>
      <c r="S1700" s="1">
        <v>129</v>
      </c>
      <c r="T1700" s="1" t="str">
        <f t="shared" si="132"/>
        <v>1</v>
      </c>
      <c r="U1700" s="1">
        <v>-33.719579000000003</v>
      </c>
      <c r="V1700" s="3">
        <v>151.179755</v>
      </c>
    </row>
    <row r="1701" spans="1:22" x14ac:dyDescent="0.35">
      <c r="A1701" s="22" t="s">
        <v>4910</v>
      </c>
      <c r="B1701" s="1" t="s">
        <v>4911</v>
      </c>
      <c r="C1701" s="1" t="s">
        <v>4912</v>
      </c>
      <c r="D1701" s="1" t="s">
        <v>314</v>
      </c>
      <c r="E1701" s="1" t="s">
        <v>68</v>
      </c>
      <c r="F1701" s="1" t="s">
        <v>69</v>
      </c>
      <c r="G1701" s="1">
        <f t="shared" si="130"/>
        <v>3</v>
      </c>
      <c r="H1701" s="1" t="s">
        <v>86</v>
      </c>
      <c r="I1701" s="1" t="s">
        <v>4743</v>
      </c>
      <c r="J1701" s="23" t="s">
        <v>50</v>
      </c>
      <c r="K1701" s="2" t="s">
        <v>51</v>
      </c>
      <c r="L1701" s="1"/>
      <c r="M1701" s="1"/>
      <c r="N1701" s="1" t="str">
        <f t="shared" si="133"/>
        <v>Suppressed</v>
      </c>
      <c r="O1701" s="1" t="str">
        <f t="shared" si="131"/>
        <v/>
      </c>
      <c r="P1701" s="1"/>
      <c r="Q1701" s="1"/>
      <c r="R1701" s="1" t="str">
        <f t="shared" si="134"/>
        <v>No ICSEA</v>
      </c>
      <c r="S1701" s="1"/>
      <c r="T1701" s="1" t="str">
        <f t="shared" si="132"/>
        <v>No enrolment</v>
      </c>
      <c r="U1701" s="1">
        <v>-36.790799999999997</v>
      </c>
      <c r="V1701" s="3">
        <v>149.92712</v>
      </c>
    </row>
    <row r="1702" spans="1:22" x14ac:dyDescent="0.35">
      <c r="A1702" s="22" t="s">
        <v>4913</v>
      </c>
      <c r="B1702" s="1" t="s">
        <v>4914</v>
      </c>
      <c r="C1702" s="1" t="s">
        <v>139</v>
      </c>
      <c r="D1702" s="1" t="s">
        <v>139</v>
      </c>
      <c r="E1702" s="1" t="s">
        <v>91</v>
      </c>
      <c r="F1702" s="1" t="s">
        <v>69</v>
      </c>
      <c r="G1702" s="1">
        <f t="shared" si="130"/>
        <v>3</v>
      </c>
      <c r="H1702" s="1" t="s">
        <v>92</v>
      </c>
      <c r="I1702" s="1" t="s">
        <v>4743</v>
      </c>
      <c r="J1702" s="23" t="s">
        <v>50</v>
      </c>
      <c r="K1702" s="2" t="s">
        <v>51</v>
      </c>
      <c r="L1702" s="1"/>
      <c r="M1702" s="1"/>
      <c r="N1702" s="1" t="str">
        <f t="shared" si="133"/>
        <v>Suppressed</v>
      </c>
      <c r="O1702" s="1" t="str">
        <f t="shared" si="131"/>
        <v/>
      </c>
      <c r="P1702" s="1"/>
      <c r="Q1702" s="1"/>
      <c r="R1702" s="1" t="str">
        <f t="shared" si="134"/>
        <v>No ICSEA</v>
      </c>
      <c r="S1702" s="1"/>
      <c r="T1702" s="1" t="str">
        <f t="shared" si="132"/>
        <v>No enrolment</v>
      </c>
      <c r="U1702" s="1">
        <v>-30.447932999999999</v>
      </c>
      <c r="V1702" s="3">
        <v>151.82474999999999</v>
      </c>
    </row>
    <row r="1703" spans="1:22" x14ac:dyDescent="0.35">
      <c r="A1703" s="22" t="s">
        <v>4915</v>
      </c>
      <c r="B1703" s="1" t="s">
        <v>4916</v>
      </c>
      <c r="C1703" s="1" t="s">
        <v>211</v>
      </c>
      <c r="D1703" s="1" t="s">
        <v>211</v>
      </c>
      <c r="E1703" s="1" t="s">
        <v>102</v>
      </c>
      <c r="F1703" s="1" t="s">
        <v>69</v>
      </c>
      <c r="G1703" s="1">
        <f t="shared" si="130"/>
        <v>3</v>
      </c>
      <c r="H1703" s="1" t="s">
        <v>58</v>
      </c>
      <c r="I1703" s="1" t="s">
        <v>4743</v>
      </c>
      <c r="J1703" s="23" t="s">
        <v>50</v>
      </c>
      <c r="K1703" s="2" t="s">
        <v>51</v>
      </c>
      <c r="L1703" s="1"/>
      <c r="M1703" s="1"/>
      <c r="N1703" s="1" t="str">
        <f t="shared" si="133"/>
        <v>Suppressed</v>
      </c>
      <c r="O1703" s="1" t="str">
        <f t="shared" si="131"/>
        <v/>
      </c>
      <c r="P1703" s="1"/>
      <c r="Q1703" s="1"/>
      <c r="R1703" s="1" t="str">
        <f t="shared" si="134"/>
        <v>No ICSEA</v>
      </c>
      <c r="S1703" s="1"/>
      <c r="T1703" s="1" t="str">
        <f t="shared" si="132"/>
        <v>No enrolment</v>
      </c>
      <c r="U1703" s="1">
        <v>-32.48798</v>
      </c>
      <c r="V1703" s="3">
        <v>148.55479199999999</v>
      </c>
    </row>
    <row r="1704" spans="1:22" x14ac:dyDescent="0.35">
      <c r="A1704" s="22" t="s">
        <v>4917</v>
      </c>
      <c r="B1704" s="1" t="s">
        <v>4918</v>
      </c>
      <c r="C1704" s="1" t="s">
        <v>4919</v>
      </c>
      <c r="D1704" s="1" t="s">
        <v>390</v>
      </c>
      <c r="E1704" s="1" t="s">
        <v>107</v>
      </c>
      <c r="F1704" s="1" t="s">
        <v>57</v>
      </c>
      <c r="G1704" s="1">
        <f t="shared" si="130"/>
        <v>2</v>
      </c>
      <c r="H1704" s="1" t="s">
        <v>92</v>
      </c>
      <c r="I1704" s="1" t="s">
        <v>4743</v>
      </c>
      <c r="J1704" s="23" t="s">
        <v>50</v>
      </c>
      <c r="K1704" s="2" t="s">
        <v>51</v>
      </c>
      <c r="L1704" s="1"/>
      <c r="M1704" s="1"/>
      <c r="N1704" s="1" t="str">
        <f t="shared" si="133"/>
        <v>Suppressed</v>
      </c>
      <c r="O1704" s="1" t="str">
        <f t="shared" si="131"/>
        <v/>
      </c>
      <c r="P1704" s="1"/>
      <c r="Q1704" s="1"/>
      <c r="R1704" s="1" t="str">
        <f t="shared" si="134"/>
        <v>No ICSEA</v>
      </c>
      <c r="S1704" s="1"/>
      <c r="T1704" s="1" t="str">
        <f t="shared" si="132"/>
        <v>No enrolment</v>
      </c>
      <c r="U1704" s="1">
        <v>-28.656555999999998</v>
      </c>
      <c r="V1704" s="3">
        <v>153.35174000000001</v>
      </c>
    </row>
    <row r="1705" spans="1:22" x14ac:dyDescent="0.35">
      <c r="A1705" s="22" t="s">
        <v>4920</v>
      </c>
      <c r="B1705" s="1" t="s">
        <v>4921</v>
      </c>
      <c r="C1705" s="1" t="s">
        <v>1972</v>
      </c>
      <c r="D1705" s="1" t="s">
        <v>195</v>
      </c>
      <c r="E1705" s="1" t="s">
        <v>196</v>
      </c>
      <c r="F1705" s="1" t="s">
        <v>57</v>
      </c>
      <c r="G1705" s="1">
        <f t="shared" si="130"/>
        <v>2</v>
      </c>
      <c r="H1705" s="1" t="s">
        <v>86</v>
      </c>
      <c r="I1705" s="1" t="s">
        <v>3192</v>
      </c>
      <c r="J1705" s="23" t="s">
        <v>50</v>
      </c>
      <c r="K1705" s="2" t="s">
        <v>51</v>
      </c>
      <c r="L1705" s="1">
        <v>48</v>
      </c>
      <c r="M1705" s="1">
        <v>19</v>
      </c>
      <c r="N1705" s="1" t="str">
        <f t="shared" si="133"/>
        <v>Published</v>
      </c>
      <c r="O1705" s="1">
        <f t="shared" si="131"/>
        <v>9.120000000000001</v>
      </c>
      <c r="P1705" s="1"/>
      <c r="Q1705" s="1">
        <v>971</v>
      </c>
      <c r="R1705" s="1" t="str">
        <f t="shared" si="134"/>
        <v>2</v>
      </c>
      <c r="S1705" s="1">
        <v>124</v>
      </c>
      <c r="T1705" s="1" t="str">
        <f t="shared" si="132"/>
        <v>1</v>
      </c>
      <c r="U1705" s="1">
        <v>-34.451869000000002</v>
      </c>
      <c r="V1705" s="3">
        <v>150.469424</v>
      </c>
    </row>
    <row r="1706" spans="1:22" x14ac:dyDescent="0.35">
      <c r="A1706" s="22" t="s">
        <v>4922</v>
      </c>
      <c r="B1706" s="1" t="s">
        <v>4923</v>
      </c>
      <c r="C1706" s="1" t="s">
        <v>751</v>
      </c>
      <c r="D1706" s="1" t="s">
        <v>751</v>
      </c>
      <c r="E1706" s="1" t="s">
        <v>91</v>
      </c>
      <c r="F1706" s="1" t="s">
        <v>69</v>
      </c>
      <c r="G1706" s="1">
        <f t="shared" si="130"/>
        <v>3</v>
      </c>
      <c r="H1706" s="1" t="s">
        <v>92</v>
      </c>
      <c r="I1706" s="1" t="s">
        <v>3192</v>
      </c>
      <c r="J1706" s="23" t="s">
        <v>50</v>
      </c>
      <c r="K1706" s="2" t="s">
        <v>51</v>
      </c>
      <c r="L1706" s="1">
        <v>35</v>
      </c>
      <c r="M1706" s="1">
        <v>43</v>
      </c>
      <c r="N1706" s="1" t="str">
        <f t="shared" si="133"/>
        <v>Published</v>
      </c>
      <c r="O1706" s="1">
        <f t="shared" si="131"/>
        <v>15.049999999999999</v>
      </c>
      <c r="P1706" s="1"/>
      <c r="Q1706" s="1">
        <v>881</v>
      </c>
      <c r="R1706" s="1" t="str">
        <f t="shared" si="134"/>
        <v>1</v>
      </c>
      <c r="S1706" s="1">
        <v>148</v>
      </c>
      <c r="T1706" s="1" t="str">
        <f t="shared" si="132"/>
        <v>1</v>
      </c>
      <c r="U1706" s="1">
        <v>-30.996116870000002</v>
      </c>
      <c r="V1706" s="3">
        <v>150.2386051</v>
      </c>
    </row>
    <row r="1707" spans="1:22" x14ac:dyDescent="0.35">
      <c r="A1707" s="22" t="s">
        <v>4924</v>
      </c>
      <c r="B1707" s="1" t="s">
        <v>4925</v>
      </c>
      <c r="C1707" s="1" t="s">
        <v>3144</v>
      </c>
      <c r="D1707" s="1" t="s">
        <v>191</v>
      </c>
      <c r="E1707" s="1" t="s">
        <v>75</v>
      </c>
      <c r="F1707" s="1" t="s">
        <v>47</v>
      </c>
      <c r="G1707" s="1">
        <f t="shared" si="130"/>
        <v>1</v>
      </c>
      <c r="H1707" s="1" t="s">
        <v>63</v>
      </c>
      <c r="I1707" s="1" t="s">
        <v>3192</v>
      </c>
      <c r="J1707" s="23" t="s">
        <v>50</v>
      </c>
      <c r="K1707" s="2" t="s">
        <v>51</v>
      </c>
      <c r="L1707" s="1">
        <v>58</v>
      </c>
      <c r="M1707" s="1">
        <v>22</v>
      </c>
      <c r="N1707" s="1" t="str">
        <f t="shared" si="133"/>
        <v>Published</v>
      </c>
      <c r="O1707" s="1">
        <f t="shared" si="131"/>
        <v>12.76</v>
      </c>
      <c r="P1707" s="1"/>
      <c r="Q1707" s="1">
        <v>910</v>
      </c>
      <c r="R1707" s="1" t="str">
        <f t="shared" si="134"/>
        <v>2</v>
      </c>
      <c r="S1707" s="1">
        <v>159</v>
      </c>
      <c r="T1707" s="1" t="str">
        <f t="shared" si="132"/>
        <v>1</v>
      </c>
      <c r="U1707" s="1">
        <v>-32.97528552</v>
      </c>
      <c r="V1707" s="3">
        <v>151.6824283</v>
      </c>
    </row>
    <row r="1708" spans="1:22" x14ac:dyDescent="0.35">
      <c r="A1708" s="22" t="s">
        <v>4926</v>
      </c>
      <c r="B1708" s="1" t="s">
        <v>4927</v>
      </c>
      <c r="C1708" s="1" t="s">
        <v>4928</v>
      </c>
      <c r="D1708" s="1" t="s">
        <v>489</v>
      </c>
      <c r="E1708" s="1" t="s">
        <v>56</v>
      </c>
      <c r="F1708" s="1" t="s">
        <v>47</v>
      </c>
      <c r="G1708" s="1">
        <f t="shared" si="130"/>
        <v>1</v>
      </c>
      <c r="H1708" s="1" t="s">
        <v>58</v>
      </c>
      <c r="I1708" s="1" t="s">
        <v>3192</v>
      </c>
      <c r="J1708" s="23" t="s">
        <v>50</v>
      </c>
      <c r="K1708" s="2" t="s">
        <v>51</v>
      </c>
      <c r="L1708" s="1">
        <v>70</v>
      </c>
      <c r="M1708" s="1">
        <v>11</v>
      </c>
      <c r="N1708" s="1" t="str">
        <f t="shared" si="133"/>
        <v>Published</v>
      </c>
      <c r="O1708" s="1">
        <f t="shared" si="131"/>
        <v>7.7</v>
      </c>
      <c r="P1708" s="1">
        <v>14</v>
      </c>
      <c r="Q1708" s="1">
        <v>958</v>
      </c>
      <c r="R1708" s="1" t="str">
        <f t="shared" si="134"/>
        <v>2</v>
      </c>
      <c r="S1708" s="1">
        <v>154</v>
      </c>
      <c r="T1708" s="1" t="str">
        <f t="shared" si="132"/>
        <v>1</v>
      </c>
      <c r="U1708" s="1">
        <v>-32.765017999999998</v>
      </c>
      <c r="V1708" s="3">
        <v>151.61250699999999</v>
      </c>
    </row>
    <row r="1709" spans="1:22" x14ac:dyDescent="0.35">
      <c r="A1709" s="22" t="s">
        <v>4929</v>
      </c>
      <c r="B1709" s="1" t="s">
        <v>4930</v>
      </c>
      <c r="C1709" s="1" t="s">
        <v>4931</v>
      </c>
      <c r="D1709" s="1" t="s">
        <v>642</v>
      </c>
      <c r="E1709" s="1" t="s">
        <v>170</v>
      </c>
      <c r="F1709" s="1" t="s">
        <v>47</v>
      </c>
      <c r="G1709" s="1">
        <f t="shared" si="130"/>
        <v>1</v>
      </c>
      <c r="H1709" s="1" t="s">
        <v>148</v>
      </c>
      <c r="I1709" s="1" t="s">
        <v>3192</v>
      </c>
      <c r="J1709" s="23" t="s">
        <v>50</v>
      </c>
      <c r="K1709" s="2" t="s">
        <v>51</v>
      </c>
      <c r="L1709" s="1">
        <v>112</v>
      </c>
      <c r="M1709" s="1"/>
      <c r="N1709" s="1" t="str">
        <f t="shared" si="133"/>
        <v>Suppressed</v>
      </c>
      <c r="O1709" s="1" t="str">
        <f t="shared" si="131"/>
        <v/>
      </c>
      <c r="P1709" s="1">
        <v>71</v>
      </c>
      <c r="Q1709" s="1">
        <v>1046</v>
      </c>
      <c r="R1709" s="1" t="str">
        <f t="shared" si="134"/>
        <v>3</v>
      </c>
      <c r="S1709" s="1">
        <v>76</v>
      </c>
      <c r="T1709" s="1" t="str">
        <f t="shared" si="132"/>
        <v>2</v>
      </c>
      <c r="U1709" s="1">
        <v>-33.779744999999998</v>
      </c>
      <c r="V1709" s="3">
        <v>151.003951</v>
      </c>
    </row>
    <row r="1710" spans="1:22" x14ac:dyDescent="0.35">
      <c r="A1710" s="22" t="s">
        <v>4932</v>
      </c>
      <c r="B1710" s="1" t="s">
        <v>4933</v>
      </c>
      <c r="C1710" s="1" t="s">
        <v>4934</v>
      </c>
      <c r="D1710" s="1" t="s">
        <v>390</v>
      </c>
      <c r="E1710" s="1" t="s">
        <v>107</v>
      </c>
      <c r="F1710" s="1" t="s">
        <v>57</v>
      </c>
      <c r="G1710" s="1">
        <f t="shared" si="130"/>
        <v>2</v>
      </c>
      <c r="H1710" s="1" t="s">
        <v>92</v>
      </c>
      <c r="I1710" s="1" t="s">
        <v>3192</v>
      </c>
      <c r="J1710" s="23" t="s">
        <v>50</v>
      </c>
      <c r="K1710" s="2" t="s">
        <v>51</v>
      </c>
      <c r="L1710" s="1">
        <v>83</v>
      </c>
      <c r="M1710" s="1">
        <v>34</v>
      </c>
      <c r="N1710" s="1" t="str">
        <f t="shared" si="133"/>
        <v>Published</v>
      </c>
      <c r="O1710" s="1">
        <f t="shared" si="131"/>
        <v>28.220000000000002</v>
      </c>
      <c r="P1710" s="1"/>
      <c r="Q1710" s="1">
        <v>902</v>
      </c>
      <c r="R1710" s="1" t="str">
        <f t="shared" si="134"/>
        <v>2</v>
      </c>
      <c r="S1710" s="1">
        <v>148</v>
      </c>
      <c r="T1710" s="1" t="str">
        <f t="shared" si="132"/>
        <v>1</v>
      </c>
      <c r="U1710" s="1">
        <v>-28.831923</v>
      </c>
      <c r="V1710" s="3">
        <v>153.29331300000001</v>
      </c>
    </row>
    <row r="1711" spans="1:22" x14ac:dyDescent="0.35">
      <c r="A1711" s="22" t="s">
        <v>4935</v>
      </c>
      <c r="B1711" s="1" t="s">
        <v>4936</v>
      </c>
      <c r="C1711" s="1" t="s">
        <v>1844</v>
      </c>
      <c r="D1711" s="1" t="s">
        <v>404</v>
      </c>
      <c r="E1711" s="1" t="s">
        <v>127</v>
      </c>
      <c r="F1711" s="1" t="s">
        <v>57</v>
      </c>
      <c r="G1711" s="1">
        <f t="shared" si="130"/>
        <v>2</v>
      </c>
      <c r="H1711" s="1" t="s">
        <v>63</v>
      </c>
      <c r="I1711" s="1" t="s">
        <v>4743</v>
      </c>
      <c r="J1711" s="23" t="s">
        <v>50</v>
      </c>
      <c r="K1711" s="2" t="s">
        <v>51</v>
      </c>
      <c r="L1711" s="1"/>
      <c r="M1711" s="1"/>
      <c r="N1711" s="1" t="str">
        <f t="shared" si="133"/>
        <v>Suppressed</v>
      </c>
      <c r="O1711" s="1" t="str">
        <f t="shared" si="131"/>
        <v/>
      </c>
      <c r="P1711" s="1"/>
      <c r="Q1711" s="1"/>
      <c r="R1711" s="1" t="str">
        <f t="shared" si="134"/>
        <v>No ICSEA</v>
      </c>
      <c r="S1711" s="1"/>
      <c r="T1711" s="1" t="str">
        <f t="shared" si="132"/>
        <v>No enrolment</v>
      </c>
      <c r="U1711" s="1">
        <v>-33.576219000000002</v>
      </c>
      <c r="V1711" s="3">
        <v>150.89280600000001</v>
      </c>
    </row>
    <row r="1712" spans="1:22" x14ac:dyDescent="0.35">
      <c r="A1712" s="22" t="s">
        <v>4937</v>
      </c>
      <c r="B1712" s="1" t="s">
        <v>4938</v>
      </c>
      <c r="C1712" s="1" t="s">
        <v>4939</v>
      </c>
      <c r="D1712" s="1" t="s">
        <v>737</v>
      </c>
      <c r="E1712" s="1" t="s">
        <v>738</v>
      </c>
      <c r="F1712" s="1" t="s">
        <v>57</v>
      </c>
      <c r="G1712" s="1">
        <f t="shared" si="130"/>
        <v>2</v>
      </c>
      <c r="H1712" s="1" t="s">
        <v>182</v>
      </c>
      <c r="I1712" s="1" t="s">
        <v>4743</v>
      </c>
      <c r="J1712" s="23" t="s">
        <v>50</v>
      </c>
      <c r="K1712" s="2" t="s">
        <v>51</v>
      </c>
      <c r="L1712" s="1"/>
      <c r="M1712" s="1"/>
      <c r="N1712" s="1" t="str">
        <f t="shared" si="133"/>
        <v>Suppressed</v>
      </c>
      <c r="O1712" s="1" t="str">
        <f t="shared" si="131"/>
        <v/>
      </c>
      <c r="P1712" s="1"/>
      <c r="Q1712" s="1"/>
      <c r="R1712" s="1" t="str">
        <f t="shared" si="134"/>
        <v>No ICSEA</v>
      </c>
      <c r="S1712" s="1"/>
      <c r="T1712" s="1" t="str">
        <f t="shared" si="132"/>
        <v>No enrolment</v>
      </c>
      <c r="U1712" s="1">
        <v>-34.062820000000002</v>
      </c>
      <c r="V1712" s="3">
        <v>151.057682</v>
      </c>
    </row>
    <row r="1713" spans="1:22" x14ac:dyDescent="0.35">
      <c r="A1713" s="22" t="s">
        <v>4940</v>
      </c>
      <c r="B1713" s="1" t="s">
        <v>4941</v>
      </c>
      <c r="C1713" s="1" t="s">
        <v>4942</v>
      </c>
      <c r="D1713" s="1" t="s">
        <v>761</v>
      </c>
      <c r="E1713" s="1" t="s">
        <v>127</v>
      </c>
      <c r="F1713" s="1" t="s">
        <v>57</v>
      </c>
      <c r="G1713" s="1">
        <f t="shared" si="130"/>
        <v>2</v>
      </c>
      <c r="H1713" s="1" t="s">
        <v>63</v>
      </c>
      <c r="I1713" s="1" t="s">
        <v>4743</v>
      </c>
      <c r="J1713" s="23" t="s">
        <v>50</v>
      </c>
      <c r="K1713" s="2" t="s">
        <v>51</v>
      </c>
      <c r="L1713" s="1"/>
      <c r="M1713" s="1"/>
      <c r="N1713" s="1" t="str">
        <f t="shared" si="133"/>
        <v>Suppressed</v>
      </c>
      <c r="O1713" s="1" t="str">
        <f t="shared" si="131"/>
        <v/>
      </c>
      <c r="P1713" s="1"/>
      <c r="Q1713" s="1"/>
      <c r="R1713" s="1" t="str">
        <f t="shared" si="134"/>
        <v>No ICSEA</v>
      </c>
      <c r="S1713" s="1"/>
      <c r="T1713" s="1" t="str">
        <f t="shared" si="132"/>
        <v>No enrolment</v>
      </c>
      <c r="U1713" s="1">
        <v>-33.481670000000001</v>
      </c>
      <c r="V1713" s="3">
        <v>150.89151100000001</v>
      </c>
    </row>
    <row r="1714" spans="1:22" x14ac:dyDescent="0.35">
      <c r="A1714" s="22" t="s">
        <v>4943</v>
      </c>
      <c r="B1714" s="1" t="s">
        <v>4944</v>
      </c>
      <c r="C1714" s="1" t="s">
        <v>139</v>
      </c>
      <c r="D1714" s="1" t="s">
        <v>139</v>
      </c>
      <c r="E1714" s="1" t="s">
        <v>91</v>
      </c>
      <c r="F1714" s="1" t="s">
        <v>57</v>
      </c>
      <c r="G1714" s="1">
        <f t="shared" si="130"/>
        <v>2</v>
      </c>
      <c r="H1714" s="1" t="s">
        <v>92</v>
      </c>
      <c r="I1714" s="1" t="s">
        <v>49</v>
      </c>
      <c r="J1714" s="23" t="s">
        <v>50</v>
      </c>
      <c r="K1714" s="2" t="s">
        <v>51</v>
      </c>
      <c r="L1714" s="1">
        <v>179</v>
      </c>
      <c r="M1714" s="1">
        <v>33</v>
      </c>
      <c r="N1714" s="1" t="str">
        <f t="shared" si="133"/>
        <v>Published</v>
      </c>
      <c r="O1714" s="1">
        <f t="shared" si="131"/>
        <v>59.07</v>
      </c>
      <c r="P1714" s="1">
        <v>25</v>
      </c>
      <c r="Q1714" s="1">
        <v>923</v>
      </c>
      <c r="R1714" s="1" t="str">
        <f t="shared" si="134"/>
        <v>2</v>
      </c>
      <c r="S1714" s="1">
        <v>112</v>
      </c>
      <c r="T1714" s="1" t="str">
        <f t="shared" si="132"/>
        <v>2</v>
      </c>
      <c r="U1714" s="1">
        <v>-30.497063000000001</v>
      </c>
      <c r="V1714" s="3">
        <v>151.65599</v>
      </c>
    </row>
    <row r="1715" spans="1:22" x14ac:dyDescent="0.35">
      <c r="A1715" s="22" t="s">
        <v>4945</v>
      </c>
      <c r="B1715" s="1" t="s">
        <v>4946</v>
      </c>
      <c r="C1715" s="1" t="s">
        <v>3762</v>
      </c>
      <c r="D1715" s="1" t="s">
        <v>382</v>
      </c>
      <c r="E1715" s="1" t="s">
        <v>196</v>
      </c>
      <c r="F1715" s="1" t="s">
        <v>57</v>
      </c>
      <c r="G1715" s="1">
        <f t="shared" si="130"/>
        <v>2</v>
      </c>
      <c r="H1715" s="1" t="s">
        <v>86</v>
      </c>
      <c r="I1715" s="1" t="s">
        <v>3192</v>
      </c>
      <c r="J1715" s="23" t="s">
        <v>50</v>
      </c>
      <c r="K1715" s="2" t="s">
        <v>51</v>
      </c>
      <c r="L1715" s="1">
        <v>67</v>
      </c>
      <c r="M1715" s="1">
        <v>48</v>
      </c>
      <c r="N1715" s="1" t="str">
        <f t="shared" si="133"/>
        <v>Published</v>
      </c>
      <c r="O1715" s="1">
        <f t="shared" si="131"/>
        <v>32.159999999999997</v>
      </c>
      <c r="P1715" s="1"/>
      <c r="Q1715" s="1">
        <v>849</v>
      </c>
      <c r="R1715" s="1" t="str">
        <f t="shared" si="134"/>
        <v>1</v>
      </c>
      <c r="S1715" s="1">
        <v>180</v>
      </c>
      <c r="T1715" s="1" t="str">
        <f t="shared" si="132"/>
        <v>1</v>
      </c>
      <c r="U1715" s="1">
        <v>-34.855204000000001</v>
      </c>
      <c r="V1715" s="3">
        <v>150.576325</v>
      </c>
    </row>
    <row r="1716" spans="1:22" x14ac:dyDescent="0.35">
      <c r="A1716" s="22" t="s">
        <v>4947</v>
      </c>
      <c r="B1716" s="1" t="s">
        <v>4948</v>
      </c>
      <c r="C1716" s="1" t="s">
        <v>310</v>
      </c>
      <c r="D1716" s="1" t="s">
        <v>310</v>
      </c>
      <c r="E1716" s="1" t="s">
        <v>80</v>
      </c>
      <c r="F1716" s="1" t="s">
        <v>69</v>
      </c>
      <c r="G1716" s="1">
        <f t="shared" si="130"/>
        <v>3</v>
      </c>
      <c r="H1716" s="1" t="s">
        <v>70</v>
      </c>
      <c r="I1716" s="1" t="s">
        <v>3192</v>
      </c>
      <c r="J1716" s="23" t="s">
        <v>50</v>
      </c>
      <c r="K1716" s="2" t="s">
        <v>51</v>
      </c>
      <c r="L1716" s="1">
        <v>38</v>
      </c>
      <c r="M1716" s="1">
        <v>39</v>
      </c>
      <c r="N1716" s="1" t="str">
        <f t="shared" si="133"/>
        <v>Published</v>
      </c>
      <c r="O1716" s="1">
        <f t="shared" si="131"/>
        <v>14.82</v>
      </c>
      <c r="P1716" s="1">
        <v>59</v>
      </c>
      <c r="Q1716" s="1">
        <v>835</v>
      </c>
      <c r="R1716" s="1" t="str">
        <f t="shared" si="134"/>
        <v>1</v>
      </c>
      <c r="S1716" s="1">
        <v>188</v>
      </c>
      <c r="T1716" s="1" t="str">
        <f t="shared" si="132"/>
        <v>1</v>
      </c>
      <c r="U1716" s="1">
        <v>-34.293126000000001</v>
      </c>
      <c r="V1716" s="3">
        <v>146.03536600000001</v>
      </c>
    </row>
    <row r="1717" spans="1:22" x14ac:dyDescent="0.35">
      <c r="A1717" s="22" t="s">
        <v>4949</v>
      </c>
      <c r="B1717" s="1" t="s">
        <v>4950</v>
      </c>
      <c r="C1717" s="1" t="s">
        <v>4951</v>
      </c>
      <c r="D1717" s="1" t="s">
        <v>74</v>
      </c>
      <c r="E1717" s="1" t="s">
        <v>75</v>
      </c>
      <c r="F1717" s="1" t="s">
        <v>47</v>
      </c>
      <c r="G1717" s="1">
        <f t="shared" si="130"/>
        <v>1</v>
      </c>
      <c r="H1717" s="1" t="s">
        <v>63</v>
      </c>
      <c r="I1717" s="1" t="s">
        <v>3192</v>
      </c>
      <c r="J1717" s="23" t="s">
        <v>50</v>
      </c>
      <c r="K1717" s="2" t="s">
        <v>51</v>
      </c>
      <c r="L1717" s="1">
        <v>45</v>
      </c>
      <c r="M1717" s="1"/>
      <c r="N1717" s="1" t="str">
        <f t="shared" si="133"/>
        <v>Suppressed</v>
      </c>
      <c r="O1717" s="1" t="str">
        <f t="shared" si="131"/>
        <v/>
      </c>
      <c r="P1717" s="1">
        <v>20</v>
      </c>
      <c r="Q1717" s="1">
        <v>967</v>
      </c>
      <c r="R1717" s="1" t="str">
        <f t="shared" si="134"/>
        <v>2</v>
      </c>
      <c r="S1717" s="1">
        <v>123</v>
      </c>
      <c r="T1717" s="1" t="str">
        <f t="shared" si="132"/>
        <v>1</v>
      </c>
      <c r="U1717" s="1">
        <v>-32.90943</v>
      </c>
      <c r="V1717" s="3">
        <v>151.72035099999999</v>
      </c>
    </row>
    <row r="1718" spans="1:22" x14ac:dyDescent="0.35">
      <c r="A1718" s="22" t="s">
        <v>4952</v>
      </c>
      <c r="B1718" s="1" t="s">
        <v>4953</v>
      </c>
      <c r="C1718" s="1" t="s">
        <v>2007</v>
      </c>
      <c r="D1718" s="1" t="s">
        <v>386</v>
      </c>
      <c r="E1718" s="1" t="s">
        <v>229</v>
      </c>
      <c r="F1718" s="1" t="s">
        <v>47</v>
      </c>
      <c r="G1718" s="1">
        <f t="shared" si="130"/>
        <v>1</v>
      </c>
      <c r="H1718" s="1" t="s">
        <v>48</v>
      </c>
      <c r="I1718" s="1" t="s">
        <v>3192</v>
      </c>
      <c r="J1718" s="23" t="s">
        <v>50</v>
      </c>
      <c r="K1718" s="2" t="s">
        <v>51</v>
      </c>
      <c r="L1718" s="1">
        <v>55</v>
      </c>
      <c r="M1718" s="1">
        <v>13</v>
      </c>
      <c r="N1718" s="1" t="str">
        <f t="shared" si="133"/>
        <v>Published</v>
      </c>
      <c r="O1718" s="1">
        <f t="shared" si="131"/>
        <v>7.15</v>
      </c>
      <c r="P1718" s="1">
        <v>30</v>
      </c>
      <c r="Q1718" s="1">
        <v>975</v>
      </c>
      <c r="R1718" s="1" t="str">
        <f t="shared" si="134"/>
        <v>2</v>
      </c>
      <c r="S1718" s="1">
        <v>115</v>
      </c>
      <c r="T1718" s="1" t="str">
        <f t="shared" si="132"/>
        <v>1</v>
      </c>
      <c r="U1718" s="1">
        <v>-33.973765999999998</v>
      </c>
      <c r="V1718" s="3">
        <v>151.082222</v>
      </c>
    </row>
    <row r="1719" spans="1:22" x14ac:dyDescent="0.35">
      <c r="A1719" s="22" t="s">
        <v>4954</v>
      </c>
      <c r="B1719" s="1" t="s">
        <v>4955</v>
      </c>
      <c r="C1719" s="1" t="s">
        <v>4956</v>
      </c>
      <c r="D1719" s="1" t="s">
        <v>191</v>
      </c>
      <c r="E1719" s="1" t="s">
        <v>75</v>
      </c>
      <c r="F1719" s="1" t="s">
        <v>47</v>
      </c>
      <c r="G1719" s="1">
        <f t="shared" si="130"/>
        <v>1</v>
      </c>
      <c r="H1719" s="1" t="s">
        <v>63</v>
      </c>
      <c r="I1719" s="1" t="s">
        <v>3192</v>
      </c>
      <c r="J1719" s="23" t="s">
        <v>50</v>
      </c>
      <c r="K1719" s="2" t="s">
        <v>51</v>
      </c>
      <c r="L1719" s="1">
        <v>63</v>
      </c>
      <c r="M1719" s="1">
        <v>22</v>
      </c>
      <c r="N1719" s="1" t="str">
        <f t="shared" si="133"/>
        <v>Published</v>
      </c>
      <c r="O1719" s="1">
        <f t="shared" si="131"/>
        <v>13.86</v>
      </c>
      <c r="P1719" s="1">
        <v>26</v>
      </c>
      <c r="Q1719" s="1">
        <v>940</v>
      </c>
      <c r="R1719" s="1" t="str">
        <f t="shared" si="134"/>
        <v>2</v>
      </c>
      <c r="S1719" s="1">
        <v>143</v>
      </c>
      <c r="T1719" s="1" t="str">
        <f t="shared" si="132"/>
        <v>1</v>
      </c>
      <c r="U1719" s="1">
        <v>-32.958849999999998</v>
      </c>
      <c r="V1719" s="3">
        <v>151.68021100000001</v>
      </c>
    </row>
    <row r="1720" spans="1:22" x14ac:dyDescent="0.35">
      <c r="A1720" s="22" t="s">
        <v>4957</v>
      </c>
      <c r="B1720" s="1" t="s">
        <v>4958</v>
      </c>
      <c r="C1720" s="1" t="s">
        <v>713</v>
      </c>
      <c r="D1720" s="1" t="s">
        <v>713</v>
      </c>
      <c r="E1720" s="1" t="s">
        <v>80</v>
      </c>
      <c r="F1720" s="1" t="s">
        <v>57</v>
      </c>
      <c r="G1720" s="1">
        <f t="shared" si="130"/>
        <v>2</v>
      </c>
      <c r="H1720" s="1" t="s">
        <v>70</v>
      </c>
      <c r="I1720" s="1" t="s">
        <v>3192</v>
      </c>
      <c r="J1720" s="23" t="s">
        <v>50</v>
      </c>
      <c r="K1720" s="2" t="s">
        <v>4755</v>
      </c>
      <c r="L1720" s="1">
        <v>17</v>
      </c>
      <c r="M1720" s="1">
        <v>41</v>
      </c>
      <c r="N1720" s="1" t="str">
        <f t="shared" si="133"/>
        <v>Published</v>
      </c>
      <c r="O1720" s="1">
        <f t="shared" si="131"/>
        <v>6.97</v>
      </c>
      <c r="P1720" s="1">
        <v>46</v>
      </c>
      <c r="Q1720" s="1">
        <v>870</v>
      </c>
      <c r="R1720" s="1" t="str">
        <f t="shared" si="134"/>
        <v>1</v>
      </c>
      <c r="S1720" s="1">
        <v>201</v>
      </c>
      <c r="T1720" s="1" t="str">
        <f t="shared" si="132"/>
        <v>1</v>
      </c>
      <c r="U1720" s="1">
        <v>-35.130108</v>
      </c>
      <c r="V1720" s="3">
        <v>147.34422499999999</v>
      </c>
    </row>
    <row r="1721" spans="1:22" x14ac:dyDescent="0.35">
      <c r="A1721" s="22" t="s">
        <v>4959</v>
      </c>
      <c r="B1721" s="1" t="s">
        <v>4960</v>
      </c>
      <c r="C1721" s="1" t="s">
        <v>2038</v>
      </c>
      <c r="D1721" s="1" t="s">
        <v>537</v>
      </c>
      <c r="E1721" s="1" t="s">
        <v>181</v>
      </c>
      <c r="F1721" s="1" t="s">
        <v>47</v>
      </c>
      <c r="G1721" s="1">
        <f t="shared" si="130"/>
        <v>1</v>
      </c>
      <c r="H1721" s="1" t="s">
        <v>182</v>
      </c>
      <c r="I1721" s="1" t="s">
        <v>3192</v>
      </c>
      <c r="J1721" s="23" t="s">
        <v>50</v>
      </c>
      <c r="K1721" s="2" t="s">
        <v>51</v>
      </c>
      <c r="L1721" s="1">
        <v>76</v>
      </c>
      <c r="M1721" s="1"/>
      <c r="N1721" s="1" t="str">
        <f t="shared" si="133"/>
        <v>Suppressed</v>
      </c>
      <c r="O1721" s="1" t="str">
        <f t="shared" si="131"/>
        <v/>
      </c>
      <c r="P1721" s="1">
        <v>92</v>
      </c>
      <c r="Q1721" s="1">
        <v>956</v>
      </c>
      <c r="R1721" s="1" t="str">
        <f t="shared" si="134"/>
        <v>2</v>
      </c>
      <c r="S1721" s="1">
        <v>157</v>
      </c>
      <c r="T1721" s="1" t="str">
        <f t="shared" si="132"/>
        <v>1</v>
      </c>
      <c r="U1721" s="1">
        <v>-33.904339999999998</v>
      </c>
      <c r="V1721" s="3">
        <v>150.91237000000001</v>
      </c>
    </row>
    <row r="1722" spans="1:22" x14ac:dyDescent="0.35">
      <c r="A1722" s="22" t="s">
        <v>4961</v>
      </c>
      <c r="B1722" s="1" t="s">
        <v>4962</v>
      </c>
      <c r="C1722" s="1" t="s">
        <v>45</v>
      </c>
      <c r="D1722" s="1" t="s">
        <v>45</v>
      </c>
      <c r="E1722" s="1" t="s">
        <v>46</v>
      </c>
      <c r="F1722" s="1" t="s">
        <v>47</v>
      </c>
      <c r="G1722" s="1">
        <f t="shared" si="130"/>
        <v>1</v>
      </c>
      <c r="H1722" s="1" t="s">
        <v>48</v>
      </c>
      <c r="I1722" s="1" t="s">
        <v>3192</v>
      </c>
      <c r="J1722" s="23" t="s">
        <v>50</v>
      </c>
      <c r="K1722" s="2" t="s">
        <v>51</v>
      </c>
      <c r="L1722" s="1">
        <v>78</v>
      </c>
      <c r="M1722" s="1"/>
      <c r="N1722" s="1" t="str">
        <f t="shared" si="133"/>
        <v>Suppressed</v>
      </c>
      <c r="O1722" s="1" t="str">
        <f t="shared" si="131"/>
        <v/>
      </c>
      <c r="P1722" s="1">
        <v>71</v>
      </c>
      <c r="Q1722" s="1">
        <v>1057</v>
      </c>
      <c r="R1722" s="1" t="str">
        <f t="shared" si="134"/>
        <v>3</v>
      </c>
      <c r="S1722" s="1">
        <v>77</v>
      </c>
      <c r="T1722" s="1" t="str">
        <f t="shared" si="132"/>
        <v>1</v>
      </c>
      <c r="U1722" s="1">
        <v>-33.868437999999998</v>
      </c>
      <c r="V1722" s="3">
        <v>151.11366599999999</v>
      </c>
    </row>
    <row r="1723" spans="1:22" x14ac:dyDescent="0.35">
      <c r="A1723" s="22" t="s">
        <v>4963</v>
      </c>
      <c r="B1723" s="1" t="s">
        <v>4964</v>
      </c>
      <c r="C1723" s="1" t="s">
        <v>2765</v>
      </c>
      <c r="D1723" s="1" t="s">
        <v>126</v>
      </c>
      <c r="E1723" s="1" t="s">
        <v>147</v>
      </c>
      <c r="F1723" s="1" t="s">
        <v>47</v>
      </c>
      <c r="G1723" s="1">
        <f t="shared" si="130"/>
        <v>1</v>
      </c>
      <c r="H1723" s="1" t="s">
        <v>63</v>
      </c>
      <c r="I1723" s="1" t="s">
        <v>4743</v>
      </c>
      <c r="J1723" s="23" t="s">
        <v>50</v>
      </c>
      <c r="K1723" s="2" t="s">
        <v>51</v>
      </c>
      <c r="L1723" s="1"/>
      <c r="M1723" s="1"/>
      <c r="N1723" s="1" t="str">
        <f t="shared" si="133"/>
        <v>Suppressed</v>
      </c>
      <c r="O1723" s="1" t="str">
        <f t="shared" si="131"/>
        <v/>
      </c>
      <c r="P1723" s="1"/>
      <c r="Q1723" s="1"/>
      <c r="R1723" s="1" t="str">
        <f t="shared" si="134"/>
        <v>No ICSEA</v>
      </c>
      <c r="S1723" s="1"/>
      <c r="T1723" s="1" t="str">
        <f t="shared" si="132"/>
        <v>No enrolment</v>
      </c>
      <c r="U1723" s="1">
        <v>-33.65937821</v>
      </c>
      <c r="V1723" s="3">
        <v>151.15860040000001</v>
      </c>
    </row>
    <row r="1724" spans="1:22" x14ac:dyDescent="0.35">
      <c r="A1724" s="22" t="s">
        <v>4965</v>
      </c>
      <c r="B1724" s="1" t="s">
        <v>4966</v>
      </c>
      <c r="C1724" s="1" t="s">
        <v>4284</v>
      </c>
      <c r="D1724" s="1" t="s">
        <v>689</v>
      </c>
      <c r="E1724" s="1" t="s">
        <v>122</v>
      </c>
      <c r="F1724" s="1" t="s">
        <v>47</v>
      </c>
      <c r="G1724" s="1">
        <f t="shared" si="130"/>
        <v>1</v>
      </c>
      <c r="H1724" s="1" t="s">
        <v>86</v>
      </c>
      <c r="I1724" s="1" t="s">
        <v>3192</v>
      </c>
      <c r="J1724" s="23" t="s">
        <v>50</v>
      </c>
      <c r="K1724" s="2" t="s">
        <v>51</v>
      </c>
      <c r="L1724" s="1">
        <v>123</v>
      </c>
      <c r="M1724" s="1">
        <v>11</v>
      </c>
      <c r="N1724" s="1" t="str">
        <f t="shared" si="133"/>
        <v>Published</v>
      </c>
      <c r="O1724" s="1">
        <f t="shared" si="131"/>
        <v>13.53</v>
      </c>
      <c r="P1724" s="1">
        <v>65</v>
      </c>
      <c r="Q1724" s="1">
        <v>1000</v>
      </c>
      <c r="R1724" s="1" t="str">
        <f t="shared" si="134"/>
        <v>3</v>
      </c>
      <c r="S1724" s="1">
        <v>105</v>
      </c>
      <c r="T1724" s="1" t="str">
        <f t="shared" si="132"/>
        <v>2</v>
      </c>
      <c r="U1724" s="1">
        <v>-34.097819999999999</v>
      </c>
      <c r="V1724" s="3">
        <v>150.792742</v>
      </c>
    </row>
    <row r="1725" spans="1:22" x14ac:dyDescent="0.35">
      <c r="A1725" s="22" t="s">
        <v>4967</v>
      </c>
      <c r="B1725" s="1" t="s">
        <v>4968</v>
      </c>
      <c r="C1725" s="1" t="s">
        <v>3466</v>
      </c>
      <c r="D1725" s="1" t="s">
        <v>191</v>
      </c>
      <c r="E1725" s="1" t="s">
        <v>75</v>
      </c>
      <c r="F1725" s="1" t="s">
        <v>47</v>
      </c>
      <c r="G1725" s="1">
        <f t="shared" si="130"/>
        <v>1</v>
      </c>
      <c r="H1725" s="1" t="s">
        <v>63</v>
      </c>
      <c r="I1725" s="1" t="s">
        <v>3192</v>
      </c>
      <c r="J1725" s="23" t="s">
        <v>50</v>
      </c>
      <c r="K1725" s="2" t="s">
        <v>51</v>
      </c>
      <c r="L1725" s="1">
        <v>51</v>
      </c>
      <c r="M1725" s="1">
        <v>24</v>
      </c>
      <c r="N1725" s="1" t="str">
        <f t="shared" si="133"/>
        <v>Published</v>
      </c>
      <c r="O1725" s="1">
        <f t="shared" si="131"/>
        <v>12.24</v>
      </c>
      <c r="P1725" s="1"/>
      <c r="Q1725" s="1">
        <v>890</v>
      </c>
      <c r="R1725" s="1" t="str">
        <f t="shared" si="134"/>
        <v>1</v>
      </c>
      <c r="S1725" s="1">
        <v>195</v>
      </c>
      <c r="T1725" s="1" t="str">
        <f t="shared" si="132"/>
        <v>1</v>
      </c>
      <c r="U1725" s="1">
        <v>-32.974054000000002</v>
      </c>
      <c r="V1725" s="3">
        <v>151.611684</v>
      </c>
    </row>
    <row r="1726" spans="1:22" x14ac:dyDescent="0.35">
      <c r="A1726" s="22" t="s">
        <v>4969</v>
      </c>
      <c r="B1726" s="1" t="s">
        <v>4970</v>
      </c>
      <c r="C1726" s="1" t="s">
        <v>1763</v>
      </c>
      <c r="D1726" s="1" t="s">
        <v>1763</v>
      </c>
      <c r="E1726" s="1" t="s">
        <v>80</v>
      </c>
      <c r="F1726" s="1" t="s">
        <v>69</v>
      </c>
      <c r="G1726" s="1">
        <f t="shared" si="130"/>
        <v>3</v>
      </c>
      <c r="H1726" s="1" t="s">
        <v>70</v>
      </c>
      <c r="I1726" s="1" t="s">
        <v>3192</v>
      </c>
      <c r="J1726" s="23" t="s">
        <v>50</v>
      </c>
      <c r="K1726" s="2" t="s">
        <v>51</v>
      </c>
      <c r="L1726" s="1">
        <v>28</v>
      </c>
      <c r="M1726" s="1">
        <v>36</v>
      </c>
      <c r="N1726" s="1" t="str">
        <f t="shared" si="133"/>
        <v>Published</v>
      </c>
      <c r="O1726" s="1">
        <f t="shared" si="131"/>
        <v>10.08</v>
      </c>
      <c r="P1726" s="1">
        <v>21</v>
      </c>
      <c r="Q1726" s="1">
        <v>874</v>
      </c>
      <c r="R1726" s="1" t="str">
        <f t="shared" si="134"/>
        <v>1</v>
      </c>
      <c r="S1726" s="1">
        <v>174</v>
      </c>
      <c r="T1726" s="1" t="str">
        <f t="shared" si="132"/>
        <v>1</v>
      </c>
      <c r="U1726" s="1">
        <v>-34.563496999999998</v>
      </c>
      <c r="V1726" s="3">
        <v>146.412229</v>
      </c>
    </row>
    <row r="1727" spans="1:22" x14ac:dyDescent="0.35">
      <c r="A1727" s="22" t="s">
        <v>4971</v>
      </c>
      <c r="B1727" s="1" t="s">
        <v>4972</v>
      </c>
      <c r="C1727" s="1" t="s">
        <v>4973</v>
      </c>
      <c r="D1727" s="1" t="s">
        <v>333</v>
      </c>
      <c r="E1727" s="1" t="s">
        <v>281</v>
      </c>
      <c r="F1727" s="1" t="s">
        <v>69</v>
      </c>
      <c r="G1727" s="1">
        <f t="shared" si="130"/>
        <v>3</v>
      </c>
      <c r="H1727" s="1" t="s">
        <v>58</v>
      </c>
      <c r="I1727" s="1" t="s">
        <v>4743</v>
      </c>
      <c r="J1727" s="23" t="s">
        <v>50</v>
      </c>
      <c r="K1727" s="2" t="s">
        <v>51</v>
      </c>
      <c r="L1727" s="1"/>
      <c r="M1727" s="1"/>
      <c r="N1727" s="1" t="str">
        <f t="shared" si="133"/>
        <v>Suppressed</v>
      </c>
      <c r="O1727" s="1" t="str">
        <f t="shared" si="131"/>
        <v/>
      </c>
      <c r="P1727" s="1"/>
      <c r="Q1727" s="1"/>
      <c r="R1727" s="1" t="str">
        <f t="shared" si="134"/>
        <v>No ICSEA</v>
      </c>
      <c r="S1727" s="1"/>
      <c r="T1727" s="1" t="str">
        <f t="shared" si="132"/>
        <v>No enrolment</v>
      </c>
      <c r="U1727" s="1">
        <v>-30.233457000000001</v>
      </c>
      <c r="V1727" s="3">
        <v>152.78966500000001</v>
      </c>
    </row>
    <row r="1728" spans="1:22" x14ac:dyDescent="0.35">
      <c r="A1728" s="22" t="s">
        <v>4974</v>
      </c>
      <c r="B1728" s="1" t="s">
        <v>4975</v>
      </c>
      <c r="C1728" s="1" t="s">
        <v>893</v>
      </c>
      <c r="D1728" s="1" t="s">
        <v>897</v>
      </c>
      <c r="E1728" s="1" t="s">
        <v>102</v>
      </c>
      <c r="F1728" s="1" t="s">
        <v>69</v>
      </c>
      <c r="G1728" s="1">
        <f t="shared" si="130"/>
        <v>3</v>
      </c>
      <c r="H1728" s="1" t="s">
        <v>92</v>
      </c>
      <c r="I1728" s="1" t="s">
        <v>4743</v>
      </c>
      <c r="J1728" s="23" t="s">
        <v>50</v>
      </c>
      <c r="K1728" s="2" t="s">
        <v>51</v>
      </c>
      <c r="L1728" s="1"/>
      <c r="M1728" s="1"/>
      <c r="N1728" s="1" t="str">
        <f t="shared" si="133"/>
        <v>Suppressed</v>
      </c>
      <c r="O1728" s="1" t="str">
        <f t="shared" si="131"/>
        <v/>
      </c>
      <c r="P1728" s="1"/>
      <c r="Q1728" s="1"/>
      <c r="R1728" s="1" t="str">
        <f t="shared" si="134"/>
        <v>No ICSEA</v>
      </c>
      <c r="S1728" s="1"/>
      <c r="T1728" s="1" t="str">
        <f t="shared" si="132"/>
        <v>No enrolment</v>
      </c>
      <c r="U1728" s="1">
        <v>-31.25459</v>
      </c>
      <c r="V1728" s="3">
        <v>148.981077</v>
      </c>
    </row>
    <row r="1729" spans="1:22" x14ac:dyDescent="0.35">
      <c r="A1729" s="22" t="s">
        <v>4976</v>
      </c>
      <c r="B1729" s="1" t="s">
        <v>4977</v>
      </c>
      <c r="C1729" s="1" t="s">
        <v>713</v>
      </c>
      <c r="D1729" s="1" t="s">
        <v>713</v>
      </c>
      <c r="E1729" s="1" t="s">
        <v>80</v>
      </c>
      <c r="F1729" s="1" t="s">
        <v>57</v>
      </c>
      <c r="G1729" s="1">
        <f t="shared" si="130"/>
        <v>2</v>
      </c>
      <c r="H1729" s="1" t="s">
        <v>70</v>
      </c>
      <c r="I1729" s="1" t="s">
        <v>4743</v>
      </c>
      <c r="J1729" s="23" t="s">
        <v>50</v>
      </c>
      <c r="K1729" s="2" t="s">
        <v>51</v>
      </c>
      <c r="L1729" s="1"/>
      <c r="M1729" s="1"/>
      <c r="N1729" s="1" t="str">
        <f t="shared" si="133"/>
        <v>Suppressed</v>
      </c>
      <c r="O1729" s="1" t="str">
        <f t="shared" si="131"/>
        <v/>
      </c>
      <c r="P1729" s="1"/>
      <c r="Q1729" s="1"/>
      <c r="R1729" s="1" t="str">
        <f t="shared" si="134"/>
        <v>No ICSEA</v>
      </c>
      <c r="S1729" s="1"/>
      <c r="T1729" s="1" t="str">
        <f t="shared" si="132"/>
        <v>No enrolment</v>
      </c>
      <c r="U1729" s="1">
        <v>-35.129748370000002</v>
      </c>
      <c r="V1729" s="3">
        <v>147.3093131</v>
      </c>
    </row>
    <row r="1730" spans="1:22" x14ac:dyDescent="0.35">
      <c r="A1730" s="22" t="s">
        <v>4978</v>
      </c>
      <c r="B1730" s="1" t="s">
        <v>4979</v>
      </c>
      <c r="C1730" s="1" t="s">
        <v>1292</v>
      </c>
      <c r="D1730" s="1" t="s">
        <v>689</v>
      </c>
      <c r="E1730" s="1" t="s">
        <v>122</v>
      </c>
      <c r="F1730" s="1" t="s">
        <v>47</v>
      </c>
      <c r="G1730" s="1">
        <f t="shared" ref="G1730:G1793" si="135">IF(F1730="Major Cities of Australia",1,IF(F1730="Inner Regional Australia",2,IF(F1730="Outer Regional Australia",3,IF(F1730="Remote Australia",4,IF(F1730="Very Remote Australia",5,6)))))</f>
        <v>1</v>
      </c>
      <c r="H1730" s="1" t="s">
        <v>182</v>
      </c>
      <c r="I1730" s="1" t="s">
        <v>3192</v>
      </c>
      <c r="J1730" s="23" t="s">
        <v>50</v>
      </c>
      <c r="K1730" s="2" t="s">
        <v>51</v>
      </c>
      <c r="L1730" s="1">
        <v>60</v>
      </c>
      <c r="M1730" s="1">
        <v>32</v>
      </c>
      <c r="N1730" s="1" t="str">
        <f t="shared" si="133"/>
        <v>Published</v>
      </c>
      <c r="O1730" s="1">
        <f t="shared" ref="O1730:O1793" si="136">IF(OR(M1730="",L1730=""),"",M1730/100*L1730)</f>
        <v>19.2</v>
      </c>
      <c r="P1730" s="1">
        <v>27</v>
      </c>
      <c r="Q1730" s="1">
        <v>890</v>
      </c>
      <c r="R1730" s="1" t="str">
        <f t="shared" si="134"/>
        <v>1</v>
      </c>
      <c r="S1730" s="1">
        <v>181</v>
      </c>
      <c r="T1730" s="1" t="str">
        <f t="shared" ref="T1730:T1793" si="137">IF(L1730="","No enrolment",IF(L1730&lt;100,"1",IF(L1730&lt;300,"2",IF(L1730&lt;600,"3",IF(L1730&lt;1000,"4","5")))))</f>
        <v>1</v>
      </c>
      <c r="U1730" s="1">
        <v>-33.968195999999999</v>
      </c>
      <c r="V1730" s="3">
        <v>150.88200900000001</v>
      </c>
    </row>
    <row r="1731" spans="1:22" x14ac:dyDescent="0.35">
      <c r="A1731" s="22" t="s">
        <v>4980</v>
      </c>
      <c r="B1731" s="1" t="s">
        <v>4981</v>
      </c>
      <c r="C1731" s="1" t="s">
        <v>944</v>
      </c>
      <c r="D1731" s="1" t="s">
        <v>944</v>
      </c>
      <c r="E1731" s="1" t="s">
        <v>261</v>
      </c>
      <c r="F1731" s="1" t="s">
        <v>57</v>
      </c>
      <c r="G1731" s="1">
        <f t="shared" si="135"/>
        <v>2</v>
      </c>
      <c r="H1731" s="1" t="s">
        <v>70</v>
      </c>
      <c r="I1731" s="1" t="s">
        <v>3192</v>
      </c>
      <c r="J1731" s="23" t="s">
        <v>50</v>
      </c>
      <c r="K1731" s="2" t="s">
        <v>51</v>
      </c>
      <c r="L1731" s="1">
        <v>30</v>
      </c>
      <c r="M1731" s="1">
        <v>33</v>
      </c>
      <c r="N1731" s="1" t="str">
        <f t="shared" ref="N1731:N1794" si="138">IF(M1731="","Suppressed","Published")</f>
        <v>Published</v>
      </c>
      <c r="O1731" s="1">
        <f t="shared" si="136"/>
        <v>9.9</v>
      </c>
      <c r="P1731" s="1">
        <v>0</v>
      </c>
      <c r="Q1731" s="1">
        <v>822</v>
      </c>
      <c r="R1731" s="1" t="str">
        <f t="shared" ref="R1731:R1794" si="139">IF(Q1731="","No ICSEA",IF(Q1731&lt;900,"1",IF(Q1731&lt;1000,"2",IF(Q1731&lt;1100,"3","4"))))</f>
        <v>1</v>
      </c>
      <c r="S1731" s="1">
        <v>170</v>
      </c>
      <c r="T1731" s="1" t="str">
        <f t="shared" si="137"/>
        <v>1</v>
      </c>
      <c r="U1731" s="1">
        <v>-33.824252999999999</v>
      </c>
      <c r="V1731" s="3">
        <v>148.69401300000001</v>
      </c>
    </row>
    <row r="1732" spans="1:22" x14ac:dyDescent="0.35">
      <c r="A1732" s="22" t="s">
        <v>4982</v>
      </c>
      <c r="B1732" s="1" t="s">
        <v>4983</v>
      </c>
      <c r="C1732" s="1" t="s">
        <v>4984</v>
      </c>
      <c r="D1732" s="1" t="s">
        <v>152</v>
      </c>
      <c r="E1732" s="1" t="s">
        <v>46</v>
      </c>
      <c r="F1732" s="1" t="s">
        <v>47</v>
      </c>
      <c r="G1732" s="1">
        <f t="shared" si="135"/>
        <v>1</v>
      </c>
      <c r="H1732" s="1" t="s">
        <v>48</v>
      </c>
      <c r="I1732" s="1" t="s">
        <v>3192</v>
      </c>
      <c r="J1732" s="23" t="s">
        <v>50</v>
      </c>
      <c r="K1732" s="2" t="s">
        <v>51</v>
      </c>
      <c r="L1732" s="1">
        <v>31</v>
      </c>
      <c r="M1732" s="1">
        <v>19</v>
      </c>
      <c r="N1732" s="1" t="str">
        <f t="shared" si="138"/>
        <v>Published</v>
      </c>
      <c r="O1732" s="1">
        <f t="shared" si="136"/>
        <v>5.89</v>
      </c>
      <c r="P1732" s="1">
        <v>45</v>
      </c>
      <c r="Q1732" s="1">
        <v>851</v>
      </c>
      <c r="R1732" s="1" t="str">
        <f t="shared" si="139"/>
        <v>1</v>
      </c>
      <c r="S1732" s="1">
        <v>179</v>
      </c>
      <c r="T1732" s="1" t="str">
        <f t="shared" si="137"/>
        <v>1</v>
      </c>
      <c r="U1732" s="1">
        <v>-33.913581999999998</v>
      </c>
      <c r="V1732" s="3">
        <v>151.13134199999999</v>
      </c>
    </row>
    <row r="1733" spans="1:22" x14ac:dyDescent="0.35">
      <c r="A1733" s="22" t="s">
        <v>4985</v>
      </c>
      <c r="B1733" s="1" t="s">
        <v>4986</v>
      </c>
      <c r="C1733" s="1" t="s">
        <v>4987</v>
      </c>
      <c r="D1733" s="1" t="s">
        <v>74</v>
      </c>
      <c r="E1733" s="1" t="s">
        <v>75</v>
      </c>
      <c r="F1733" s="1" t="s">
        <v>47</v>
      </c>
      <c r="G1733" s="1">
        <f t="shared" si="135"/>
        <v>1</v>
      </c>
      <c r="H1733" s="1" t="s">
        <v>63</v>
      </c>
      <c r="I1733" s="1" t="s">
        <v>3192</v>
      </c>
      <c r="J1733" s="23" t="s">
        <v>50</v>
      </c>
      <c r="K1733" s="2" t="s">
        <v>51</v>
      </c>
      <c r="L1733" s="1">
        <v>25</v>
      </c>
      <c r="M1733" s="1">
        <v>28</v>
      </c>
      <c r="N1733" s="1" t="str">
        <f t="shared" si="138"/>
        <v>Published</v>
      </c>
      <c r="O1733" s="1">
        <f t="shared" si="136"/>
        <v>7.0000000000000009</v>
      </c>
      <c r="P1733" s="1"/>
      <c r="Q1733" s="1">
        <v>816</v>
      </c>
      <c r="R1733" s="1" t="str">
        <f t="shared" si="139"/>
        <v>1</v>
      </c>
      <c r="S1733" s="1">
        <v>146</v>
      </c>
      <c r="T1733" s="1" t="str">
        <f t="shared" si="137"/>
        <v>1</v>
      </c>
      <c r="U1733" s="1">
        <v>-32.942830000000001</v>
      </c>
      <c r="V1733" s="3">
        <v>151.700379</v>
      </c>
    </row>
    <row r="1734" spans="1:22" x14ac:dyDescent="0.35">
      <c r="A1734" s="22" t="s">
        <v>4988</v>
      </c>
      <c r="B1734" s="1" t="s">
        <v>4989</v>
      </c>
      <c r="C1734" s="1" t="s">
        <v>2525</v>
      </c>
      <c r="D1734" s="1" t="s">
        <v>186</v>
      </c>
      <c r="E1734" s="1" t="s">
        <v>187</v>
      </c>
      <c r="F1734" s="1" t="s">
        <v>47</v>
      </c>
      <c r="G1734" s="1">
        <f t="shared" si="135"/>
        <v>1</v>
      </c>
      <c r="H1734" s="1" t="s">
        <v>63</v>
      </c>
      <c r="I1734" s="1" t="s">
        <v>4743</v>
      </c>
      <c r="J1734" s="23" t="s">
        <v>50</v>
      </c>
      <c r="K1734" s="2" t="s">
        <v>51</v>
      </c>
      <c r="L1734" s="1"/>
      <c r="M1734" s="1"/>
      <c r="N1734" s="1" t="str">
        <f t="shared" si="138"/>
        <v>Suppressed</v>
      </c>
      <c r="O1734" s="1" t="str">
        <f t="shared" si="136"/>
        <v/>
      </c>
      <c r="P1734" s="1"/>
      <c r="Q1734" s="1"/>
      <c r="R1734" s="1" t="str">
        <f t="shared" si="139"/>
        <v>No ICSEA</v>
      </c>
      <c r="S1734" s="1"/>
      <c r="T1734" s="1" t="str">
        <f t="shared" si="137"/>
        <v>No enrolment</v>
      </c>
      <c r="U1734" s="1">
        <v>-33.428082000000003</v>
      </c>
      <c r="V1734" s="3">
        <v>151.347464</v>
      </c>
    </row>
    <row r="1735" spans="1:22" x14ac:dyDescent="0.35">
      <c r="A1735" s="22" t="s">
        <v>4990</v>
      </c>
      <c r="B1735" s="1" t="s">
        <v>4991</v>
      </c>
      <c r="C1735" s="1" t="s">
        <v>1694</v>
      </c>
      <c r="D1735" s="1" t="s">
        <v>737</v>
      </c>
      <c r="E1735" s="1" t="s">
        <v>738</v>
      </c>
      <c r="F1735" s="1" t="s">
        <v>47</v>
      </c>
      <c r="G1735" s="1">
        <f t="shared" si="135"/>
        <v>1</v>
      </c>
      <c r="H1735" s="1" t="s">
        <v>182</v>
      </c>
      <c r="I1735" s="1" t="s">
        <v>4743</v>
      </c>
      <c r="J1735" s="23" t="s">
        <v>50</v>
      </c>
      <c r="K1735" s="2" t="s">
        <v>51</v>
      </c>
      <c r="L1735" s="1"/>
      <c r="M1735" s="1"/>
      <c r="N1735" s="1" t="str">
        <f t="shared" si="138"/>
        <v>Suppressed</v>
      </c>
      <c r="O1735" s="1" t="str">
        <f t="shared" si="136"/>
        <v/>
      </c>
      <c r="P1735" s="1"/>
      <c r="Q1735" s="1"/>
      <c r="R1735" s="1" t="str">
        <f t="shared" si="139"/>
        <v>No ICSEA</v>
      </c>
      <c r="S1735" s="1"/>
      <c r="T1735" s="1" t="str">
        <f t="shared" si="137"/>
        <v>No enrolment</v>
      </c>
      <c r="U1735" s="1">
        <v>-34.003706000000001</v>
      </c>
      <c r="V1735" s="3">
        <v>151.221169</v>
      </c>
    </row>
    <row r="1736" spans="1:22" x14ac:dyDescent="0.35">
      <c r="A1736" s="22" t="s">
        <v>4992</v>
      </c>
      <c r="B1736" s="1" t="s">
        <v>4993</v>
      </c>
      <c r="C1736" s="1" t="s">
        <v>4994</v>
      </c>
      <c r="D1736" s="1" t="s">
        <v>84</v>
      </c>
      <c r="E1736" s="1" t="s">
        <v>85</v>
      </c>
      <c r="F1736" s="1" t="s">
        <v>47</v>
      </c>
      <c r="G1736" s="1">
        <f t="shared" si="135"/>
        <v>1</v>
      </c>
      <c r="H1736" s="1" t="s">
        <v>86</v>
      </c>
      <c r="I1736" s="1" t="s">
        <v>4743</v>
      </c>
      <c r="J1736" s="23" t="s">
        <v>50</v>
      </c>
      <c r="K1736" s="2" t="s">
        <v>51</v>
      </c>
      <c r="L1736" s="1"/>
      <c r="M1736" s="1"/>
      <c r="N1736" s="1" t="str">
        <f t="shared" si="138"/>
        <v>Suppressed</v>
      </c>
      <c r="O1736" s="1" t="str">
        <f t="shared" si="136"/>
        <v/>
      </c>
      <c r="P1736" s="1"/>
      <c r="Q1736" s="1"/>
      <c r="R1736" s="1" t="str">
        <f t="shared" si="139"/>
        <v>No ICSEA</v>
      </c>
      <c r="S1736" s="1"/>
      <c r="T1736" s="1" t="str">
        <f t="shared" si="137"/>
        <v>No enrolment</v>
      </c>
      <c r="U1736" s="1">
        <v>-34.610624999999999</v>
      </c>
      <c r="V1736" s="3">
        <v>150.85478599999999</v>
      </c>
    </row>
    <row r="1737" spans="1:22" x14ac:dyDescent="0.35">
      <c r="A1737" s="22" t="s">
        <v>4995</v>
      </c>
      <c r="B1737" s="1" t="s">
        <v>4996</v>
      </c>
      <c r="C1737" s="1" t="s">
        <v>4130</v>
      </c>
      <c r="D1737" s="1" t="s">
        <v>95</v>
      </c>
      <c r="E1737" s="1" t="s">
        <v>96</v>
      </c>
      <c r="F1737" s="1" t="s">
        <v>57</v>
      </c>
      <c r="G1737" s="1">
        <f t="shared" si="135"/>
        <v>2</v>
      </c>
      <c r="H1737" s="1" t="s">
        <v>70</v>
      </c>
      <c r="I1737" s="1" t="s">
        <v>3192</v>
      </c>
      <c r="J1737" s="23" t="s">
        <v>50</v>
      </c>
      <c r="K1737" s="2" t="s">
        <v>51</v>
      </c>
      <c r="L1737" s="1">
        <v>18</v>
      </c>
      <c r="M1737" s="1">
        <v>50</v>
      </c>
      <c r="N1737" s="1" t="str">
        <f t="shared" si="138"/>
        <v>Published</v>
      </c>
      <c r="O1737" s="1">
        <f t="shared" si="136"/>
        <v>9</v>
      </c>
      <c r="P1737" s="1"/>
      <c r="Q1737" s="1">
        <v>811</v>
      </c>
      <c r="R1737" s="1" t="str">
        <f t="shared" si="139"/>
        <v>1</v>
      </c>
      <c r="S1737" s="1">
        <v>196</v>
      </c>
      <c r="T1737" s="1" t="str">
        <f t="shared" si="137"/>
        <v>1</v>
      </c>
      <c r="U1737" s="1">
        <v>-36.062277999999999</v>
      </c>
      <c r="V1737" s="3">
        <v>146.92794900000001</v>
      </c>
    </row>
    <row r="1738" spans="1:22" x14ac:dyDescent="0.35">
      <c r="A1738" s="22" t="s">
        <v>4997</v>
      </c>
      <c r="B1738" s="1" t="s">
        <v>4998</v>
      </c>
      <c r="C1738" s="1" t="s">
        <v>4999</v>
      </c>
      <c r="D1738" s="1" t="s">
        <v>1003</v>
      </c>
      <c r="E1738" s="1" t="s">
        <v>225</v>
      </c>
      <c r="F1738" s="1" t="s">
        <v>47</v>
      </c>
      <c r="G1738" s="1">
        <f t="shared" si="135"/>
        <v>1</v>
      </c>
      <c r="H1738" s="1" t="s">
        <v>48</v>
      </c>
      <c r="I1738" s="1" t="s">
        <v>4743</v>
      </c>
      <c r="J1738" s="23" t="s">
        <v>50</v>
      </c>
      <c r="K1738" s="2" t="s">
        <v>51</v>
      </c>
      <c r="L1738" s="1"/>
      <c r="M1738" s="1"/>
      <c r="N1738" s="1" t="str">
        <f t="shared" si="138"/>
        <v>Suppressed</v>
      </c>
      <c r="O1738" s="1" t="str">
        <f t="shared" si="136"/>
        <v/>
      </c>
      <c r="P1738" s="1"/>
      <c r="Q1738" s="1"/>
      <c r="R1738" s="1" t="str">
        <f t="shared" si="139"/>
        <v>No ICSEA</v>
      </c>
      <c r="S1738" s="1"/>
      <c r="T1738" s="1" t="str">
        <f t="shared" si="137"/>
        <v>No enrolment</v>
      </c>
      <c r="U1738" s="1">
        <v>-33.860863000000002</v>
      </c>
      <c r="V1738" s="3">
        <v>151.20483200000001</v>
      </c>
    </row>
    <row r="1739" spans="1:22" x14ac:dyDescent="0.35">
      <c r="A1739" s="22" t="s">
        <v>5000</v>
      </c>
      <c r="B1739" s="1" t="s">
        <v>5001</v>
      </c>
      <c r="C1739" s="1" t="s">
        <v>1292</v>
      </c>
      <c r="D1739" s="1" t="s">
        <v>689</v>
      </c>
      <c r="E1739" s="1" t="s">
        <v>122</v>
      </c>
      <c r="F1739" s="1" t="s">
        <v>47</v>
      </c>
      <c r="G1739" s="1">
        <f t="shared" si="135"/>
        <v>1</v>
      </c>
      <c r="H1739" s="1" t="s">
        <v>182</v>
      </c>
      <c r="I1739" s="1" t="s">
        <v>3192</v>
      </c>
      <c r="J1739" s="23" t="s">
        <v>50</v>
      </c>
      <c r="K1739" s="2" t="s">
        <v>51</v>
      </c>
      <c r="L1739" s="1">
        <v>53</v>
      </c>
      <c r="M1739" s="1">
        <v>30</v>
      </c>
      <c r="N1739" s="1" t="str">
        <f t="shared" si="138"/>
        <v>Published</v>
      </c>
      <c r="O1739" s="1">
        <f t="shared" si="136"/>
        <v>15.899999999999999</v>
      </c>
      <c r="P1739" s="1"/>
      <c r="Q1739" s="1">
        <v>900</v>
      </c>
      <c r="R1739" s="1" t="str">
        <f t="shared" si="139"/>
        <v>2</v>
      </c>
      <c r="S1739" s="1">
        <v>154</v>
      </c>
      <c r="T1739" s="1" t="str">
        <f t="shared" si="137"/>
        <v>1</v>
      </c>
      <c r="U1739" s="1">
        <v>-33.969521</v>
      </c>
      <c r="V1739" s="3">
        <v>150.87803299999999</v>
      </c>
    </row>
    <row r="1740" spans="1:22" x14ac:dyDescent="0.35">
      <c r="A1740" s="22" t="s">
        <v>5002</v>
      </c>
      <c r="B1740" s="1" t="s">
        <v>5003</v>
      </c>
      <c r="C1740" s="1" t="s">
        <v>1957</v>
      </c>
      <c r="D1740" s="1" t="s">
        <v>382</v>
      </c>
      <c r="E1740" s="1" t="s">
        <v>196</v>
      </c>
      <c r="F1740" s="1" t="s">
        <v>57</v>
      </c>
      <c r="G1740" s="1">
        <f t="shared" si="135"/>
        <v>2</v>
      </c>
      <c r="H1740" s="1" t="s">
        <v>86</v>
      </c>
      <c r="I1740" s="1" t="s">
        <v>3192</v>
      </c>
      <c r="J1740" s="23" t="s">
        <v>50</v>
      </c>
      <c r="K1740" s="2" t="s">
        <v>51</v>
      </c>
      <c r="L1740" s="1">
        <v>44</v>
      </c>
      <c r="M1740" s="1">
        <v>30</v>
      </c>
      <c r="N1740" s="1" t="str">
        <f t="shared" si="138"/>
        <v>Published</v>
      </c>
      <c r="O1740" s="1">
        <f t="shared" si="136"/>
        <v>13.2</v>
      </c>
      <c r="P1740" s="1"/>
      <c r="Q1740" s="1">
        <v>909</v>
      </c>
      <c r="R1740" s="1" t="str">
        <f t="shared" si="139"/>
        <v>2</v>
      </c>
      <c r="S1740" s="1">
        <v>152</v>
      </c>
      <c r="T1740" s="1" t="str">
        <f t="shared" si="137"/>
        <v>1</v>
      </c>
      <c r="U1740" s="1">
        <v>-35.322301000000003</v>
      </c>
      <c r="V1740" s="3">
        <v>150.442182</v>
      </c>
    </row>
    <row r="1741" spans="1:22" x14ac:dyDescent="0.35">
      <c r="A1741" s="22" t="s">
        <v>5004</v>
      </c>
      <c r="B1741" s="1" t="s">
        <v>5005</v>
      </c>
      <c r="C1741" s="1" t="s">
        <v>5006</v>
      </c>
      <c r="D1741" s="1" t="s">
        <v>1399</v>
      </c>
      <c r="E1741" s="1" t="s">
        <v>261</v>
      </c>
      <c r="F1741" s="1" t="s">
        <v>69</v>
      </c>
      <c r="G1741" s="1">
        <f t="shared" si="135"/>
        <v>3</v>
      </c>
      <c r="H1741" s="1" t="s">
        <v>58</v>
      </c>
      <c r="I1741" s="1" t="s">
        <v>4743</v>
      </c>
      <c r="J1741" s="23" t="s">
        <v>50</v>
      </c>
      <c r="K1741" s="2" t="s">
        <v>51</v>
      </c>
      <c r="L1741" s="1"/>
      <c r="M1741" s="1"/>
      <c r="N1741" s="1" t="str">
        <f t="shared" si="138"/>
        <v>Suppressed</v>
      </c>
      <c r="O1741" s="1" t="str">
        <f t="shared" si="136"/>
        <v/>
      </c>
      <c r="P1741" s="1"/>
      <c r="Q1741" s="1"/>
      <c r="R1741" s="1" t="str">
        <f t="shared" si="139"/>
        <v>No ICSEA</v>
      </c>
      <c r="S1741" s="1"/>
      <c r="T1741" s="1" t="str">
        <f t="shared" si="137"/>
        <v>No enrolment</v>
      </c>
      <c r="U1741" s="1">
        <v>-32.364632</v>
      </c>
      <c r="V1741" s="3">
        <v>149.53627399999999</v>
      </c>
    </row>
    <row r="1742" spans="1:22" x14ac:dyDescent="0.35">
      <c r="A1742" s="22" t="s">
        <v>5007</v>
      </c>
      <c r="B1742" s="1" t="s">
        <v>5008</v>
      </c>
      <c r="C1742" s="1" t="s">
        <v>3256</v>
      </c>
      <c r="D1742" s="1" t="s">
        <v>642</v>
      </c>
      <c r="E1742" s="1" t="s">
        <v>170</v>
      </c>
      <c r="F1742" s="1" t="s">
        <v>47</v>
      </c>
      <c r="G1742" s="1">
        <f t="shared" si="135"/>
        <v>1</v>
      </c>
      <c r="H1742" s="1" t="s">
        <v>48</v>
      </c>
      <c r="I1742" s="1" t="s">
        <v>3192</v>
      </c>
      <c r="J1742" s="23" t="s">
        <v>50</v>
      </c>
      <c r="K1742" s="2" t="s">
        <v>51</v>
      </c>
      <c r="L1742" s="1"/>
      <c r="M1742" s="1"/>
      <c r="N1742" s="1" t="str">
        <f t="shared" si="138"/>
        <v>Suppressed</v>
      </c>
      <c r="O1742" s="1" t="str">
        <f t="shared" si="136"/>
        <v/>
      </c>
      <c r="P1742" s="1"/>
      <c r="Q1742" s="1"/>
      <c r="R1742" s="1" t="str">
        <f t="shared" si="139"/>
        <v>No ICSEA</v>
      </c>
      <c r="S1742" s="1">
        <v>100</v>
      </c>
      <c r="T1742" s="1" t="str">
        <f t="shared" si="137"/>
        <v>No enrolment</v>
      </c>
      <c r="U1742" s="1">
        <v>-33.802242999999997</v>
      </c>
      <c r="V1742" s="3">
        <v>150.99183400000001</v>
      </c>
    </row>
    <row r="1743" spans="1:22" x14ac:dyDescent="0.35">
      <c r="A1743" s="22" t="s">
        <v>5009</v>
      </c>
      <c r="B1743" s="1" t="s">
        <v>5010</v>
      </c>
      <c r="C1743" s="1" t="s">
        <v>4256</v>
      </c>
      <c r="D1743" s="1" t="s">
        <v>1131</v>
      </c>
      <c r="E1743" s="1" t="s">
        <v>429</v>
      </c>
      <c r="F1743" s="1" t="s">
        <v>47</v>
      </c>
      <c r="G1743" s="1">
        <f t="shared" si="135"/>
        <v>1</v>
      </c>
      <c r="H1743" s="1" t="s">
        <v>148</v>
      </c>
      <c r="I1743" s="1" t="s">
        <v>4743</v>
      </c>
      <c r="J1743" s="23" t="s">
        <v>50</v>
      </c>
      <c r="K1743" s="2" t="s">
        <v>51</v>
      </c>
      <c r="L1743" s="1"/>
      <c r="M1743" s="1"/>
      <c r="N1743" s="1" t="str">
        <f t="shared" si="138"/>
        <v>Suppressed</v>
      </c>
      <c r="O1743" s="1" t="str">
        <f t="shared" si="136"/>
        <v/>
      </c>
      <c r="P1743" s="1"/>
      <c r="Q1743" s="1"/>
      <c r="R1743" s="1" t="str">
        <f t="shared" si="139"/>
        <v>No ICSEA</v>
      </c>
      <c r="S1743" s="1"/>
      <c r="T1743" s="1" t="str">
        <f t="shared" si="137"/>
        <v>No enrolment</v>
      </c>
      <c r="U1743" s="1">
        <v>-33.728552999999998</v>
      </c>
      <c r="V1743" s="3">
        <v>150.686511</v>
      </c>
    </row>
    <row r="1744" spans="1:22" x14ac:dyDescent="0.35">
      <c r="A1744" s="22" t="s">
        <v>5011</v>
      </c>
      <c r="B1744" s="1" t="s">
        <v>5012</v>
      </c>
      <c r="C1744" s="1" t="s">
        <v>688</v>
      </c>
      <c r="D1744" s="1" t="s">
        <v>689</v>
      </c>
      <c r="E1744" s="1" t="s">
        <v>122</v>
      </c>
      <c r="F1744" s="1" t="s">
        <v>47</v>
      </c>
      <c r="G1744" s="1">
        <f t="shared" si="135"/>
        <v>1</v>
      </c>
      <c r="H1744" s="1" t="s">
        <v>86</v>
      </c>
      <c r="I1744" s="1" t="s">
        <v>3192</v>
      </c>
      <c r="J1744" s="23" t="s">
        <v>50</v>
      </c>
      <c r="K1744" s="2" t="s">
        <v>51</v>
      </c>
      <c r="L1744" s="1">
        <v>75</v>
      </c>
      <c r="M1744" s="1">
        <v>37</v>
      </c>
      <c r="N1744" s="1" t="str">
        <f t="shared" si="138"/>
        <v>Published</v>
      </c>
      <c r="O1744" s="1">
        <f t="shared" si="136"/>
        <v>27.75</v>
      </c>
      <c r="P1744" s="1">
        <v>0</v>
      </c>
      <c r="Q1744" s="1">
        <v>864</v>
      </c>
      <c r="R1744" s="1" t="str">
        <f t="shared" si="139"/>
        <v>1</v>
      </c>
      <c r="S1744" s="1">
        <v>193</v>
      </c>
      <c r="T1744" s="1" t="str">
        <f t="shared" si="137"/>
        <v>1</v>
      </c>
      <c r="U1744" s="1">
        <v>-34.061729999999997</v>
      </c>
      <c r="V1744" s="3">
        <v>150.824344</v>
      </c>
    </row>
    <row r="1745" spans="1:22" x14ac:dyDescent="0.35">
      <c r="A1745" s="22" t="s">
        <v>5013</v>
      </c>
      <c r="B1745" s="1" t="s">
        <v>5014</v>
      </c>
      <c r="C1745" s="1" t="s">
        <v>2321</v>
      </c>
      <c r="D1745" s="1" t="s">
        <v>837</v>
      </c>
      <c r="E1745" s="1" t="s">
        <v>838</v>
      </c>
      <c r="F1745" s="1" t="s">
        <v>47</v>
      </c>
      <c r="G1745" s="1">
        <f t="shared" si="135"/>
        <v>1</v>
      </c>
      <c r="H1745" s="1" t="s">
        <v>182</v>
      </c>
      <c r="I1745" s="1" t="s">
        <v>3192</v>
      </c>
      <c r="J1745" s="23" t="s">
        <v>50</v>
      </c>
      <c r="K1745" s="2" t="s">
        <v>51</v>
      </c>
      <c r="L1745" s="1">
        <v>30</v>
      </c>
      <c r="M1745" s="1">
        <v>60</v>
      </c>
      <c r="N1745" s="1" t="str">
        <f t="shared" si="138"/>
        <v>Published</v>
      </c>
      <c r="O1745" s="1">
        <f t="shared" si="136"/>
        <v>18</v>
      </c>
      <c r="P1745" s="1"/>
      <c r="Q1745" s="1">
        <v>827</v>
      </c>
      <c r="R1745" s="1" t="str">
        <f t="shared" si="139"/>
        <v>1</v>
      </c>
      <c r="S1745" s="1">
        <v>201</v>
      </c>
      <c r="T1745" s="1" t="str">
        <f t="shared" si="137"/>
        <v>1</v>
      </c>
      <c r="U1745" s="1">
        <v>-33.75029</v>
      </c>
      <c r="V1745" s="3">
        <v>150.840732</v>
      </c>
    </row>
    <row r="1746" spans="1:22" x14ac:dyDescent="0.35">
      <c r="A1746" s="22" t="s">
        <v>5015</v>
      </c>
      <c r="B1746" s="1" t="s">
        <v>5016</v>
      </c>
      <c r="C1746" s="1" t="s">
        <v>1580</v>
      </c>
      <c r="D1746" s="1" t="s">
        <v>186</v>
      </c>
      <c r="E1746" s="1" t="s">
        <v>187</v>
      </c>
      <c r="F1746" s="1" t="s">
        <v>47</v>
      </c>
      <c r="G1746" s="1">
        <f t="shared" si="135"/>
        <v>1</v>
      </c>
      <c r="H1746" s="1" t="s">
        <v>63</v>
      </c>
      <c r="I1746" s="1" t="s">
        <v>3192</v>
      </c>
      <c r="J1746" s="23" t="s">
        <v>50</v>
      </c>
      <c r="K1746" s="2" t="s">
        <v>51</v>
      </c>
      <c r="L1746" s="1">
        <v>43</v>
      </c>
      <c r="M1746" s="1">
        <v>35</v>
      </c>
      <c r="N1746" s="1" t="str">
        <f t="shared" si="138"/>
        <v>Published</v>
      </c>
      <c r="O1746" s="1">
        <f t="shared" si="136"/>
        <v>15.049999999999999</v>
      </c>
      <c r="P1746" s="1"/>
      <c r="Q1746" s="1">
        <v>797</v>
      </c>
      <c r="R1746" s="1" t="str">
        <f t="shared" si="139"/>
        <v>1</v>
      </c>
      <c r="S1746" s="1">
        <v>197</v>
      </c>
      <c r="T1746" s="1" t="str">
        <f t="shared" si="137"/>
        <v>1</v>
      </c>
      <c r="U1746" s="1">
        <v>-33.280982000000002</v>
      </c>
      <c r="V1746" s="3">
        <v>151.44858500000001</v>
      </c>
    </row>
    <row r="1747" spans="1:22" x14ac:dyDescent="0.35">
      <c r="A1747" s="22" t="s">
        <v>5017</v>
      </c>
      <c r="B1747" s="1" t="s">
        <v>5018</v>
      </c>
      <c r="C1747" s="1" t="s">
        <v>1355</v>
      </c>
      <c r="D1747" s="1" t="s">
        <v>280</v>
      </c>
      <c r="E1747" s="1" t="s">
        <v>281</v>
      </c>
      <c r="F1747" s="1" t="s">
        <v>57</v>
      </c>
      <c r="G1747" s="1">
        <f t="shared" si="135"/>
        <v>2</v>
      </c>
      <c r="H1747" s="1" t="s">
        <v>92</v>
      </c>
      <c r="I1747" s="1" t="s">
        <v>3192</v>
      </c>
      <c r="J1747" s="23" t="s">
        <v>50</v>
      </c>
      <c r="K1747" s="2" t="s">
        <v>51</v>
      </c>
      <c r="L1747" s="1">
        <v>26</v>
      </c>
      <c r="M1747" s="1">
        <v>81</v>
      </c>
      <c r="N1747" s="1" t="str">
        <f t="shared" si="138"/>
        <v>Published</v>
      </c>
      <c r="O1747" s="1">
        <f t="shared" si="136"/>
        <v>21.060000000000002</v>
      </c>
      <c r="P1747" s="1"/>
      <c r="Q1747" s="1">
        <v>754</v>
      </c>
      <c r="R1747" s="1" t="str">
        <f t="shared" si="139"/>
        <v>1</v>
      </c>
      <c r="S1747" s="1">
        <v>247</v>
      </c>
      <c r="T1747" s="1" t="str">
        <f t="shared" si="137"/>
        <v>1</v>
      </c>
      <c r="U1747" s="1">
        <v>-29.729399999999998</v>
      </c>
      <c r="V1747" s="3">
        <v>152.94739999999999</v>
      </c>
    </row>
    <row r="1748" spans="1:22" x14ac:dyDescent="0.35">
      <c r="A1748" s="22" t="s">
        <v>5019</v>
      </c>
      <c r="B1748" s="1" t="s">
        <v>5020</v>
      </c>
      <c r="C1748" s="1" t="s">
        <v>211</v>
      </c>
      <c r="D1748" s="1" t="s">
        <v>211</v>
      </c>
      <c r="E1748" s="1" t="s">
        <v>102</v>
      </c>
      <c r="F1748" s="1" t="s">
        <v>57</v>
      </c>
      <c r="G1748" s="1">
        <f t="shared" si="135"/>
        <v>2</v>
      </c>
      <c r="H1748" s="1" t="s">
        <v>58</v>
      </c>
      <c r="I1748" s="1" t="s">
        <v>3192</v>
      </c>
      <c r="J1748" s="23" t="s">
        <v>50</v>
      </c>
      <c r="K1748" s="2" t="s">
        <v>51</v>
      </c>
      <c r="L1748" s="1">
        <v>14</v>
      </c>
      <c r="M1748" s="1">
        <v>100</v>
      </c>
      <c r="N1748" s="1" t="str">
        <f t="shared" si="138"/>
        <v>Published</v>
      </c>
      <c r="O1748" s="1">
        <f t="shared" si="136"/>
        <v>14</v>
      </c>
      <c r="P1748" s="1">
        <v>0</v>
      </c>
      <c r="Q1748" s="1">
        <v>695</v>
      </c>
      <c r="R1748" s="1" t="str">
        <f t="shared" si="139"/>
        <v>1</v>
      </c>
      <c r="S1748" s="1">
        <v>243</v>
      </c>
      <c r="T1748" s="1" t="str">
        <f t="shared" si="137"/>
        <v>1</v>
      </c>
      <c r="U1748" s="1">
        <v>-32.231299999999997</v>
      </c>
      <c r="V1748" s="3">
        <v>148.57839999999999</v>
      </c>
    </row>
    <row r="1749" spans="1:22" x14ac:dyDescent="0.35">
      <c r="A1749" s="22" t="s">
        <v>5021</v>
      </c>
      <c r="B1749" s="1" t="s">
        <v>5022</v>
      </c>
      <c r="C1749" s="1" t="s">
        <v>713</v>
      </c>
      <c r="D1749" s="1" t="s">
        <v>713</v>
      </c>
      <c r="E1749" s="1" t="s">
        <v>80</v>
      </c>
      <c r="F1749" s="1" t="s">
        <v>57</v>
      </c>
      <c r="G1749" s="1">
        <f t="shared" si="135"/>
        <v>2</v>
      </c>
      <c r="H1749" s="1" t="s">
        <v>70</v>
      </c>
      <c r="I1749" s="1" t="s">
        <v>3192</v>
      </c>
      <c r="J1749" s="23" t="s">
        <v>50</v>
      </c>
      <c r="K1749" s="2" t="s">
        <v>51</v>
      </c>
      <c r="L1749" s="1">
        <v>48</v>
      </c>
      <c r="M1749" s="1">
        <v>29</v>
      </c>
      <c r="N1749" s="1" t="str">
        <f t="shared" si="138"/>
        <v>Published</v>
      </c>
      <c r="O1749" s="1">
        <f t="shared" si="136"/>
        <v>13.919999999999998</v>
      </c>
      <c r="P1749" s="1">
        <v>0</v>
      </c>
      <c r="Q1749" s="1">
        <v>896</v>
      </c>
      <c r="R1749" s="1" t="str">
        <f t="shared" si="139"/>
        <v>1</v>
      </c>
      <c r="S1749" s="1">
        <v>177</v>
      </c>
      <c r="T1749" s="1" t="str">
        <f t="shared" si="137"/>
        <v>1</v>
      </c>
      <c r="U1749" s="1">
        <v>-35.124586999999998</v>
      </c>
      <c r="V1749" s="3">
        <v>147.36417299999999</v>
      </c>
    </row>
    <row r="1750" spans="1:22" x14ac:dyDescent="0.35">
      <c r="A1750" s="22" t="s">
        <v>5023</v>
      </c>
      <c r="B1750" s="1" t="s">
        <v>5024</v>
      </c>
      <c r="C1750" s="1" t="s">
        <v>1722</v>
      </c>
      <c r="D1750" s="1" t="s">
        <v>152</v>
      </c>
      <c r="E1750" s="1" t="s">
        <v>229</v>
      </c>
      <c r="F1750" s="1" t="s">
        <v>47</v>
      </c>
      <c r="G1750" s="1">
        <f t="shared" si="135"/>
        <v>1</v>
      </c>
      <c r="H1750" s="1" t="s">
        <v>48</v>
      </c>
      <c r="I1750" s="1" t="s">
        <v>3192</v>
      </c>
      <c r="J1750" s="23" t="s">
        <v>50</v>
      </c>
      <c r="K1750" s="2" t="s">
        <v>51</v>
      </c>
      <c r="L1750" s="1">
        <v>36</v>
      </c>
      <c r="M1750" s="1"/>
      <c r="N1750" s="1" t="str">
        <f t="shared" si="138"/>
        <v>Suppressed</v>
      </c>
      <c r="O1750" s="1" t="str">
        <f t="shared" si="136"/>
        <v/>
      </c>
      <c r="P1750" s="1"/>
      <c r="Q1750" s="1">
        <v>921</v>
      </c>
      <c r="R1750" s="1" t="str">
        <f t="shared" si="139"/>
        <v>2</v>
      </c>
      <c r="S1750" s="1">
        <v>154</v>
      </c>
      <c r="T1750" s="1" t="str">
        <f t="shared" si="137"/>
        <v>1</v>
      </c>
      <c r="U1750" s="1">
        <v>-33.915685000000003</v>
      </c>
      <c r="V1750" s="3">
        <v>151.07451399999999</v>
      </c>
    </row>
    <row r="1751" spans="1:22" x14ac:dyDescent="0.35">
      <c r="A1751" s="22" t="s">
        <v>5025</v>
      </c>
      <c r="B1751" s="1" t="s">
        <v>5026</v>
      </c>
      <c r="C1751" s="1" t="s">
        <v>5027</v>
      </c>
      <c r="D1751" s="1" t="s">
        <v>186</v>
      </c>
      <c r="E1751" s="1" t="s">
        <v>187</v>
      </c>
      <c r="F1751" s="1" t="s">
        <v>47</v>
      </c>
      <c r="G1751" s="1">
        <f t="shared" si="135"/>
        <v>1</v>
      </c>
      <c r="H1751" s="1" t="s">
        <v>63</v>
      </c>
      <c r="I1751" s="1" t="s">
        <v>3192</v>
      </c>
      <c r="J1751" s="23" t="s">
        <v>50</v>
      </c>
      <c r="K1751" s="2" t="s">
        <v>51</v>
      </c>
      <c r="L1751" s="1">
        <v>38</v>
      </c>
      <c r="M1751" s="1">
        <v>18</v>
      </c>
      <c r="N1751" s="1" t="str">
        <f t="shared" si="138"/>
        <v>Published</v>
      </c>
      <c r="O1751" s="1">
        <f t="shared" si="136"/>
        <v>6.84</v>
      </c>
      <c r="P1751" s="1">
        <v>0</v>
      </c>
      <c r="Q1751" s="1">
        <v>905</v>
      </c>
      <c r="R1751" s="1" t="str">
        <f t="shared" si="139"/>
        <v>2</v>
      </c>
      <c r="S1751" s="1">
        <v>180</v>
      </c>
      <c r="T1751" s="1" t="str">
        <f t="shared" si="137"/>
        <v>1</v>
      </c>
      <c r="U1751" s="1">
        <v>-33.416874</v>
      </c>
      <c r="V1751" s="3">
        <v>151.35037</v>
      </c>
    </row>
    <row r="1752" spans="1:22" x14ac:dyDescent="0.35">
      <c r="A1752" s="22" t="s">
        <v>5028</v>
      </c>
      <c r="B1752" s="1" t="s">
        <v>5029</v>
      </c>
      <c r="C1752" s="1" t="s">
        <v>4141</v>
      </c>
      <c r="D1752" s="1" t="s">
        <v>1131</v>
      </c>
      <c r="E1752" s="1" t="s">
        <v>429</v>
      </c>
      <c r="F1752" s="1" t="s">
        <v>47</v>
      </c>
      <c r="G1752" s="1">
        <f t="shared" si="135"/>
        <v>1</v>
      </c>
      <c r="H1752" s="1" t="s">
        <v>148</v>
      </c>
      <c r="I1752" s="1" t="s">
        <v>3192</v>
      </c>
      <c r="J1752" s="23" t="s">
        <v>50</v>
      </c>
      <c r="K1752" s="2" t="s">
        <v>51</v>
      </c>
      <c r="L1752" s="1">
        <v>39</v>
      </c>
      <c r="M1752" s="1">
        <v>41</v>
      </c>
      <c r="N1752" s="1" t="str">
        <f t="shared" si="138"/>
        <v>Published</v>
      </c>
      <c r="O1752" s="1">
        <f t="shared" si="136"/>
        <v>15.989999999999998</v>
      </c>
      <c r="P1752" s="1">
        <v>0</v>
      </c>
      <c r="Q1752" s="1">
        <v>873</v>
      </c>
      <c r="R1752" s="1" t="str">
        <f t="shared" si="139"/>
        <v>1</v>
      </c>
      <c r="S1752" s="1">
        <v>201</v>
      </c>
      <c r="T1752" s="1" t="str">
        <f t="shared" si="137"/>
        <v>1</v>
      </c>
      <c r="U1752" s="1">
        <v>-33.766553999999999</v>
      </c>
      <c r="V1752" s="3">
        <v>150.75876099999999</v>
      </c>
    </row>
    <row r="1753" spans="1:22" x14ac:dyDescent="0.35">
      <c r="A1753" s="22" t="s">
        <v>5030</v>
      </c>
      <c r="B1753" s="1" t="s">
        <v>5031</v>
      </c>
      <c r="C1753" s="1" t="s">
        <v>1998</v>
      </c>
      <c r="D1753" s="1" t="s">
        <v>482</v>
      </c>
      <c r="E1753" s="1" t="s">
        <v>91</v>
      </c>
      <c r="F1753" s="1" t="s">
        <v>69</v>
      </c>
      <c r="G1753" s="1">
        <f t="shared" si="135"/>
        <v>3</v>
      </c>
      <c r="H1753" s="1" t="s">
        <v>92</v>
      </c>
      <c r="I1753" s="1" t="s">
        <v>3192</v>
      </c>
      <c r="J1753" s="23" t="s">
        <v>50</v>
      </c>
      <c r="K1753" s="2" t="s">
        <v>51</v>
      </c>
      <c r="L1753" s="1">
        <v>7</v>
      </c>
      <c r="M1753" s="1">
        <v>100</v>
      </c>
      <c r="N1753" s="1" t="str">
        <f t="shared" si="138"/>
        <v>Published</v>
      </c>
      <c r="O1753" s="1">
        <f t="shared" si="136"/>
        <v>7</v>
      </c>
      <c r="P1753" s="1"/>
      <c r="Q1753" s="1"/>
      <c r="R1753" s="1" t="str">
        <f t="shared" si="139"/>
        <v>No ICSEA</v>
      </c>
      <c r="S1753" s="1">
        <v>277</v>
      </c>
      <c r="T1753" s="1" t="str">
        <f t="shared" si="137"/>
        <v>1</v>
      </c>
      <c r="U1753" s="1">
        <v>-29.482102999999999</v>
      </c>
      <c r="V1753" s="3">
        <v>149.84222299999999</v>
      </c>
    </row>
    <row r="1754" spans="1:22" x14ac:dyDescent="0.35">
      <c r="A1754" s="22" t="s">
        <v>5032</v>
      </c>
      <c r="B1754" s="1" t="s">
        <v>5033</v>
      </c>
      <c r="C1754" s="1" t="s">
        <v>5034</v>
      </c>
      <c r="D1754" s="1" t="s">
        <v>465</v>
      </c>
      <c r="E1754" s="1" t="s">
        <v>281</v>
      </c>
      <c r="F1754" s="1" t="s">
        <v>57</v>
      </c>
      <c r="G1754" s="1">
        <f t="shared" si="135"/>
        <v>2</v>
      </c>
      <c r="H1754" s="1" t="s">
        <v>58</v>
      </c>
      <c r="I1754" s="1" t="s">
        <v>3192</v>
      </c>
      <c r="J1754" s="23" t="s">
        <v>50</v>
      </c>
      <c r="K1754" s="2" t="s">
        <v>51</v>
      </c>
      <c r="L1754" s="1">
        <v>23</v>
      </c>
      <c r="M1754" s="1">
        <v>39</v>
      </c>
      <c r="N1754" s="1" t="str">
        <f t="shared" si="138"/>
        <v>Published</v>
      </c>
      <c r="O1754" s="1">
        <f t="shared" si="136"/>
        <v>8.9700000000000006</v>
      </c>
      <c r="P1754" s="1">
        <v>0</v>
      </c>
      <c r="Q1754" s="1">
        <v>841</v>
      </c>
      <c r="R1754" s="1" t="str">
        <f t="shared" si="139"/>
        <v>1</v>
      </c>
      <c r="S1754" s="1">
        <v>178</v>
      </c>
      <c r="T1754" s="1" t="str">
        <f t="shared" si="137"/>
        <v>1</v>
      </c>
      <c r="U1754" s="1">
        <v>-30.347587999999998</v>
      </c>
      <c r="V1754" s="3">
        <v>153.07179400000001</v>
      </c>
    </row>
    <row r="1755" spans="1:22" x14ac:dyDescent="0.35">
      <c r="A1755" s="22" t="s">
        <v>5035</v>
      </c>
      <c r="B1755" s="1" t="s">
        <v>5036</v>
      </c>
      <c r="C1755" s="1" t="s">
        <v>4109</v>
      </c>
      <c r="D1755" s="1" t="s">
        <v>489</v>
      </c>
      <c r="E1755" s="1" t="s">
        <v>75</v>
      </c>
      <c r="F1755" s="1" t="s">
        <v>47</v>
      </c>
      <c r="G1755" s="1">
        <f t="shared" si="135"/>
        <v>1</v>
      </c>
      <c r="H1755" s="1" t="s">
        <v>58</v>
      </c>
      <c r="I1755" s="1" t="s">
        <v>3192</v>
      </c>
      <c r="J1755" s="23" t="s">
        <v>50</v>
      </c>
      <c r="K1755" s="2" t="s">
        <v>51</v>
      </c>
      <c r="L1755" s="1">
        <v>26</v>
      </c>
      <c r="M1755" s="1">
        <v>50</v>
      </c>
      <c r="N1755" s="1" t="str">
        <f t="shared" si="138"/>
        <v>Published</v>
      </c>
      <c r="O1755" s="1">
        <f t="shared" si="136"/>
        <v>13</v>
      </c>
      <c r="P1755" s="1"/>
      <c r="Q1755" s="1">
        <v>844</v>
      </c>
      <c r="R1755" s="1" t="str">
        <f t="shared" si="139"/>
        <v>1</v>
      </c>
      <c r="S1755" s="1">
        <v>184</v>
      </c>
      <c r="T1755" s="1" t="str">
        <f t="shared" si="137"/>
        <v>1</v>
      </c>
      <c r="U1755" s="1">
        <v>-32.791553999999998</v>
      </c>
      <c r="V1755" s="3">
        <v>151.67121700000001</v>
      </c>
    </row>
    <row r="1756" spans="1:22" x14ac:dyDescent="0.35">
      <c r="A1756" s="22" t="s">
        <v>5037</v>
      </c>
      <c r="B1756" s="1" t="s">
        <v>5038</v>
      </c>
      <c r="C1756" s="1" t="s">
        <v>4551</v>
      </c>
      <c r="D1756" s="1" t="s">
        <v>837</v>
      </c>
      <c r="E1756" s="1" t="s">
        <v>838</v>
      </c>
      <c r="F1756" s="1" t="s">
        <v>47</v>
      </c>
      <c r="G1756" s="1">
        <f t="shared" si="135"/>
        <v>1</v>
      </c>
      <c r="H1756" s="1" t="s">
        <v>148</v>
      </c>
      <c r="I1756" s="1" t="s">
        <v>3192</v>
      </c>
      <c r="J1756" s="23" t="s">
        <v>50</v>
      </c>
      <c r="K1756" s="2" t="s">
        <v>51</v>
      </c>
      <c r="L1756" s="1">
        <v>120</v>
      </c>
      <c r="M1756" s="1">
        <v>6</v>
      </c>
      <c r="N1756" s="1" t="str">
        <f t="shared" si="138"/>
        <v>Published</v>
      </c>
      <c r="O1756" s="1">
        <f t="shared" si="136"/>
        <v>7.1999999999999993</v>
      </c>
      <c r="P1756" s="1">
        <v>60</v>
      </c>
      <c r="Q1756" s="1">
        <v>1038</v>
      </c>
      <c r="R1756" s="1" t="str">
        <f t="shared" si="139"/>
        <v>3</v>
      </c>
      <c r="S1756" s="1">
        <v>78</v>
      </c>
      <c r="T1756" s="1" t="str">
        <f t="shared" si="137"/>
        <v>2</v>
      </c>
      <c r="U1756" s="1">
        <v>-33.698</v>
      </c>
      <c r="V1756" s="3">
        <v>150.91160099999999</v>
      </c>
    </row>
    <row r="1757" spans="1:22" x14ac:dyDescent="0.35">
      <c r="A1757" s="22" t="s">
        <v>5039</v>
      </c>
      <c r="B1757" s="1" t="s">
        <v>5040</v>
      </c>
      <c r="C1757" s="1" t="s">
        <v>2109</v>
      </c>
      <c r="D1757" s="1" t="s">
        <v>678</v>
      </c>
      <c r="E1757" s="1" t="s">
        <v>122</v>
      </c>
      <c r="F1757" s="1" t="s">
        <v>47</v>
      </c>
      <c r="G1757" s="1">
        <f t="shared" si="135"/>
        <v>1</v>
      </c>
      <c r="H1757" s="1" t="s">
        <v>86</v>
      </c>
      <c r="I1757" s="1" t="s">
        <v>3192</v>
      </c>
      <c r="J1757" s="23" t="s">
        <v>50</v>
      </c>
      <c r="K1757" s="2" t="s">
        <v>51</v>
      </c>
      <c r="L1757" s="1">
        <v>118</v>
      </c>
      <c r="M1757" s="1">
        <v>5</v>
      </c>
      <c r="N1757" s="1" t="str">
        <f t="shared" si="138"/>
        <v>Published</v>
      </c>
      <c r="O1757" s="1">
        <f t="shared" si="136"/>
        <v>5.9</v>
      </c>
      <c r="P1757" s="1">
        <v>37</v>
      </c>
      <c r="Q1757" s="1">
        <v>1017</v>
      </c>
      <c r="R1757" s="1" t="str">
        <f t="shared" si="139"/>
        <v>3</v>
      </c>
      <c r="S1757" s="1">
        <v>98</v>
      </c>
      <c r="T1757" s="1" t="str">
        <f t="shared" si="137"/>
        <v>2</v>
      </c>
      <c r="U1757" s="1">
        <v>-34.043062140000004</v>
      </c>
      <c r="V1757" s="3">
        <v>150.732244025</v>
      </c>
    </row>
    <row r="1758" spans="1:22" x14ac:dyDescent="0.35">
      <c r="A1758" s="22" t="s">
        <v>5041</v>
      </c>
      <c r="B1758" s="1" t="s">
        <v>5042</v>
      </c>
      <c r="C1758" s="1" t="s">
        <v>5043</v>
      </c>
      <c r="D1758" s="1" t="s">
        <v>152</v>
      </c>
      <c r="E1758" s="1" t="s">
        <v>229</v>
      </c>
      <c r="F1758" s="1" t="s">
        <v>47</v>
      </c>
      <c r="G1758" s="1">
        <f t="shared" si="135"/>
        <v>1</v>
      </c>
      <c r="H1758" s="1" t="s">
        <v>182</v>
      </c>
      <c r="I1758" s="1" t="s">
        <v>3192</v>
      </c>
      <c r="J1758" s="23" t="s">
        <v>50</v>
      </c>
      <c r="K1758" s="2" t="s">
        <v>51</v>
      </c>
      <c r="L1758" s="1">
        <v>102</v>
      </c>
      <c r="M1758" s="1"/>
      <c r="N1758" s="1" t="str">
        <f t="shared" si="138"/>
        <v>Suppressed</v>
      </c>
      <c r="O1758" s="1" t="str">
        <f t="shared" si="136"/>
        <v/>
      </c>
      <c r="P1758" s="1">
        <v>83</v>
      </c>
      <c r="Q1758" s="1">
        <v>979</v>
      </c>
      <c r="R1758" s="1" t="str">
        <f t="shared" si="139"/>
        <v>2</v>
      </c>
      <c r="S1758" s="1">
        <v>137</v>
      </c>
      <c r="T1758" s="1" t="str">
        <f t="shared" si="137"/>
        <v>2</v>
      </c>
      <c r="U1758" s="1">
        <v>-33.89794534</v>
      </c>
      <c r="V1758" s="3">
        <v>150.988237</v>
      </c>
    </row>
    <row r="1759" spans="1:22" x14ac:dyDescent="0.35">
      <c r="A1759" s="22" t="s">
        <v>5044</v>
      </c>
      <c r="B1759" s="1" t="s">
        <v>5045</v>
      </c>
      <c r="C1759" s="1" t="s">
        <v>4623</v>
      </c>
      <c r="D1759" s="1" t="s">
        <v>1131</v>
      </c>
      <c r="E1759" s="1" t="s">
        <v>429</v>
      </c>
      <c r="F1759" s="1" t="s">
        <v>47</v>
      </c>
      <c r="G1759" s="1">
        <f t="shared" si="135"/>
        <v>1</v>
      </c>
      <c r="H1759" s="1" t="s">
        <v>182</v>
      </c>
      <c r="I1759" s="1" t="s">
        <v>3192</v>
      </c>
      <c r="J1759" s="23" t="s">
        <v>50</v>
      </c>
      <c r="K1759" s="2" t="s">
        <v>51</v>
      </c>
      <c r="L1759" s="1">
        <v>129</v>
      </c>
      <c r="M1759" s="1">
        <v>14</v>
      </c>
      <c r="N1759" s="1" t="str">
        <f t="shared" si="138"/>
        <v>Published</v>
      </c>
      <c r="O1759" s="1">
        <f t="shared" si="136"/>
        <v>18.060000000000002</v>
      </c>
      <c r="P1759" s="1">
        <v>36</v>
      </c>
      <c r="Q1759" s="1">
        <v>956</v>
      </c>
      <c r="R1759" s="1" t="str">
        <f t="shared" si="139"/>
        <v>2</v>
      </c>
      <c r="S1759" s="1">
        <v>131</v>
      </c>
      <c r="T1759" s="1" t="str">
        <f t="shared" si="137"/>
        <v>2</v>
      </c>
      <c r="U1759" s="1">
        <v>-33.796286238</v>
      </c>
      <c r="V1759" s="3">
        <v>150.67695584200001</v>
      </c>
    </row>
    <row r="1760" spans="1:22" x14ac:dyDescent="0.35">
      <c r="A1760" s="22" t="s">
        <v>5046</v>
      </c>
      <c r="B1760" s="1" t="s">
        <v>5047</v>
      </c>
      <c r="C1760" s="1" t="s">
        <v>211</v>
      </c>
      <c r="D1760" s="1" t="s">
        <v>211</v>
      </c>
      <c r="E1760" s="1" t="s">
        <v>102</v>
      </c>
      <c r="F1760" s="1" t="s">
        <v>57</v>
      </c>
      <c r="G1760" s="1">
        <f t="shared" si="135"/>
        <v>2</v>
      </c>
      <c r="H1760" s="1" t="s">
        <v>58</v>
      </c>
      <c r="I1760" s="1" t="s">
        <v>3192</v>
      </c>
      <c r="J1760" s="23" t="s">
        <v>50</v>
      </c>
      <c r="K1760" s="2" t="s">
        <v>51</v>
      </c>
      <c r="L1760" s="1">
        <v>50</v>
      </c>
      <c r="M1760" s="1">
        <v>56</v>
      </c>
      <c r="N1760" s="1" t="str">
        <f t="shared" si="138"/>
        <v>Published</v>
      </c>
      <c r="O1760" s="1">
        <f t="shared" si="136"/>
        <v>28.000000000000004</v>
      </c>
      <c r="P1760" s="1">
        <v>19</v>
      </c>
      <c r="Q1760" s="1">
        <v>867</v>
      </c>
      <c r="R1760" s="1" t="str">
        <f t="shared" si="139"/>
        <v>1</v>
      </c>
      <c r="S1760" s="1">
        <v>164</v>
      </c>
      <c r="T1760" s="1" t="str">
        <f t="shared" si="137"/>
        <v>1</v>
      </c>
      <c r="U1760" s="1">
        <v>-32.249690000000001</v>
      </c>
      <c r="V1760" s="3">
        <v>148.58362</v>
      </c>
    </row>
    <row r="1761" spans="1:22" x14ac:dyDescent="0.35">
      <c r="A1761" s="22" t="s">
        <v>5048</v>
      </c>
      <c r="B1761" s="1" t="s">
        <v>5049</v>
      </c>
      <c r="C1761" s="1" t="s">
        <v>5050</v>
      </c>
      <c r="D1761" s="1" t="s">
        <v>558</v>
      </c>
      <c r="E1761" s="1" t="s">
        <v>68</v>
      </c>
      <c r="F1761" s="1" t="s">
        <v>47</v>
      </c>
      <c r="G1761" s="1">
        <f t="shared" si="135"/>
        <v>1</v>
      </c>
      <c r="H1761" s="1" t="s">
        <v>70</v>
      </c>
      <c r="I1761" s="1" t="s">
        <v>3192</v>
      </c>
      <c r="J1761" s="23" t="s">
        <v>50</v>
      </c>
      <c r="K1761" s="2" t="s">
        <v>51</v>
      </c>
      <c r="L1761" s="1">
        <v>34</v>
      </c>
      <c r="M1761" s="1">
        <v>21</v>
      </c>
      <c r="N1761" s="1" t="str">
        <f t="shared" si="138"/>
        <v>Published</v>
      </c>
      <c r="O1761" s="1">
        <f t="shared" si="136"/>
        <v>7.14</v>
      </c>
      <c r="P1761" s="1">
        <v>38</v>
      </c>
      <c r="Q1761" s="1">
        <v>944</v>
      </c>
      <c r="R1761" s="1" t="str">
        <f t="shared" si="139"/>
        <v>2</v>
      </c>
      <c r="S1761" s="1">
        <v>147</v>
      </c>
      <c r="T1761" s="1" t="str">
        <f t="shared" si="137"/>
        <v>1</v>
      </c>
      <c r="U1761" s="1">
        <v>-35.366160999999998</v>
      </c>
      <c r="V1761" s="3">
        <v>149.22654499999999</v>
      </c>
    </row>
    <row r="1762" spans="1:22" x14ac:dyDescent="0.35">
      <c r="A1762" s="22" t="s">
        <v>5051</v>
      </c>
      <c r="B1762" s="1" t="s">
        <v>5052</v>
      </c>
      <c r="C1762" s="1" t="s">
        <v>5053</v>
      </c>
      <c r="D1762" s="1" t="s">
        <v>837</v>
      </c>
      <c r="E1762" s="1" t="s">
        <v>838</v>
      </c>
      <c r="F1762" s="1" t="s">
        <v>47</v>
      </c>
      <c r="G1762" s="1">
        <f t="shared" si="135"/>
        <v>1</v>
      </c>
      <c r="H1762" s="1" t="s">
        <v>148</v>
      </c>
      <c r="I1762" s="1" t="s">
        <v>3192</v>
      </c>
      <c r="J1762" s="23" t="s">
        <v>50</v>
      </c>
      <c r="K1762" s="2" t="s">
        <v>51</v>
      </c>
      <c r="L1762" s="1">
        <v>82</v>
      </c>
      <c r="M1762" s="1">
        <v>9</v>
      </c>
      <c r="N1762" s="1" t="str">
        <f t="shared" si="138"/>
        <v>Published</v>
      </c>
      <c r="O1762" s="1">
        <f t="shared" si="136"/>
        <v>7.38</v>
      </c>
      <c r="P1762" s="1">
        <v>62</v>
      </c>
      <c r="Q1762" s="1">
        <v>982</v>
      </c>
      <c r="R1762" s="1" t="str">
        <f t="shared" si="139"/>
        <v>2</v>
      </c>
      <c r="S1762" s="1">
        <v>110</v>
      </c>
      <c r="T1762" s="1" t="str">
        <f t="shared" si="137"/>
        <v>1</v>
      </c>
      <c r="U1762" s="1">
        <v>-33.677947500000002</v>
      </c>
      <c r="V1762" s="3">
        <v>150.87563929999999</v>
      </c>
    </row>
    <row r="1763" spans="1:22" x14ac:dyDescent="0.35">
      <c r="A1763" s="22" t="s">
        <v>5054</v>
      </c>
      <c r="B1763" s="1" t="s">
        <v>5055</v>
      </c>
      <c r="C1763" s="1" t="s">
        <v>5056</v>
      </c>
      <c r="D1763" s="1" t="s">
        <v>730</v>
      </c>
      <c r="E1763" s="1" t="s">
        <v>261</v>
      </c>
      <c r="F1763" s="1" t="s">
        <v>57</v>
      </c>
      <c r="G1763" s="1">
        <f t="shared" si="135"/>
        <v>2</v>
      </c>
      <c r="H1763" s="1" t="s">
        <v>70</v>
      </c>
      <c r="I1763" s="1" t="s">
        <v>49</v>
      </c>
      <c r="J1763" s="23" t="s">
        <v>50</v>
      </c>
      <c r="K1763" s="2" t="s">
        <v>51</v>
      </c>
      <c r="L1763" s="1">
        <v>181</v>
      </c>
      <c r="M1763" s="1">
        <v>9</v>
      </c>
      <c r="N1763" s="1" t="str">
        <f t="shared" si="138"/>
        <v>Published</v>
      </c>
      <c r="O1763" s="1">
        <f t="shared" si="136"/>
        <v>16.29</v>
      </c>
      <c r="P1763" s="1"/>
      <c r="Q1763" s="1">
        <v>953</v>
      </c>
      <c r="R1763" s="1" t="str">
        <f t="shared" si="139"/>
        <v>2</v>
      </c>
      <c r="S1763" s="1">
        <v>110</v>
      </c>
      <c r="T1763" s="1" t="str">
        <f t="shared" si="137"/>
        <v>2</v>
      </c>
      <c r="U1763" s="1">
        <v>-33.566198</v>
      </c>
      <c r="V1763" s="3">
        <v>148.66492099999999</v>
      </c>
    </row>
    <row r="1764" spans="1:22" x14ac:dyDescent="0.35">
      <c r="A1764" s="22" t="s">
        <v>5057</v>
      </c>
      <c r="B1764" s="1" t="s">
        <v>5058</v>
      </c>
      <c r="C1764" s="1" t="s">
        <v>3977</v>
      </c>
      <c r="D1764" s="1" t="s">
        <v>642</v>
      </c>
      <c r="E1764" s="1" t="s">
        <v>170</v>
      </c>
      <c r="F1764" s="1" t="s">
        <v>47</v>
      </c>
      <c r="G1764" s="1">
        <f t="shared" si="135"/>
        <v>1</v>
      </c>
      <c r="H1764" s="1" t="s">
        <v>148</v>
      </c>
      <c r="I1764" s="1" t="s">
        <v>49</v>
      </c>
      <c r="J1764" s="23" t="s">
        <v>50</v>
      </c>
      <c r="K1764" s="2" t="s">
        <v>51</v>
      </c>
      <c r="L1764" s="1">
        <v>644</v>
      </c>
      <c r="M1764" s="1"/>
      <c r="N1764" s="1" t="str">
        <f t="shared" si="138"/>
        <v>Suppressed</v>
      </c>
      <c r="O1764" s="1" t="str">
        <f t="shared" si="136"/>
        <v/>
      </c>
      <c r="P1764" s="1">
        <v>89</v>
      </c>
      <c r="Q1764" s="1">
        <v>1109</v>
      </c>
      <c r="R1764" s="1" t="str">
        <f t="shared" si="139"/>
        <v>4</v>
      </c>
      <c r="S1764" s="1">
        <v>26</v>
      </c>
      <c r="T1764" s="1" t="str">
        <f t="shared" si="137"/>
        <v>4</v>
      </c>
      <c r="U1764" s="1">
        <v>-33.780093999999998</v>
      </c>
      <c r="V1764" s="3">
        <v>151.05515299999999</v>
      </c>
    </row>
    <row r="1765" spans="1:22" x14ac:dyDescent="0.35">
      <c r="A1765" s="22" t="s">
        <v>5059</v>
      </c>
      <c r="B1765" s="1" t="s">
        <v>5060</v>
      </c>
      <c r="C1765" s="1" t="s">
        <v>5061</v>
      </c>
      <c r="D1765" s="1" t="s">
        <v>275</v>
      </c>
      <c r="E1765" s="1" t="s">
        <v>276</v>
      </c>
      <c r="F1765" s="1" t="s">
        <v>57</v>
      </c>
      <c r="G1765" s="1">
        <f t="shared" si="135"/>
        <v>2</v>
      </c>
      <c r="H1765" s="1" t="s">
        <v>58</v>
      </c>
      <c r="I1765" s="1" t="s">
        <v>49</v>
      </c>
      <c r="J1765" s="23" t="s">
        <v>50</v>
      </c>
      <c r="K1765" s="2" t="s">
        <v>51</v>
      </c>
      <c r="L1765" s="1">
        <v>275</v>
      </c>
      <c r="M1765" s="1">
        <v>17</v>
      </c>
      <c r="N1765" s="1" t="str">
        <f t="shared" si="138"/>
        <v>Published</v>
      </c>
      <c r="O1765" s="1">
        <f t="shared" si="136"/>
        <v>46.75</v>
      </c>
      <c r="P1765" s="1">
        <v>5</v>
      </c>
      <c r="Q1765" s="1">
        <v>955</v>
      </c>
      <c r="R1765" s="1" t="str">
        <f t="shared" si="139"/>
        <v>2</v>
      </c>
      <c r="S1765" s="1">
        <v>110</v>
      </c>
      <c r="T1765" s="1" t="str">
        <f t="shared" si="137"/>
        <v>2</v>
      </c>
      <c r="U1765" s="1">
        <v>-32.010210999999998</v>
      </c>
      <c r="V1765" s="3">
        <v>151.96109899999999</v>
      </c>
    </row>
    <row r="1766" spans="1:22" x14ac:dyDescent="0.35">
      <c r="A1766" s="22" t="s">
        <v>5062</v>
      </c>
      <c r="B1766" s="1" t="s">
        <v>5063</v>
      </c>
      <c r="C1766" s="1" t="s">
        <v>5064</v>
      </c>
      <c r="D1766" s="1" t="s">
        <v>90</v>
      </c>
      <c r="E1766" s="1" t="s">
        <v>91</v>
      </c>
      <c r="F1766" s="1" t="s">
        <v>69</v>
      </c>
      <c r="G1766" s="1">
        <f t="shared" si="135"/>
        <v>3</v>
      </c>
      <c r="H1766" s="1" t="s">
        <v>92</v>
      </c>
      <c r="I1766" s="1" t="s">
        <v>132</v>
      </c>
      <c r="J1766" s="23" t="s">
        <v>50</v>
      </c>
      <c r="K1766" s="2" t="s">
        <v>51</v>
      </c>
      <c r="L1766" s="1">
        <v>243.4</v>
      </c>
      <c r="M1766" s="1">
        <v>39</v>
      </c>
      <c r="N1766" s="1" t="str">
        <f t="shared" si="138"/>
        <v>Published</v>
      </c>
      <c r="O1766" s="1">
        <f t="shared" si="136"/>
        <v>94.926000000000002</v>
      </c>
      <c r="P1766" s="1">
        <v>3</v>
      </c>
      <c r="Q1766" s="1">
        <v>855</v>
      </c>
      <c r="R1766" s="1" t="str">
        <f t="shared" si="139"/>
        <v>1</v>
      </c>
      <c r="S1766" s="1">
        <v>148</v>
      </c>
      <c r="T1766" s="1" t="str">
        <f t="shared" si="137"/>
        <v>2</v>
      </c>
      <c r="U1766" s="1">
        <v>-30.750947</v>
      </c>
      <c r="V1766" s="3">
        <v>150.72843499999999</v>
      </c>
    </row>
    <row r="1767" spans="1:22" x14ac:dyDescent="0.35">
      <c r="A1767" s="22" t="s">
        <v>5065</v>
      </c>
      <c r="B1767" s="1" t="s">
        <v>5066</v>
      </c>
      <c r="C1767" s="1" t="s">
        <v>703</v>
      </c>
      <c r="D1767" s="1" t="s">
        <v>703</v>
      </c>
      <c r="E1767" s="1" t="s">
        <v>261</v>
      </c>
      <c r="F1767" s="1" t="s">
        <v>57</v>
      </c>
      <c r="G1767" s="1">
        <f t="shared" si="135"/>
        <v>2</v>
      </c>
      <c r="H1767" s="1" t="s">
        <v>70</v>
      </c>
      <c r="I1767" s="1" t="s">
        <v>49</v>
      </c>
      <c r="J1767" s="23" t="s">
        <v>50</v>
      </c>
      <c r="K1767" s="2" t="s">
        <v>51</v>
      </c>
      <c r="L1767" s="1">
        <v>761</v>
      </c>
      <c r="M1767" s="1">
        <v>9</v>
      </c>
      <c r="N1767" s="1" t="str">
        <f t="shared" si="138"/>
        <v>Published</v>
      </c>
      <c r="O1767" s="1">
        <f t="shared" si="136"/>
        <v>68.489999999999995</v>
      </c>
      <c r="P1767" s="1">
        <v>8</v>
      </c>
      <c r="Q1767" s="1">
        <v>1046</v>
      </c>
      <c r="R1767" s="1" t="str">
        <f t="shared" si="139"/>
        <v>3</v>
      </c>
      <c r="S1767" s="1">
        <v>54</v>
      </c>
      <c r="T1767" s="1" t="str">
        <f t="shared" si="137"/>
        <v>4</v>
      </c>
      <c r="U1767" s="1">
        <v>-33.286264000000003</v>
      </c>
      <c r="V1767" s="3">
        <v>149.09658400000001</v>
      </c>
    </row>
    <row r="1768" spans="1:22" x14ac:dyDescent="0.35">
      <c r="A1768" s="22" t="s">
        <v>5067</v>
      </c>
      <c r="B1768" s="1" t="s">
        <v>5068</v>
      </c>
      <c r="C1768" s="1" t="s">
        <v>3204</v>
      </c>
      <c r="D1768" s="1" t="s">
        <v>74</v>
      </c>
      <c r="E1768" s="1" t="s">
        <v>75</v>
      </c>
      <c r="F1768" s="1" t="s">
        <v>47</v>
      </c>
      <c r="G1768" s="1">
        <f t="shared" si="135"/>
        <v>1</v>
      </c>
      <c r="H1768" s="1" t="s">
        <v>63</v>
      </c>
      <c r="I1768" s="1" t="s">
        <v>49</v>
      </c>
      <c r="J1768" s="23" t="s">
        <v>50</v>
      </c>
      <c r="K1768" s="2" t="s">
        <v>51</v>
      </c>
      <c r="L1768" s="1">
        <v>195</v>
      </c>
      <c r="M1768" s="1">
        <v>23</v>
      </c>
      <c r="N1768" s="1" t="str">
        <f t="shared" si="138"/>
        <v>Published</v>
      </c>
      <c r="O1768" s="1">
        <f t="shared" si="136"/>
        <v>44.85</v>
      </c>
      <c r="P1768" s="1">
        <v>29</v>
      </c>
      <c r="Q1768" s="1">
        <v>910</v>
      </c>
      <c r="R1768" s="1" t="str">
        <f t="shared" si="139"/>
        <v>2</v>
      </c>
      <c r="S1768" s="1">
        <v>134</v>
      </c>
      <c r="T1768" s="1" t="str">
        <f t="shared" si="137"/>
        <v>2</v>
      </c>
      <c r="U1768" s="1">
        <v>-32.896354000000002</v>
      </c>
      <c r="V1768" s="3">
        <v>151.669186</v>
      </c>
    </row>
    <row r="1769" spans="1:22" x14ac:dyDescent="0.35">
      <c r="A1769" s="22" t="s">
        <v>5069</v>
      </c>
      <c r="B1769" s="1" t="s">
        <v>5070</v>
      </c>
      <c r="C1769" s="1" t="s">
        <v>5071</v>
      </c>
      <c r="D1769" s="1" t="s">
        <v>55</v>
      </c>
      <c r="E1769" s="1" t="s">
        <v>56</v>
      </c>
      <c r="F1769" s="1" t="s">
        <v>57</v>
      </c>
      <c r="G1769" s="1">
        <f t="shared" si="135"/>
        <v>2</v>
      </c>
      <c r="H1769" s="1" t="s">
        <v>58</v>
      </c>
      <c r="I1769" s="1" t="s">
        <v>49</v>
      </c>
      <c r="J1769" s="23" t="s">
        <v>50</v>
      </c>
      <c r="K1769" s="2" t="s">
        <v>51</v>
      </c>
      <c r="L1769" s="1">
        <v>400</v>
      </c>
      <c r="M1769" s="1">
        <v>18</v>
      </c>
      <c r="N1769" s="1" t="str">
        <f t="shared" si="138"/>
        <v>Published</v>
      </c>
      <c r="O1769" s="1">
        <f t="shared" si="136"/>
        <v>72</v>
      </c>
      <c r="P1769" s="1">
        <v>11</v>
      </c>
      <c r="Q1769" s="1">
        <v>943</v>
      </c>
      <c r="R1769" s="1" t="str">
        <f t="shared" si="139"/>
        <v>2</v>
      </c>
      <c r="S1769" s="1">
        <v>120</v>
      </c>
      <c r="T1769" s="1" t="str">
        <f t="shared" si="137"/>
        <v>3</v>
      </c>
      <c r="U1769" s="1">
        <v>-32.049446000000003</v>
      </c>
      <c r="V1769" s="3">
        <v>150.863855</v>
      </c>
    </row>
    <row r="1770" spans="1:22" x14ac:dyDescent="0.35">
      <c r="A1770" s="22" t="s">
        <v>5072</v>
      </c>
      <c r="B1770" s="1" t="s">
        <v>5073</v>
      </c>
      <c r="C1770" s="1" t="s">
        <v>4370</v>
      </c>
      <c r="D1770" s="1" t="s">
        <v>275</v>
      </c>
      <c r="E1770" s="1" t="s">
        <v>276</v>
      </c>
      <c r="F1770" s="1" t="s">
        <v>57</v>
      </c>
      <c r="G1770" s="1">
        <f t="shared" si="135"/>
        <v>2</v>
      </c>
      <c r="H1770" s="1" t="s">
        <v>58</v>
      </c>
      <c r="I1770" s="1" t="s">
        <v>49</v>
      </c>
      <c r="J1770" s="23" t="s">
        <v>50</v>
      </c>
      <c r="K1770" s="2" t="s">
        <v>51</v>
      </c>
      <c r="L1770" s="1">
        <v>240</v>
      </c>
      <c r="M1770" s="1">
        <v>21</v>
      </c>
      <c r="N1770" s="1" t="str">
        <f t="shared" si="138"/>
        <v>Published</v>
      </c>
      <c r="O1770" s="1">
        <f t="shared" si="136"/>
        <v>50.4</v>
      </c>
      <c r="P1770" s="1">
        <v>4</v>
      </c>
      <c r="Q1770" s="1">
        <v>934</v>
      </c>
      <c r="R1770" s="1" t="str">
        <f t="shared" si="139"/>
        <v>2</v>
      </c>
      <c r="S1770" s="1">
        <v>114</v>
      </c>
      <c r="T1770" s="1" t="str">
        <f t="shared" si="137"/>
        <v>2</v>
      </c>
      <c r="U1770" s="1">
        <v>-31.863382999999999</v>
      </c>
      <c r="V1770" s="3">
        <v>152.35022499999999</v>
      </c>
    </row>
    <row r="1771" spans="1:22" x14ac:dyDescent="0.35">
      <c r="A1771" s="22" t="s">
        <v>5074</v>
      </c>
      <c r="B1771" s="1" t="s">
        <v>5075</v>
      </c>
      <c r="C1771" s="1" t="s">
        <v>1473</v>
      </c>
      <c r="D1771" s="1" t="s">
        <v>333</v>
      </c>
      <c r="E1771" s="1" t="s">
        <v>281</v>
      </c>
      <c r="F1771" s="1" t="s">
        <v>57</v>
      </c>
      <c r="G1771" s="1">
        <f t="shared" si="135"/>
        <v>2</v>
      </c>
      <c r="H1771" s="1" t="s">
        <v>58</v>
      </c>
      <c r="I1771" s="1" t="s">
        <v>49</v>
      </c>
      <c r="J1771" s="23" t="s">
        <v>50</v>
      </c>
      <c r="K1771" s="2" t="s">
        <v>51</v>
      </c>
      <c r="L1771" s="1">
        <v>72</v>
      </c>
      <c r="M1771" s="1">
        <v>14</v>
      </c>
      <c r="N1771" s="1" t="str">
        <f t="shared" si="138"/>
        <v>Published</v>
      </c>
      <c r="O1771" s="1">
        <f t="shared" si="136"/>
        <v>10.080000000000002</v>
      </c>
      <c r="P1771" s="1"/>
      <c r="Q1771" s="1">
        <v>948</v>
      </c>
      <c r="R1771" s="1" t="str">
        <f t="shared" si="139"/>
        <v>2</v>
      </c>
      <c r="S1771" s="1">
        <v>108</v>
      </c>
      <c r="T1771" s="1" t="str">
        <f t="shared" si="137"/>
        <v>1</v>
      </c>
      <c r="U1771" s="1">
        <v>-30.343091000000001</v>
      </c>
      <c r="V1771" s="3">
        <v>152.71033</v>
      </c>
    </row>
    <row r="1772" spans="1:22" x14ac:dyDescent="0.35">
      <c r="A1772" s="22" t="s">
        <v>5076</v>
      </c>
      <c r="B1772" s="1" t="s">
        <v>5077</v>
      </c>
      <c r="C1772" s="1" t="s">
        <v>2949</v>
      </c>
      <c r="D1772" s="1" t="s">
        <v>224</v>
      </c>
      <c r="E1772" s="1" t="s">
        <v>229</v>
      </c>
      <c r="F1772" s="1" t="s">
        <v>47</v>
      </c>
      <c r="G1772" s="1">
        <f t="shared" si="135"/>
        <v>1</v>
      </c>
      <c r="H1772" s="1" t="s">
        <v>48</v>
      </c>
      <c r="I1772" s="1" t="s">
        <v>49</v>
      </c>
      <c r="J1772" s="23" t="s">
        <v>50</v>
      </c>
      <c r="K1772" s="2" t="s">
        <v>51</v>
      </c>
      <c r="L1772" s="1">
        <v>373</v>
      </c>
      <c r="M1772" s="1">
        <v>2</v>
      </c>
      <c r="N1772" s="1" t="str">
        <f t="shared" si="138"/>
        <v>Published</v>
      </c>
      <c r="O1772" s="1">
        <f t="shared" si="136"/>
        <v>7.46</v>
      </c>
      <c r="P1772" s="1">
        <v>80</v>
      </c>
      <c r="Q1772" s="1">
        <v>1028</v>
      </c>
      <c r="R1772" s="1" t="str">
        <f t="shared" si="139"/>
        <v>3</v>
      </c>
      <c r="S1772" s="1">
        <v>78</v>
      </c>
      <c r="T1772" s="1" t="str">
        <f t="shared" si="137"/>
        <v>3</v>
      </c>
      <c r="U1772" s="1">
        <v>-33.940539999999999</v>
      </c>
      <c r="V1772" s="3">
        <v>151.14755</v>
      </c>
    </row>
    <row r="1773" spans="1:22" x14ac:dyDescent="0.35">
      <c r="A1773" s="22" t="s">
        <v>5078</v>
      </c>
      <c r="B1773" s="1" t="s">
        <v>5079</v>
      </c>
      <c r="C1773" s="1" t="s">
        <v>168</v>
      </c>
      <c r="D1773" s="1" t="s">
        <v>169</v>
      </c>
      <c r="E1773" s="1" t="s">
        <v>170</v>
      </c>
      <c r="F1773" s="1" t="s">
        <v>47</v>
      </c>
      <c r="G1773" s="1">
        <f t="shared" si="135"/>
        <v>1</v>
      </c>
      <c r="H1773" s="1" t="s">
        <v>48</v>
      </c>
      <c r="I1773" s="1" t="s">
        <v>49</v>
      </c>
      <c r="J1773" s="23" t="s">
        <v>50</v>
      </c>
      <c r="K1773" s="2" t="s">
        <v>51</v>
      </c>
      <c r="L1773" s="1">
        <v>486</v>
      </c>
      <c r="M1773" s="1"/>
      <c r="N1773" s="1" t="str">
        <f t="shared" si="138"/>
        <v>Suppressed</v>
      </c>
      <c r="O1773" s="1" t="str">
        <f t="shared" si="136"/>
        <v/>
      </c>
      <c r="P1773" s="1">
        <v>97</v>
      </c>
      <c r="Q1773" s="1">
        <v>983</v>
      </c>
      <c r="R1773" s="1" t="str">
        <f t="shared" si="139"/>
        <v>2</v>
      </c>
      <c r="S1773" s="1">
        <v>122</v>
      </c>
      <c r="T1773" s="1" t="str">
        <f t="shared" si="137"/>
        <v>3</v>
      </c>
      <c r="U1773" s="1">
        <v>-33.853999999999999</v>
      </c>
      <c r="V1773" s="3">
        <v>151.03295299999999</v>
      </c>
    </row>
    <row r="1774" spans="1:22" x14ac:dyDescent="0.35">
      <c r="A1774" s="22" t="s">
        <v>5080</v>
      </c>
      <c r="B1774" s="1" t="s">
        <v>5081</v>
      </c>
      <c r="C1774" s="1" t="s">
        <v>5082</v>
      </c>
      <c r="D1774" s="1" t="s">
        <v>115</v>
      </c>
      <c r="E1774" s="1" t="s">
        <v>46</v>
      </c>
      <c r="F1774" s="1" t="s">
        <v>47</v>
      </c>
      <c r="G1774" s="1">
        <f t="shared" si="135"/>
        <v>1</v>
      </c>
      <c r="H1774" s="1" t="s">
        <v>48</v>
      </c>
      <c r="I1774" s="1" t="s">
        <v>49</v>
      </c>
      <c r="J1774" s="23" t="s">
        <v>50</v>
      </c>
      <c r="K1774" s="2" t="s">
        <v>51</v>
      </c>
      <c r="L1774" s="1">
        <v>321</v>
      </c>
      <c r="M1774" s="1"/>
      <c r="N1774" s="1" t="str">
        <f t="shared" si="138"/>
        <v>Suppressed</v>
      </c>
      <c r="O1774" s="1" t="str">
        <f t="shared" si="136"/>
        <v/>
      </c>
      <c r="P1774" s="1">
        <v>38</v>
      </c>
      <c r="Q1774" s="1">
        <v>1172</v>
      </c>
      <c r="R1774" s="1" t="str">
        <f t="shared" si="139"/>
        <v>4</v>
      </c>
      <c r="S1774" s="1">
        <v>3</v>
      </c>
      <c r="T1774" s="1" t="str">
        <f t="shared" si="137"/>
        <v>3</v>
      </c>
      <c r="U1774" s="1">
        <v>-33.859166000000002</v>
      </c>
      <c r="V1774" s="3">
        <v>151.18341699999999</v>
      </c>
    </row>
    <row r="1775" spans="1:22" x14ac:dyDescent="0.35">
      <c r="A1775" s="22" t="s">
        <v>5083</v>
      </c>
      <c r="B1775" s="1" t="s">
        <v>5084</v>
      </c>
      <c r="C1775" s="1" t="s">
        <v>232</v>
      </c>
      <c r="D1775" s="1" t="s">
        <v>152</v>
      </c>
      <c r="E1775" s="1" t="s">
        <v>229</v>
      </c>
      <c r="F1775" s="1" t="s">
        <v>47</v>
      </c>
      <c r="G1775" s="1">
        <f t="shared" si="135"/>
        <v>1</v>
      </c>
      <c r="H1775" s="1" t="s">
        <v>182</v>
      </c>
      <c r="I1775" s="1" t="s">
        <v>49</v>
      </c>
      <c r="J1775" s="23" t="s">
        <v>50</v>
      </c>
      <c r="K1775" s="2" t="s">
        <v>51</v>
      </c>
      <c r="L1775" s="1">
        <v>736</v>
      </c>
      <c r="M1775" s="1">
        <v>1</v>
      </c>
      <c r="N1775" s="1" t="str">
        <f t="shared" si="138"/>
        <v>Published</v>
      </c>
      <c r="O1775" s="1">
        <f t="shared" si="136"/>
        <v>7.36</v>
      </c>
      <c r="P1775" s="1">
        <v>98</v>
      </c>
      <c r="Q1775" s="1">
        <v>965</v>
      </c>
      <c r="R1775" s="1" t="str">
        <f t="shared" si="139"/>
        <v>2</v>
      </c>
      <c r="S1775" s="1">
        <v>134</v>
      </c>
      <c r="T1775" s="1" t="str">
        <f t="shared" si="137"/>
        <v>4</v>
      </c>
      <c r="U1775" s="1">
        <v>-33.921121999999997</v>
      </c>
      <c r="V1775" s="3">
        <v>151.03416799999999</v>
      </c>
    </row>
    <row r="1776" spans="1:22" x14ac:dyDescent="0.35">
      <c r="A1776" s="22" t="s">
        <v>5085</v>
      </c>
      <c r="B1776" s="1" t="s">
        <v>5086</v>
      </c>
      <c r="C1776" s="1" t="s">
        <v>741</v>
      </c>
      <c r="D1776" s="1" t="s">
        <v>224</v>
      </c>
      <c r="E1776" s="1" t="s">
        <v>229</v>
      </c>
      <c r="F1776" s="1" t="s">
        <v>47</v>
      </c>
      <c r="G1776" s="1">
        <f t="shared" si="135"/>
        <v>1</v>
      </c>
      <c r="H1776" s="1" t="s">
        <v>48</v>
      </c>
      <c r="I1776" s="1" t="s">
        <v>49</v>
      </c>
      <c r="J1776" s="23" t="s">
        <v>50</v>
      </c>
      <c r="K1776" s="2" t="s">
        <v>51</v>
      </c>
      <c r="L1776" s="1">
        <v>249</v>
      </c>
      <c r="M1776" s="1"/>
      <c r="N1776" s="1" t="str">
        <f t="shared" si="138"/>
        <v>Suppressed</v>
      </c>
      <c r="O1776" s="1" t="str">
        <f t="shared" si="136"/>
        <v/>
      </c>
      <c r="P1776" s="1">
        <v>81</v>
      </c>
      <c r="Q1776" s="1">
        <v>1005</v>
      </c>
      <c r="R1776" s="1" t="str">
        <f t="shared" si="139"/>
        <v>3</v>
      </c>
      <c r="S1776" s="1">
        <v>106</v>
      </c>
      <c r="T1776" s="1" t="str">
        <f t="shared" si="137"/>
        <v>2</v>
      </c>
      <c r="U1776" s="1">
        <v>-33.947687000000002</v>
      </c>
      <c r="V1776" s="3">
        <v>151.128861</v>
      </c>
    </row>
    <row r="1777" spans="1:22" x14ac:dyDescent="0.35">
      <c r="A1777" s="22" t="s">
        <v>5087</v>
      </c>
      <c r="B1777" s="1" t="s">
        <v>5088</v>
      </c>
      <c r="C1777" s="1" t="s">
        <v>5089</v>
      </c>
      <c r="D1777" s="1" t="s">
        <v>502</v>
      </c>
      <c r="E1777" s="1" t="s">
        <v>330</v>
      </c>
      <c r="F1777" s="1" t="s">
        <v>47</v>
      </c>
      <c r="G1777" s="1">
        <f t="shared" si="135"/>
        <v>1</v>
      </c>
      <c r="H1777" s="1" t="s">
        <v>48</v>
      </c>
      <c r="I1777" s="1" t="s">
        <v>49</v>
      </c>
      <c r="J1777" s="23" t="s">
        <v>50</v>
      </c>
      <c r="K1777" s="2" t="s">
        <v>51</v>
      </c>
      <c r="L1777" s="1">
        <v>464</v>
      </c>
      <c r="M1777" s="1">
        <v>2</v>
      </c>
      <c r="N1777" s="1" t="str">
        <f t="shared" si="138"/>
        <v>Published</v>
      </c>
      <c r="O1777" s="1">
        <f t="shared" si="136"/>
        <v>9.2799999999999994</v>
      </c>
      <c r="P1777" s="1">
        <v>32</v>
      </c>
      <c r="Q1777" s="1">
        <v>1139</v>
      </c>
      <c r="R1777" s="1" t="str">
        <f t="shared" si="139"/>
        <v>4</v>
      </c>
      <c r="S1777" s="1">
        <v>10</v>
      </c>
      <c r="T1777" s="1" t="str">
        <f t="shared" si="137"/>
        <v>3</v>
      </c>
      <c r="U1777" s="1">
        <v>-33.892625000000002</v>
      </c>
      <c r="V1777" s="3">
        <v>151.26475300000001</v>
      </c>
    </row>
    <row r="1778" spans="1:22" x14ac:dyDescent="0.35">
      <c r="A1778" s="22" t="s">
        <v>5090</v>
      </c>
      <c r="B1778" s="1" t="s">
        <v>5091</v>
      </c>
      <c r="C1778" s="1" t="s">
        <v>3329</v>
      </c>
      <c r="D1778" s="1" t="s">
        <v>1003</v>
      </c>
      <c r="E1778" s="1" t="s">
        <v>225</v>
      </c>
      <c r="F1778" s="1" t="s">
        <v>47</v>
      </c>
      <c r="G1778" s="1">
        <f t="shared" si="135"/>
        <v>1</v>
      </c>
      <c r="H1778" s="1" t="s">
        <v>48</v>
      </c>
      <c r="I1778" s="1" t="s">
        <v>49</v>
      </c>
      <c r="J1778" s="23" t="s">
        <v>50</v>
      </c>
      <c r="K1778" s="2" t="s">
        <v>51</v>
      </c>
      <c r="L1778" s="1">
        <v>381</v>
      </c>
      <c r="M1778" s="1">
        <v>2</v>
      </c>
      <c r="N1778" s="1" t="str">
        <f t="shared" si="138"/>
        <v>Published</v>
      </c>
      <c r="O1778" s="1">
        <f t="shared" si="136"/>
        <v>7.62</v>
      </c>
      <c r="P1778" s="1">
        <v>40</v>
      </c>
      <c r="Q1778" s="1">
        <v>1135</v>
      </c>
      <c r="R1778" s="1" t="str">
        <f t="shared" si="139"/>
        <v>4</v>
      </c>
      <c r="S1778" s="1">
        <v>8</v>
      </c>
      <c r="T1778" s="1" t="str">
        <f t="shared" si="137"/>
        <v>3</v>
      </c>
      <c r="U1778" s="1">
        <v>-33.890534000000002</v>
      </c>
      <c r="V1778" s="3">
        <v>151.21573699999999</v>
      </c>
    </row>
    <row r="1779" spans="1:22" x14ac:dyDescent="0.35">
      <c r="A1779" s="22" t="s">
        <v>5092</v>
      </c>
      <c r="B1779" s="1" t="s">
        <v>5093</v>
      </c>
      <c r="C1779" s="1" t="s">
        <v>5094</v>
      </c>
      <c r="D1779" s="1" t="s">
        <v>146</v>
      </c>
      <c r="E1779" s="1" t="s">
        <v>147</v>
      </c>
      <c r="F1779" s="1" t="s">
        <v>47</v>
      </c>
      <c r="G1779" s="1">
        <f t="shared" si="135"/>
        <v>1</v>
      </c>
      <c r="H1779" s="1" t="s">
        <v>148</v>
      </c>
      <c r="I1779" s="1" t="s">
        <v>49</v>
      </c>
      <c r="J1779" s="23" t="s">
        <v>50</v>
      </c>
      <c r="K1779" s="2" t="s">
        <v>51</v>
      </c>
      <c r="L1779" s="1">
        <v>1083</v>
      </c>
      <c r="M1779" s="1"/>
      <c r="N1779" s="1" t="str">
        <f t="shared" si="138"/>
        <v>Suppressed</v>
      </c>
      <c r="O1779" s="1" t="str">
        <f t="shared" si="136"/>
        <v/>
      </c>
      <c r="P1779" s="1">
        <v>92</v>
      </c>
      <c r="Q1779" s="1">
        <v>1143</v>
      </c>
      <c r="R1779" s="1" t="str">
        <f t="shared" si="139"/>
        <v>4</v>
      </c>
      <c r="S1779" s="1">
        <v>8</v>
      </c>
      <c r="T1779" s="1" t="str">
        <f t="shared" si="137"/>
        <v>5</v>
      </c>
      <c r="U1779" s="1">
        <v>-33.798242000000002</v>
      </c>
      <c r="V1779" s="3">
        <v>151.17759000000001</v>
      </c>
    </row>
    <row r="1780" spans="1:22" x14ac:dyDescent="0.35">
      <c r="A1780" s="22" t="s">
        <v>5095</v>
      </c>
      <c r="B1780" s="1" t="s">
        <v>5096</v>
      </c>
      <c r="C1780" s="1" t="s">
        <v>5097</v>
      </c>
      <c r="D1780" s="1" t="s">
        <v>659</v>
      </c>
      <c r="E1780" s="1" t="s">
        <v>46</v>
      </c>
      <c r="F1780" s="1" t="s">
        <v>47</v>
      </c>
      <c r="G1780" s="1">
        <f t="shared" si="135"/>
        <v>1</v>
      </c>
      <c r="H1780" s="1" t="s">
        <v>48</v>
      </c>
      <c r="I1780" s="1" t="s">
        <v>49</v>
      </c>
      <c r="J1780" s="23" t="s">
        <v>50</v>
      </c>
      <c r="K1780" s="2" t="s">
        <v>51</v>
      </c>
      <c r="L1780" s="1">
        <v>576</v>
      </c>
      <c r="M1780" s="1"/>
      <c r="N1780" s="1" t="str">
        <f t="shared" si="138"/>
        <v>Suppressed</v>
      </c>
      <c r="O1780" s="1" t="str">
        <f t="shared" si="136"/>
        <v/>
      </c>
      <c r="P1780" s="1">
        <v>64</v>
      </c>
      <c r="Q1780" s="1">
        <v>1119</v>
      </c>
      <c r="R1780" s="1" t="str">
        <f t="shared" si="139"/>
        <v>4</v>
      </c>
      <c r="S1780" s="1">
        <v>23</v>
      </c>
      <c r="T1780" s="1" t="str">
        <f t="shared" si="137"/>
        <v>3</v>
      </c>
      <c r="U1780" s="1">
        <v>-33.879792999999999</v>
      </c>
      <c r="V1780" s="3">
        <v>151.11488700000001</v>
      </c>
    </row>
    <row r="1781" spans="1:22" x14ac:dyDescent="0.35">
      <c r="A1781" s="22" t="s">
        <v>5098</v>
      </c>
      <c r="B1781" s="1" t="s">
        <v>5099</v>
      </c>
      <c r="C1781" s="1" t="s">
        <v>5100</v>
      </c>
      <c r="D1781" s="1" t="s">
        <v>659</v>
      </c>
      <c r="E1781" s="1" t="s">
        <v>46</v>
      </c>
      <c r="F1781" s="1" t="s">
        <v>47</v>
      </c>
      <c r="G1781" s="1">
        <f t="shared" si="135"/>
        <v>1</v>
      </c>
      <c r="H1781" s="1" t="s">
        <v>48</v>
      </c>
      <c r="I1781" s="1" t="s">
        <v>49</v>
      </c>
      <c r="J1781" s="23" t="s">
        <v>50</v>
      </c>
      <c r="K1781" s="2" t="s">
        <v>51</v>
      </c>
      <c r="L1781" s="1">
        <v>325</v>
      </c>
      <c r="M1781" s="1">
        <v>2</v>
      </c>
      <c r="N1781" s="1" t="str">
        <f t="shared" si="138"/>
        <v>Published</v>
      </c>
      <c r="O1781" s="1">
        <f t="shared" si="136"/>
        <v>6.5</v>
      </c>
      <c r="P1781" s="1">
        <v>65</v>
      </c>
      <c r="Q1781" s="1">
        <v>1077</v>
      </c>
      <c r="R1781" s="1" t="str">
        <f t="shared" si="139"/>
        <v>3</v>
      </c>
      <c r="S1781" s="1">
        <v>54</v>
      </c>
      <c r="T1781" s="1" t="str">
        <f t="shared" si="137"/>
        <v>3</v>
      </c>
      <c r="U1781" s="1">
        <v>-33.894694999999999</v>
      </c>
      <c r="V1781" s="3">
        <v>151.108395</v>
      </c>
    </row>
    <row r="1782" spans="1:22" x14ac:dyDescent="0.35">
      <c r="A1782" s="22" t="s">
        <v>5101</v>
      </c>
      <c r="B1782" s="1" t="s">
        <v>5102</v>
      </c>
      <c r="C1782" s="1" t="s">
        <v>5103</v>
      </c>
      <c r="D1782" s="1" t="s">
        <v>224</v>
      </c>
      <c r="E1782" s="1" t="s">
        <v>225</v>
      </c>
      <c r="F1782" s="1" t="s">
        <v>47</v>
      </c>
      <c r="G1782" s="1">
        <f t="shared" si="135"/>
        <v>1</v>
      </c>
      <c r="H1782" s="1" t="s">
        <v>48</v>
      </c>
      <c r="I1782" s="1" t="s">
        <v>49</v>
      </c>
      <c r="J1782" s="23" t="s">
        <v>50</v>
      </c>
      <c r="K1782" s="2" t="s">
        <v>51</v>
      </c>
      <c r="L1782" s="1">
        <v>126</v>
      </c>
      <c r="M1782" s="1">
        <v>16</v>
      </c>
      <c r="N1782" s="1" t="str">
        <f t="shared" si="138"/>
        <v>Published</v>
      </c>
      <c r="O1782" s="1">
        <f t="shared" si="136"/>
        <v>20.16</v>
      </c>
      <c r="P1782" s="1">
        <v>38</v>
      </c>
      <c r="Q1782" s="1">
        <v>1029</v>
      </c>
      <c r="R1782" s="1" t="str">
        <f t="shared" si="139"/>
        <v>3</v>
      </c>
      <c r="S1782" s="1">
        <v>75</v>
      </c>
      <c r="T1782" s="1" t="str">
        <f t="shared" si="137"/>
        <v>2</v>
      </c>
      <c r="U1782" s="1">
        <v>-33.929547999999997</v>
      </c>
      <c r="V1782" s="3">
        <v>151.22798399999999</v>
      </c>
    </row>
    <row r="1783" spans="1:22" x14ac:dyDescent="0.35">
      <c r="A1783" s="22" t="s">
        <v>5104</v>
      </c>
      <c r="B1783" s="1" t="s">
        <v>5105</v>
      </c>
      <c r="C1783" s="1" t="s">
        <v>5106</v>
      </c>
      <c r="D1783" s="1" t="s">
        <v>1003</v>
      </c>
      <c r="E1783" s="1" t="s">
        <v>225</v>
      </c>
      <c r="F1783" s="1" t="s">
        <v>47</v>
      </c>
      <c r="G1783" s="1">
        <f t="shared" si="135"/>
        <v>1</v>
      </c>
      <c r="H1783" s="1" t="s">
        <v>48</v>
      </c>
      <c r="I1783" s="1" t="s">
        <v>49</v>
      </c>
      <c r="J1783" s="23" t="s">
        <v>50</v>
      </c>
      <c r="K1783" s="2" t="s">
        <v>51</v>
      </c>
      <c r="L1783" s="1">
        <v>210</v>
      </c>
      <c r="M1783" s="1"/>
      <c r="N1783" s="1" t="str">
        <f t="shared" si="138"/>
        <v>Suppressed</v>
      </c>
      <c r="O1783" s="1" t="str">
        <f t="shared" si="136"/>
        <v/>
      </c>
      <c r="P1783" s="1">
        <v>33</v>
      </c>
      <c r="Q1783" s="1">
        <v>1156</v>
      </c>
      <c r="R1783" s="1" t="str">
        <f t="shared" si="139"/>
        <v>4</v>
      </c>
      <c r="S1783" s="1">
        <v>3</v>
      </c>
      <c r="T1783" s="1" t="str">
        <f t="shared" si="137"/>
        <v>2</v>
      </c>
      <c r="U1783" s="1">
        <v>-33.878599000000001</v>
      </c>
      <c r="V1783" s="3">
        <v>151.223432</v>
      </c>
    </row>
    <row r="1784" spans="1:22" x14ac:dyDescent="0.35">
      <c r="A1784" s="22" t="s">
        <v>5107</v>
      </c>
      <c r="B1784" s="1" t="s">
        <v>5108</v>
      </c>
      <c r="C1784" s="1" t="s">
        <v>3217</v>
      </c>
      <c r="D1784" s="1" t="s">
        <v>1155</v>
      </c>
      <c r="E1784" s="1" t="s">
        <v>306</v>
      </c>
      <c r="F1784" s="1" t="s">
        <v>47</v>
      </c>
      <c r="G1784" s="1">
        <f t="shared" si="135"/>
        <v>1</v>
      </c>
      <c r="H1784" s="1" t="s">
        <v>148</v>
      </c>
      <c r="I1784" s="1" t="s">
        <v>49</v>
      </c>
      <c r="J1784" s="23" t="s">
        <v>50</v>
      </c>
      <c r="K1784" s="2" t="s">
        <v>51</v>
      </c>
      <c r="L1784" s="1">
        <v>701</v>
      </c>
      <c r="M1784" s="1"/>
      <c r="N1784" s="1" t="str">
        <f t="shared" si="138"/>
        <v>Suppressed</v>
      </c>
      <c r="O1784" s="1" t="str">
        <f t="shared" si="136"/>
        <v/>
      </c>
      <c r="P1784" s="1">
        <v>95</v>
      </c>
      <c r="Q1784" s="1">
        <v>1108</v>
      </c>
      <c r="R1784" s="1" t="str">
        <f t="shared" si="139"/>
        <v>4</v>
      </c>
      <c r="S1784" s="1">
        <v>19</v>
      </c>
      <c r="T1784" s="1" t="str">
        <f t="shared" si="137"/>
        <v>4</v>
      </c>
      <c r="U1784" s="1">
        <v>-33.792743000000002</v>
      </c>
      <c r="V1784" s="3">
        <v>151.078474</v>
      </c>
    </row>
    <row r="1785" spans="1:22" x14ac:dyDescent="0.35">
      <c r="A1785" s="22" t="s">
        <v>5109</v>
      </c>
      <c r="B1785" s="1" t="s">
        <v>5110</v>
      </c>
      <c r="C1785" s="1" t="s">
        <v>5111</v>
      </c>
      <c r="D1785" s="1" t="s">
        <v>1003</v>
      </c>
      <c r="E1785" s="1" t="s">
        <v>225</v>
      </c>
      <c r="F1785" s="1" t="s">
        <v>47</v>
      </c>
      <c r="G1785" s="1">
        <f t="shared" si="135"/>
        <v>1</v>
      </c>
      <c r="H1785" s="1" t="s">
        <v>48</v>
      </c>
      <c r="I1785" s="1" t="s">
        <v>49</v>
      </c>
      <c r="J1785" s="23" t="s">
        <v>50</v>
      </c>
      <c r="K1785" s="2" t="s">
        <v>51</v>
      </c>
      <c r="L1785" s="1">
        <v>393</v>
      </c>
      <c r="M1785" s="1">
        <v>6</v>
      </c>
      <c r="N1785" s="1" t="str">
        <f t="shared" si="138"/>
        <v>Published</v>
      </c>
      <c r="O1785" s="1">
        <f t="shared" si="136"/>
        <v>23.58</v>
      </c>
      <c r="P1785" s="1">
        <v>65</v>
      </c>
      <c r="Q1785" s="1">
        <v>1058</v>
      </c>
      <c r="R1785" s="1" t="str">
        <f t="shared" si="139"/>
        <v>3</v>
      </c>
      <c r="S1785" s="1">
        <v>50</v>
      </c>
      <c r="T1785" s="1" t="str">
        <f t="shared" si="137"/>
        <v>3</v>
      </c>
      <c r="U1785" s="1">
        <v>-33.920642999999998</v>
      </c>
      <c r="V1785" s="3">
        <v>151.19803400000001</v>
      </c>
    </row>
    <row r="1786" spans="1:22" x14ac:dyDescent="0.35">
      <c r="A1786" s="22" t="s">
        <v>5112</v>
      </c>
      <c r="B1786" s="1" t="s">
        <v>5113</v>
      </c>
      <c r="C1786" s="1" t="s">
        <v>5114</v>
      </c>
      <c r="D1786" s="1" t="s">
        <v>1003</v>
      </c>
      <c r="E1786" s="1" t="s">
        <v>225</v>
      </c>
      <c r="F1786" s="1" t="s">
        <v>47</v>
      </c>
      <c r="G1786" s="1">
        <f t="shared" si="135"/>
        <v>1</v>
      </c>
      <c r="H1786" s="1" t="s">
        <v>48</v>
      </c>
      <c r="I1786" s="1" t="s">
        <v>49</v>
      </c>
      <c r="J1786" s="23" t="s">
        <v>50</v>
      </c>
      <c r="K1786" s="2" t="s">
        <v>51</v>
      </c>
      <c r="L1786" s="1">
        <v>193</v>
      </c>
      <c r="M1786" s="1">
        <v>26</v>
      </c>
      <c r="N1786" s="1" t="str">
        <f t="shared" si="138"/>
        <v>Published</v>
      </c>
      <c r="O1786" s="1">
        <f t="shared" si="136"/>
        <v>50.18</v>
      </c>
      <c r="P1786" s="1">
        <v>63</v>
      </c>
      <c r="Q1786" s="1">
        <v>982</v>
      </c>
      <c r="R1786" s="1" t="str">
        <f t="shared" si="139"/>
        <v>2</v>
      </c>
      <c r="S1786" s="1">
        <v>91</v>
      </c>
      <c r="T1786" s="1" t="str">
        <f t="shared" si="137"/>
        <v>2</v>
      </c>
      <c r="U1786" s="1">
        <v>-33.883685</v>
      </c>
      <c r="V1786" s="3">
        <v>151.19096999999999</v>
      </c>
    </row>
    <row r="1787" spans="1:22" x14ac:dyDescent="0.35">
      <c r="A1787" s="22" t="s">
        <v>5115</v>
      </c>
      <c r="B1787" s="1" t="s">
        <v>5116</v>
      </c>
      <c r="C1787" s="1" t="s">
        <v>5117</v>
      </c>
      <c r="D1787" s="1" t="s">
        <v>74</v>
      </c>
      <c r="E1787" s="1" t="s">
        <v>75</v>
      </c>
      <c r="F1787" s="1" t="s">
        <v>47</v>
      </c>
      <c r="G1787" s="1">
        <f t="shared" si="135"/>
        <v>1</v>
      </c>
      <c r="H1787" s="1" t="s">
        <v>63</v>
      </c>
      <c r="I1787" s="1" t="s">
        <v>49</v>
      </c>
      <c r="J1787" s="23" t="s">
        <v>50</v>
      </c>
      <c r="K1787" s="2" t="s">
        <v>51</v>
      </c>
      <c r="L1787" s="1">
        <v>306</v>
      </c>
      <c r="M1787" s="1">
        <v>5</v>
      </c>
      <c r="N1787" s="1" t="str">
        <f t="shared" si="138"/>
        <v>Published</v>
      </c>
      <c r="O1787" s="1">
        <f t="shared" si="136"/>
        <v>15.3</v>
      </c>
      <c r="P1787" s="1">
        <v>23</v>
      </c>
      <c r="Q1787" s="1">
        <v>1106</v>
      </c>
      <c r="R1787" s="1" t="str">
        <f t="shared" si="139"/>
        <v>4</v>
      </c>
      <c r="S1787" s="1">
        <v>30</v>
      </c>
      <c r="T1787" s="1" t="str">
        <f t="shared" si="137"/>
        <v>3</v>
      </c>
      <c r="U1787" s="1">
        <v>-32.924140999999999</v>
      </c>
      <c r="V1787" s="3">
        <v>151.74331000000001</v>
      </c>
    </row>
    <row r="1788" spans="1:22" x14ac:dyDescent="0.35">
      <c r="A1788" s="22" t="s">
        <v>5118</v>
      </c>
      <c r="B1788" s="1" t="s">
        <v>5119</v>
      </c>
      <c r="C1788" s="1" t="s">
        <v>5120</v>
      </c>
      <c r="D1788" s="1" t="s">
        <v>62</v>
      </c>
      <c r="E1788" s="1" t="s">
        <v>56</v>
      </c>
      <c r="F1788" s="1" t="s">
        <v>47</v>
      </c>
      <c r="G1788" s="1">
        <f t="shared" si="135"/>
        <v>1</v>
      </c>
      <c r="H1788" s="1" t="s">
        <v>63</v>
      </c>
      <c r="I1788" s="1" t="s">
        <v>49</v>
      </c>
      <c r="J1788" s="23" t="s">
        <v>50</v>
      </c>
      <c r="K1788" s="2" t="s">
        <v>51</v>
      </c>
      <c r="L1788" s="1">
        <v>574</v>
      </c>
      <c r="M1788" s="1">
        <v>27</v>
      </c>
      <c r="N1788" s="1" t="str">
        <f t="shared" si="138"/>
        <v>Published</v>
      </c>
      <c r="O1788" s="1">
        <f t="shared" si="136"/>
        <v>154.98000000000002</v>
      </c>
      <c r="P1788" s="1">
        <v>3</v>
      </c>
      <c r="Q1788" s="1">
        <v>891</v>
      </c>
      <c r="R1788" s="1" t="str">
        <f t="shared" si="139"/>
        <v>1</v>
      </c>
      <c r="S1788" s="1">
        <v>146</v>
      </c>
      <c r="T1788" s="1" t="str">
        <f t="shared" si="137"/>
        <v>3</v>
      </c>
      <c r="U1788" s="1">
        <v>-32.821098999999997</v>
      </c>
      <c r="V1788" s="3">
        <v>151.47815600000001</v>
      </c>
    </row>
    <row r="1789" spans="1:22" x14ac:dyDescent="0.35">
      <c r="A1789" s="22" t="s">
        <v>5121</v>
      </c>
      <c r="B1789" s="1" t="s">
        <v>5122</v>
      </c>
      <c r="C1789" s="1" t="s">
        <v>1617</v>
      </c>
      <c r="D1789" s="1" t="s">
        <v>115</v>
      </c>
      <c r="E1789" s="1" t="s">
        <v>46</v>
      </c>
      <c r="F1789" s="1" t="s">
        <v>47</v>
      </c>
      <c r="G1789" s="1">
        <f t="shared" si="135"/>
        <v>1</v>
      </c>
      <c r="H1789" s="1" t="s">
        <v>48</v>
      </c>
      <c r="I1789" s="1" t="s">
        <v>49</v>
      </c>
      <c r="J1789" s="23" t="s">
        <v>50</v>
      </c>
      <c r="K1789" s="2" t="s">
        <v>51</v>
      </c>
      <c r="L1789" s="1">
        <v>532</v>
      </c>
      <c r="M1789" s="1">
        <v>4</v>
      </c>
      <c r="N1789" s="1" t="str">
        <f t="shared" si="138"/>
        <v>Published</v>
      </c>
      <c r="O1789" s="1">
        <f t="shared" si="136"/>
        <v>21.28</v>
      </c>
      <c r="P1789" s="1">
        <v>32</v>
      </c>
      <c r="Q1789" s="1">
        <v>1122</v>
      </c>
      <c r="R1789" s="1" t="str">
        <f t="shared" si="139"/>
        <v>4</v>
      </c>
      <c r="S1789" s="1">
        <v>16</v>
      </c>
      <c r="T1789" s="1" t="str">
        <f t="shared" si="137"/>
        <v>3</v>
      </c>
      <c r="U1789" s="1">
        <v>-33.884270000000001</v>
      </c>
      <c r="V1789" s="3">
        <v>151.15814</v>
      </c>
    </row>
    <row r="1790" spans="1:22" x14ac:dyDescent="0.35">
      <c r="A1790" s="22" t="s">
        <v>5123</v>
      </c>
      <c r="B1790" s="1" t="s">
        <v>5124</v>
      </c>
      <c r="C1790" s="1" t="s">
        <v>180</v>
      </c>
      <c r="D1790" s="1" t="s">
        <v>180</v>
      </c>
      <c r="E1790" s="1" t="s">
        <v>181</v>
      </c>
      <c r="F1790" s="1" t="s">
        <v>47</v>
      </c>
      <c r="G1790" s="1">
        <f t="shared" si="135"/>
        <v>1</v>
      </c>
      <c r="H1790" s="1" t="s">
        <v>182</v>
      </c>
      <c r="I1790" s="1" t="s">
        <v>49</v>
      </c>
      <c r="J1790" s="23" t="s">
        <v>50</v>
      </c>
      <c r="K1790" s="2" t="s">
        <v>51</v>
      </c>
      <c r="L1790" s="1">
        <v>562</v>
      </c>
      <c r="M1790" s="1"/>
      <c r="N1790" s="1" t="str">
        <f t="shared" si="138"/>
        <v>Suppressed</v>
      </c>
      <c r="O1790" s="1" t="str">
        <f t="shared" si="136"/>
        <v/>
      </c>
      <c r="P1790" s="1">
        <v>93</v>
      </c>
      <c r="Q1790" s="1">
        <v>960</v>
      </c>
      <c r="R1790" s="1" t="str">
        <f t="shared" si="139"/>
        <v>2</v>
      </c>
      <c r="S1790" s="1">
        <v>145</v>
      </c>
      <c r="T1790" s="1" t="str">
        <f t="shared" si="137"/>
        <v>3</v>
      </c>
      <c r="U1790" s="1">
        <v>-33.923572</v>
      </c>
      <c r="V1790" s="3">
        <v>150.92592400000001</v>
      </c>
    </row>
    <row r="1791" spans="1:22" x14ac:dyDescent="0.35">
      <c r="A1791" s="22" t="s">
        <v>5125</v>
      </c>
      <c r="B1791" s="1" t="s">
        <v>5126</v>
      </c>
      <c r="C1791" s="1" t="s">
        <v>1853</v>
      </c>
      <c r="D1791" s="1" t="s">
        <v>876</v>
      </c>
      <c r="E1791" s="1" t="s">
        <v>330</v>
      </c>
      <c r="F1791" s="1" t="s">
        <v>47</v>
      </c>
      <c r="G1791" s="1">
        <f t="shared" si="135"/>
        <v>1</v>
      </c>
      <c r="H1791" s="1" t="s">
        <v>48</v>
      </c>
      <c r="I1791" s="1" t="s">
        <v>49</v>
      </c>
      <c r="J1791" s="23" t="s">
        <v>50</v>
      </c>
      <c r="K1791" s="2" t="s">
        <v>51</v>
      </c>
      <c r="L1791" s="1">
        <v>484</v>
      </c>
      <c r="M1791" s="1"/>
      <c r="N1791" s="1" t="str">
        <f t="shared" si="138"/>
        <v>Suppressed</v>
      </c>
      <c r="O1791" s="1" t="str">
        <f t="shared" si="136"/>
        <v/>
      </c>
      <c r="P1791" s="1">
        <v>50</v>
      </c>
      <c r="Q1791" s="1">
        <v>1128</v>
      </c>
      <c r="R1791" s="1" t="str">
        <f t="shared" si="139"/>
        <v>4</v>
      </c>
      <c r="S1791" s="1">
        <v>19</v>
      </c>
      <c r="T1791" s="1" t="str">
        <f t="shared" si="137"/>
        <v>3</v>
      </c>
      <c r="U1791" s="1">
        <v>-33.937027059999998</v>
      </c>
      <c r="V1791" s="3">
        <v>151.23972889999999</v>
      </c>
    </row>
    <row r="1792" spans="1:22" x14ac:dyDescent="0.35">
      <c r="A1792" s="22" t="s">
        <v>5127</v>
      </c>
      <c r="B1792" s="1" t="s">
        <v>5128</v>
      </c>
      <c r="C1792" s="1" t="s">
        <v>1939</v>
      </c>
      <c r="D1792" s="1" t="s">
        <v>1939</v>
      </c>
      <c r="E1792" s="1" t="s">
        <v>147</v>
      </c>
      <c r="F1792" s="1" t="s">
        <v>47</v>
      </c>
      <c r="G1792" s="1">
        <f t="shared" si="135"/>
        <v>1</v>
      </c>
      <c r="H1792" s="1" t="s">
        <v>148</v>
      </c>
      <c r="I1792" s="1" t="s">
        <v>49</v>
      </c>
      <c r="J1792" s="23" t="s">
        <v>50</v>
      </c>
      <c r="K1792" s="2" t="s">
        <v>51</v>
      </c>
      <c r="L1792" s="1">
        <v>458</v>
      </c>
      <c r="M1792" s="1"/>
      <c r="N1792" s="1" t="str">
        <f t="shared" si="138"/>
        <v>Suppressed</v>
      </c>
      <c r="O1792" s="1" t="str">
        <f t="shared" si="136"/>
        <v/>
      </c>
      <c r="P1792" s="1">
        <v>33</v>
      </c>
      <c r="Q1792" s="1">
        <v>1157</v>
      </c>
      <c r="R1792" s="1" t="str">
        <f t="shared" si="139"/>
        <v>4</v>
      </c>
      <c r="S1792" s="1">
        <v>6</v>
      </c>
      <c r="T1792" s="1" t="str">
        <f t="shared" si="137"/>
        <v>3</v>
      </c>
      <c r="U1792" s="1">
        <v>-33.828052</v>
      </c>
      <c r="V1792" s="3">
        <v>151.241198</v>
      </c>
    </row>
    <row r="1793" spans="1:22" x14ac:dyDescent="0.35">
      <c r="A1793" s="22" t="s">
        <v>5129</v>
      </c>
      <c r="B1793" s="1" t="s">
        <v>5130</v>
      </c>
      <c r="C1793" s="1" t="s">
        <v>681</v>
      </c>
      <c r="D1793" s="1" t="s">
        <v>1003</v>
      </c>
      <c r="E1793" s="1" t="s">
        <v>225</v>
      </c>
      <c r="F1793" s="1" t="s">
        <v>47</v>
      </c>
      <c r="G1793" s="1">
        <f t="shared" si="135"/>
        <v>1</v>
      </c>
      <c r="H1793" s="1" t="s">
        <v>48</v>
      </c>
      <c r="I1793" s="1" t="s">
        <v>49</v>
      </c>
      <c r="J1793" s="23" t="s">
        <v>50</v>
      </c>
      <c r="K1793" s="2" t="s">
        <v>51</v>
      </c>
      <c r="L1793" s="1">
        <v>272</v>
      </c>
      <c r="M1793" s="1">
        <v>2</v>
      </c>
      <c r="N1793" s="1" t="str">
        <f t="shared" si="138"/>
        <v>Published</v>
      </c>
      <c r="O1793" s="1">
        <f t="shared" si="136"/>
        <v>5.44</v>
      </c>
      <c r="P1793" s="1">
        <v>25</v>
      </c>
      <c r="Q1793" s="1">
        <v>1140</v>
      </c>
      <c r="R1793" s="1" t="str">
        <f t="shared" si="139"/>
        <v>4</v>
      </c>
      <c r="S1793" s="1">
        <v>14</v>
      </c>
      <c r="T1793" s="1" t="str">
        <f t="shared" si="137"/>
        <v>2</v>
      </c>
      <c r="U1793" s="1">
        <v>-33.899991</v>
      </c>
      <c r="V1793" s="3">
        <v>151.179405</v>
      </c>
    </row>
    <row r="1794" spans="1:22" x14ac:dyDescent="0.35">
      <c r="A1794" s="22" t="s">
        <v>5131</v>
      </c>
      <c r="B1794" s="1" t="s">
        <v>5132</v>
      </c>
      <c r="C1794" s="1" t="s">
        <v>1301</v>
      </c>
      <c r="D1794" s="1" t="s">
        <v>1003</v>
      </c>
      <c r="E1794" s="1" t="s">
        <v>330</v>
      </c>
      <c r="F1794" s="1" t="s">
        <v>47</v>
      </c>
      <c r="G1794" s="1">
        <f t="shared" ref="G1794:G1857" si="140">IF(F1794="Major Cities of Australia",1,IF(F1794="Inner Regional Australia",2,IF(F1794="Outer Regional Australia",3,IF(F1794="Remote Australia",4,IF(F1794="Very Remote Australia",5,6)))))</f>
        <v>1</v>
      </c>
      <c r="H1794" s="1" t="s">
        <v>48</v>
      </c>
      <c r="I1794" s="1" t="s">
        <v>49</v>
      </c>
      <c r="J1794" s="23" t="s">
        <v>50</v>
      </c>
      <c r="K1794" s="2" t="s">
        <v>51</v>
      </c>
      <c r="L1794" s="1">
        <v>147</v>
      </c>
      <c r="M1794" s="1">
        <v>0</v>
      </c>
      <c r="N1794" s="1" t="str">
        <f t="shared" si="138"/>
        <v>Published</v>
      </c>
      <c r="O1794" s="1">
        <f t="shared" ref="O1794:O1857" si="141">IF(OR(M1794="",L1794=""),"",M1794/100*L1794)</f>
        <v>0</v>
      </c>
      <c r="P1794" s="1">
        <v>41</v>
      </c>
      <c r="Q1794" s="1">
        <v>1155</v>
      </c>
      <c r="R1794" s="1" t="str">
        <f t="shared" si="139"/>
        <v>4</v>
      </c>
      <c r="S1794" s="1">
        <v>7</v>
      </c>
      <c r="T1794" s="1" t="str">
        <f t="shared" ref="T1794:T1857" si="142">IF(L1794="","No enrolment",IF(L1794&lt;100,"1",IF(L1794&lt;300,"2",IF(L1794&lt;600,"3",IF(L1794&lt;1000,"4","5")))))</f>
        <v>2</v>
      </c>
      <c r="U1794" s="1">
        <v>-33.887602999999999</v>
      </c>
      <c r="V1794" s="3">
        <v>151.230188</v>
      </c>
    </row>
    <row r="1795" spans="1:22" x14ac:dyDescent="0.35">
      <c r="A1795" s="22" t="s">
        <v>5133</v>
      </c>
      <c r="B1795" s="1" t="s">
        <v>5134</v>
      </c>
      <c r="C1795" s="1" t="s">
        <v>5135</v>
      </c>
      <c r="D1795" s="1" t="s">
        <v>115</v>
      </c>
      <c r="E1795" s="1" t="s">
        <v>46</v>
      </c>
      <c r="F1795" s="1" t="s">
        <v>47</v>
      </c>
      <c r="G1795" s="1">
        <f t="shared" si="140"/>
        <v>1</v>
      </c>
      <c r="H1795" s="1" t="s">
        <v>48</v>
      </c>
      <c r="I1795" s="1" t="s">
        <v>49</v>
      </c>
      <c r="J1795" s="23" t="s">
        <v>50</v>
      </c>
      <c r="K1795" s="2" t="s">
        <v>51</v>
      </c>
      <c r="L1795" s="1">
        <v>507</v>
      </c>
      <c r="M1795" s="1">
        <v>2</v>
      </c>
      <c r="N1795" s="1" t="str">
        <f t="shared" ref="N1795:N1858" si="143">IF(M1795="","Suppressed","Published")</f>
        <v>Published</v>
      </c>
      <c r="O1795" s="1">
        <f t="shared" si="141"/>
        <v>10.14</v>
      </c>
      <c r="P1795" s="1">
        <v>21</v>
      </c>
      <c r="Q1795" s="1">
        <v>1162</v>
      </c>
      <c r="R1795" s="1" t="str">
        <f t="shared" ref="R1795:R1858" si="144">IF(Q1795="","No ICSEA",IF(Q1795&lt;900,"1",IF(Q1795&lt;1000,"2",IF(Q1795&lt;1100,"3","4"))))</f>
        <v>4</v>
      </c>
      <c r="S1795" s="1">
        <v>4</v>
      </c>
      <c r="T1795" s="1" t="str">
        <f t="shared" si="142"/>
        <v>3</v>
      </c>
      <c r="U1795" s="1">
        <v>-33.862580999999999</v>
      </c>
      <c r="V1795" s="3">
        <v>151.169749</v>
      </c>
    </row>
    <row r="1796" spans="1:22" x14ac:dyDescent="0.35">
      <c r="A1796" s="22" t="s">
        <v>5136</v>
      </c>
      <c r="B1796" s="1" t="s">
        <v>5137</v>
      </c>
      <c r="C1796" s="1" t="s">
        <v>5138</v>
      </c>
      <c r="D1796" s="1" t="s">
        <v>115</v>
      </c>
      <c r="E1796" s="1" t="s">
        <v>225</v>
      </c>
      <c r="F1796" s="1" t="s">
        <v>47</v>
      </c>
      <c r="G1796" s="1">
        <f t="shared" si="140"/>
        <v>1</v>
      </c>
      <c r="H1796" s="1" t="s">
        <v>48</v>
      </c>
      <c r="I1796" s="1" t="s">
        <v>49</v>
      </c>
      <c r="J1796" s="23" t="s">
        <v>50</v>
      </c>
      <c r="K1796" s="2" t="s">
        <v>51</v>
      </c>
      <c r="L1796" s="1">
        <v>560</v>
      </c>
      <c r="M1796" s="1">
        <v>1</v>
      </c>
      <c r="N1796" s="1" t="str">
        <f t="shared" si="143"/>
        <v>Published</v>
      </c>
      <c r="O1796" s="1">
        <f t="shared" si="141"/>
        <v>5.6000000000000005</v>
      </c>
      <c r="P1796" s="1">
        <v>28</v>
      </c>
      <c r="Q1796" s="1">
        <v>1138</v>
      </c>
      <c r="R1796" s="1" t="str">
        <f t="shared" si="144"/>
        <v>4</v>
      </c>
      <c r="S1796" s="1">
        <v>6</v>
      </c>
      <c r="T1796" s="1" t="str">
        <f t="shared" si="142"/>
        <v>3</v>
      </c>
      <c r="U1796" s="1">
        <v>-33.895505999999997</v>
      </c>
      <c r="V1796" s="3">
        <v>151.16528299999999</v>
      </c>
    </row>
    <row r="1797" spans="1:22" x14ac:dyDescent="0.35">
      <c r="A1797" s="22" t="s">
        <v>5139</v>
      </c>
      <c r="B1797" s="1" t="s">
        <v>5140</v>
      </c>
      <c r="C1797" s="1" t="s">
        <v>5141</v>
      </c>
      <c r="D1797" s="1" t="s">
        <v>329</v>
      </c>
      <c r="E1797" s="1" t="s">
        <v>330</v>
      </c>
      <c r="F1797" s="1" t="s">
        <v>47</v>
      </c>
      <c r="G1797" s="1">
        <f t="shared" si="140"/>
        <v>1</v>
      </c>
      <c r="H1797" s="1" t="s">
        <v>48</v>
      </c>
      <c r="I1797" s="1" t="s">
        <v>49</v>
      </c>
      <c r="J1797" s="23" t="s">
        <v>50</v>
      </c>
      <c r="K1797" s="2" t="s">
        <v>51</v>
      </c>
      <c r="L1797" s="1">
        <v>667</v>
      </c>
      <c r="M1797" s="1"/>
      <c r="N1797" s="1" t="str">
        <f t="shared" si="143"/>
        <v>Suppressed</v>
      </c>
      <c r="O1797" s="1" t="str">
        <f t="shared" si="141"/>
        <v/>
      </c>
      <c r="P1797" s="1">
        <v>46</v>
      </c>
      <c r="Q1797" s="1">
        <v>1193</v>
      </c>
      <c r="R1797" s="1" t="str">
        <f t="shared" si="144"/>
        <v>4</v>
      </c>
      <c r="S1797" s="1">
        <v>0</v>
      </c>
      <c r="T1797" s="1" t="str">
        <f t="shared" si="142"/>
        <v>4</v>
      </c>
      <c r="U1797" s="1">
        <v>-33.886378999999998</v>
      </c>
      <c r="V1797" s="3">
        <v>151.24118999999999</v>
      </c>
    </row>
    <row r="1798" spans="1:22" x14ac:dyDescent="0.35">
      <c r="A1798" s="22" t="s">
        <v>5142</v>
      </c>
      <c r="B1798" s="1" t="s">
        <v>5143</v>
      </c>
      <c r="C1798" s="1" t="s">
        <v>5144</v>
      </c>
      <c r="D1798" s="1" t="s">
        <v>642</v>
      </c>
      <c r="E1798" s="1" t="s">
        <v>170</v>
      </c>
      <c r="F1798" s="1" t="s">
        <v>47</v>
      </c>
      <c r="G1798" s="1">
        <f t="shared" si="140"/>
        <v>1</v>
      </c>
      <c r="H1798" s="1" t="s">
        <v>48</v>
      </c>
      <c r="I1798" s="1" t="s">
        <v>49</v>
      </c>
      <c r="J1798" s="23" t="s">
        <v>50</v>
      </c>
      <c r="K1798" s="2" t="s">
        <v>51</v>
      </c>
      <c r="L1798" s="1">
        <v>550</v>
      </c>
      <c r="M1798" s="1">
        <v>1</v>
      </c>
      <c r="N1798" s="1" t="str">
        <f t="shared" si="143"/>
        <v>Published</v>
      </c>
      <c r="O1798" s="1">
        <f t="shared" si="141"/>
        <v>5.5</v>
      </c>
      <c r="P1798" s="1">
        <v>92</v>
      </c>
      <c r="Q1798" s="1">
        <v>1067</v>
      </c>
      <c r="R1798" s="1" t="str">
        <f t="shared" si="144"/>
        <v>3</v>
      </c>
      <c r="S1798" s="1">
        <v>44</v>
      </c>
      <c r="T1798" s="1" t="str">
        <f t="shared" si="142"/>
        <v>3</v>
      </c>
      <c r="U1798" s="1">
        <v>-33.824229000000003</v>
      </c>
      <c r="V1798" s="3">
        <v>151.01837599999999</v>
      </c>
    </row>
    <row r="1799" spans="1:22" x14ac:dyDescent="0.35">
      <c r="A1799" s="22" t="s">
        <v>5145</v>
      </c>
      <c r="B1799" s="1" t="s">
        <v>5146</v>
      </c>
      <c r="C1799" s="1" t="s">
        <v>3881</v>
      </c>
      <c r="D1799" s="1" t="s">
        <v>186</v>
      </c>
      <c r="E1799" s="1" t="s">
        <v>187</v>
      </c>
      <c r="F1799" s="1" t="s">
        <v>47</v>
      </c>
      <c r="G1799" s="1">
        <f t="shared" si="140"/>
        <v>1</v>
      </c>
      <c r="H1799" s="1" t="s">
        <v>63</v>
      </c>
      <c r="I1799" s="1" t="s">
        <v>49</v>
      </c>
      <c r="J1799" s="23" t="s">
        <v>50</v>
      </c>
      <c r="K1799" s="2" t="s">
        <v>51</v>
      </c>
      <c r="L1799" s="1">
        <v>365</v>
      </c>
      <c r="M1799" s="1">
        <v>20</v>
      </c>
      <c r="N1799" s="1" t="str">
        <f t="shared" si="143"/>
        <v>Published</v>
      </c>
      <c r="O1799" s="1">
        <f t="shared" si="141"/>
        <v>73</v>
      </c>
      <c r="P1799" s="1">
        <v>18</v>
      </c>
      <c r="Q1799" s="1">
        <v>970</v>
      </c>
      <c r="R1799" s="1" t="str">
        <f t="shared" si="144"/>
        <v>2</v>
      </c>
      <c r="S1799" s="1">
        <v>110</v>
      </c>
      <c r="T1799" s="1" t="str">
        <f t="shared" si="142"/>
        <v>3</v>
      </c>
      <c r="U1799" s="1">
        <v>-33.491705000000003</v>
      </c>
      <c r="V1799" s="3">
        <v>151.328247</v>
      </c>
    </row>
    <row r="1800" spans="1:22" x14ac:dyDescent="0.35">
      <c r="A1800" s="22" t="s">
        <v>5147</v>
      </c>
      <c r="B1800" s="1" t="s">
        <v>5148</v>
      </c>
      <c r="C1800" s="1" t="s">
        <v>95</v>
      </c>
      <c r="D1800" s="1" t="s">
        <v>95</v>
      </c>
      <c r="E1800" s="1" t="s">
        <v>96</v>
      </c>
      <c r="F1800" s="1" t="s">
        <v>57</v>
      </c>
      <c r="G1800" s="1">
        <f t="shared" si="140"/>
        <v>2</v>
      </c>
      <c r="H1800" s="1" t="s">
        <v>70</v>
      </c>
      <c r="I1800" s="1" t="s">
        <v>4583</v>
      </c>
      <c r="J1800" s="23" t="s">
        <v>50</v>
      </c>
      <c r="K1800" s="2" t="s">
        <v>51</v>
      </c>
      <c r="L1800" s="1">
        <v>910</v>
      </c>
      <c r="M1800" s="1">
        <v>7</v>
      </c>
      <c r="N1800" s="1" t="str">
        <f t="shared" si="143"/>
        <v>Published</v>
      </c>
      <c r="O1800" s="1">
        <f t="shared" si="141"/>
        <v>63.7</v>
      </c>
      <c r="P1800" s="1">
        <v>11</v>
      </c>
      <c r="Q1800" s="1">
        <v>1016</v>
      </c>
      <c r="R1800" s="1" t="str">
        <f t="shared" si="144"/>
        <v>3</v>
      </c>
      <c r="S1800" s="1">
        <v>84</v>
      </c>
      <c r="T1800" s="1" t="str">
        <f t="shared" si="142"/>
        <v>4</v>
      </c>
      <c r="U1800" s="1">
        <v>-36.072845999999998</v>
      </c>
      <c r="V1800" s="3">
        <v>146.91544200000001</v>
      </c>
    </row>
    <row r="1801" spans="1:22" x14ac:dyDescent="0.35">
      <c r="A1801" s="22" t="s">
        <v>5149</v>
      </c>
      <c r="B1801" s="1" t="s">
        <v>5150</v>
      </c>
      <c r="C1801" s="1" t="s">
        <v>291</v>
      </c>
      <c r="D1801" s="1" t="s">
        <v>291</v>
      </c>
      <c r="E1801" s="1" t="s">
        <v>261</v>
      </c>
      <c r="F1801" s="1" t="s">
        <v>57</v>
      </c>
      <c r="G1801" s="1">
        <f t="shared" si="140"/>
        <v>2</v>
      </c>
      <c r="H1801" s="1" t="s">
        <v>58</v>
      </c>
      <c r="I1801" s="1" t="s">
        <v>4583</v>
      </c>
      <c r="J1801" s="23" t="s">
        <v>50</v>
      </c>
      <c r="K1801" s="2" t="s">
        <v>51</v>
      </c>
      <c r="L1801" s="1">
        <v>916.2</v>
      </c>
      <c r="M1801" s="1">
        <v>17</v>
      </c>
      <c r="N1801" s="1" t="str">
        <f t="shared" si="143"/>
        <v>Published</v>
      </c>
      <c r="O1801" s="1">
        <f t="shared" si="141"/>
        <v>155.75400000000002</v>
      </c>
      <c r="P1801" s="1">
        <v>9</v>
      </c>
      <c r="Q1801" s="1">
        <v>963</v>
      </c>
      <c r="R1801" s="1" t="str">
        <f t="shared" si="144"/>
        <v>2</v>
      </c>
      <c r="S1801" s="1">
        <v>109</v>
      </c>
      <c r="T1801" s="1" t="str">
        <f t="shared" si="142"/>
        <v>4</v>
      </c>
      <c r="U1801" s="1">
        <v>-33.413383000000003</v>
      </c>
      <c r="V1801" s="3">
        <v>149.56967900000001</v>
      </c>
    </row>
    <row r="1802" spans="1:22" x14ac:dyDescent="0.35">
      <c r="A1802" s="22" t="s">
        <v>5151</v>
      </c>
      <c r="B1802" s="1" t="s">
        <v>5152</v>
      </c>
      <c r="C1802" s="1" t="s">
        <v>5153</v>
      </c>
      <c r="D1802" s="1" t="s">
        <v>195</v>
      </c>
      <c r="E1802" s="1" t="s">
        <v>196</v>
      </c>
      <c r="F1802" s="1" t="s">
        <v>57</v>
      </c>
      <c r="G1802" s="1">
        <f t="shared" si="140"/>
        <v>2</v>
      </c>
      <c r="H1802" s="1" t="s">
        <v>86</v>
      </c>
      <c r="I1802" s="1" t="s">
        <v>4583</v>
      </c>
      <c r="J1802" s="23" t="s">
        <v>50</v>
      </c>
      <c r="K1802" s="2" t="s">
        <v>51</v>
      </c>
      <c r="L1802" s="1">
        <v>564</v>
      </c>
      <c r="M1802" s="1">
        <v>11</v>
      </c>
      <c r="N1802" s="1" t="str">
        <f t="shared" si="143"/>
        <v>Published</v>
      </c>
      <c r="O1802" s="1">
        <f t="shared" si="141"/>
        <v>62.04</v>
      </c>
      <c r="P1802" s="1">
        <v>12</v>
      </c>
      <c r="Q1802" s="1">
        <v>956</v>
      </c>
      <c r="R1802" s="1" t="str">
        <f t="shared" si="144"/>
        <v>2</v>
      </c>
      <c r="S1802" s="1">
        <v>113</v>
      </c>
      <c r="T1802" s="1" t="str">
        <f t="shared" si="142"/>
        <v>3</v>
      </c>
      <c r="U1802" s="1">
        <v>-34.488816</v>
      </c>
      <c r="V1802" s="3">
        <v>150.42343199999999</v>
      </c>
    </row>
    <row r="1803" spans="1:22" x14ac:dyDescent="0.35">
      <c r="A1803" s="22" t="s">
        <v>5154</v>
      </c>
      <c r="B1803" s="1" t="s">
        <v>5155</v>
      </c>
      <c r="C1803" s="1" t="s">
        <v>101</v>
      </c>
      <c r="D1803" s="1" t="s">
        <v>101</v>
      </c>
      <c r="E1803" s="1" t="s">
        <v>102</v>
      </c>
      <c r="F1803" s="1" t="s">
        <v>69</v>
      </c>
      <c r="G1803" s="1">
        <f t="shared" si="140"/>
        <v>3</v>
      </c>
      <c r="H1803" s="1" t="s">
        <v>70</v>
      </c>
      <c r="I1803" s="1" t="s">
        <v>4583</v>
      </c>
      <c r="J1803" s="23" t="s">
        <v>50</v>
      </c>
      <c r="K1803" s="2" t="s">
        <v>51</v>
      </c>
      <c r="L1803" s="1">
        <v>411</v>
      </c>
      <c r="M1803" s="1">
        <v>26</v>
      </c>
      <c r="N1803" s="1" t="str">
        <f t="shared" si="143"/>
        <v>Published</v>
      </c>
      <c r="O1803" s="1">
        <f t="shared" si="141"/>
        <v>106.86</v>
      </c>
      <c r="P1803" s="1">
        <v>8</v>
      </c>
      <c r="Q1803" s="1">
        <v>892</v>
      </c>
      <c r="R1803" s="1" t="str">
        <f t="shared" si="144"/>
        <v>1</v>
      </c>
      <c r="S1803" s="1">
        <v>147</v>
      </c>
      <c r="T1803" s="1" t="str">
        <f t="shared" si="142"/>
        <v>3</v>
      </c>
      <c r="U1803" s="1">
        <v>-31.960104999999999</v>
      </c>
      <c r="V1803" s="3">
        <v>141.456986</v>
      </c>
    </row>
    <row r="1804" spans="1:22" x14ac:dyDescent="0.35">
      <c r="A1804" s="22" t="s">
        <v>5156</v>
      </c>
      <c r="B1804" s="1" t="s">
        <v>5157</v>
      </c>
      <c r="C1804" s="1" t="s">
        <v>706</v>
      </c>
      <c r="D1804" s="1" t="s">
        <v>115</v>
      </c>
      <c r="E1804" s="1" t="s">
        <v>46</v>
      </c>
      <c r="F1804" s="1" t="s">
        <v>47</v>
      </c>
      <c r="G1804" s="1">
        <f t="shared" si="140"/>
        <v>1</v>
      </c>
      <c r="H1804" s="1" t="s">
        <v>48</v>
      </c>
      <c r="I1804" s="1" t="s">
        <v>4583</v>
      </c>
      <c r="J1804" s="23" t="s">
        <v>50</v>
      </c>
      <c r="K1804" s="2" t="s">
        <v>4755</v>
      </c>
      <c r="L1804" s="1">
        <v>422</v>
      </c>
      <c r="M1804" s="1">
        <v>3</v>
      </c>
      <c r="N1804" s="1" t="str">
        <f t="shared" si="143"/>
        <v>Published</v>
      </c>
      <c r="O1804" s="1">
        <f t="shared" si="141"/>
        <v>12.66</v>
      </c>
      <c r="P1804" s="1">
        <v>82</v>
      </c>
      <c r="Q1804" s="1">
        <v>1018</v>
      </c>
      <c r="R1804" s="1" t="str">
        <f t="shared" si="144"/>
        <v>3</v>
      </c>
      <c r="S1804" s="1">
        <v>94</v>
      </c>
      <c r="T1804" s="1" t="str">
        <f t="shared" si="142"/>
        <v>3</v>
      </c>
      <c r="U1804" s="1">
        <v>-33.904178000000002</v>
      </c>
      <c r="V1804" s="3">
        <v>151.123884</v>
      </c>
    </row>
    <row r="1805" spans="1:22" x14ac:dyDescent="0.35">
      <c r="A1805" s="22" t="s">
        <v>5158</v>
      </c>
      <c r="B1805" s="1" t="s">
        <v>5159</v>
      </c>
      <c r="C1805" s="1" t="s">
        <v>62</v>
      </c>
      <c r="D1805" s="1" t="s">
        <v>62</v>
      </c>
      <c r="E1805" s="1" t="s">
        <v>56</v>
      </c>
      <c r="F1805" s="1" t="s">
        <v>47</v>
      </c>
      <c r="G1805" s="1">
        <f t="shared" si="140"/>
        <v>1</v>
      </c>
      <c r="H1805" s="1" t="s">
        <v>63</v>
      </c>
      <c r="I1805" s="1" t="s">
        <v>4583</v>
      </c>
      <c r="J1805" s="23" t="s">
        <v>50</v>
      </c>
      <c r="K1805" s="2" t="s">
        <v>51</v>
      </c>
      <c r="L1805" s="1">
        <v>615</v>
      </c>
      <c r="M1805" s="1">
        <v>24</v>
      </c>
      <c r="N1805" s="1" t="str">
        <f t="shared" si="143"/>
        <v>Published</v>
      </c>
      <c r="O1805" s="1">
        <f t="shared" si="141"/>
        <v>147.6</v>
      </c>
      <c r="P1805" s="1">
        <v>2</v>
      </c>
      <c r="Q1805" s="1">
        <v>892</v>
      </c>
      <c r="R1805" s="1" t="str">
        <f t="shared" si="144"/>
        <v>1</v>
      </c>
      <c r="S1805" s="1">
        <v>158</v>
      </c>
      <c r="T1805" s="1" t="str">
        <f t="shared" si="142"/>
        <v>4</v>
      </c>
      <c r="U1805" s="1">
        <v>-32.842953999999999</v>
      </c>
      <c r="V1805" s="3">
        <v>151.368528</v>
      </c>
    </row>
    <row r="1806" spans="1:22" x14ac:dyDescent="0.35">
      <c r="A1806" s="22" t="s">
        <v>5160</v>
      </c>
      <c r="B1806" s="1" t="s">
        <v>5161</v>
      </c>
      <c r="C1806" s="1" t="s">
        <v>465</v>
      </c>
      <c r="D1806" s="1" t="s">
        <v>465</v>
      </c>
      <c r="E1806" s="1" t="s">
        <v>281</v>
      </c>
      <c r="F1806" s="1" t="s">
        <v>57</v>
      </c>
      <c r="G1806" s="1">
        <f t="shared" si="140"/>
        <v>2</v>
      </c>
      <c r="H1806" s="1" t="s">
        <v>58</v>
      </c>
      <c r="I1806" s="1" t="s">
        <v>4583</v>
      </c>
      <c r="J1806" s="23" t="s">
        <v>50</v>
      </c>
      <c r="K1806" s="2" t="s">
        <v>51</v>
      </c>
      <c r="L1806" s="1">
        <v>782.4</v>
      </c>
      <c r="M1806" s="1">
        <v>10</v>
      </c>
      <c r="N1806" s="1" t="str">
        <f t="shared" si="143"/>
        <v>Published</v>
      </c>
      <c r="O1806" s="1">
        <f t="shared" si="141"/>
        <v>78.240000000000009</v>
      </c>
      <c r="P1806" s="1">
        <v>25</v>
      </c>
      <c r="Q1806" s="1">
        <v>957</v>
      </c>
      <c r="R1806" s="1" t="str">
        <f t="shared" si="144"/>
        <v>2</v>
      </c>
      <c r="S1806" s="1">
        <v>122</v>
      </c>
      <c r="T1806" s="1" t="str">
        <f t="shared" si="142"/>
        <v>4</v>
      </c>
      <c r="U1806" s="1">
        <v>-30.305319000000001</v>
      </c>
      <c r="V1806" s="3">
        <v>153.13584599999999</v>
      </c>
    </row>
    <row r="1807" spans="1:22" x14ac:dyDescent="0.35">
      <c r="A1807" s="22" t="s">
        <v>5162</v>
      </c>
      <c r="B1807" s="1" t="s">
        <v>5163</v>
      </c>
      <c r="C1807" s="1" t="s">
        <v>211</v>
      </c>
      <c r="D1807" s="1" t="s">
        <v>211</v>
      </c>
      <c r="E1807" s="1" t="s">
        <v>102</v>
      </c>
      <c r="F1807" s="1" t="s">
        <v>57</v>
      </c>
      <c r="G1807" s="1">
        <f t="shared" si="140"/>
        <v>2</v>
      </c>
      <c r="H1807" s="1" t="s">
        <v>58</v>
      </c>
      <c r="I1807" s="1" t="s">
        <v>4583</v>
      </c>
      <c r="J1807" s="23" t="s">
        <v>50</v>
      </c>
      <c r="K1807" s="2" t="s">
        <v>51</v>
      </c>
      <c r="L1807" s="1">
        <v>650.79999999999995</v>
      </c>
      <c r="M1807" s="1">
        <v>33</v>
      </c>
      <c r="N1807" s="1" t="str">
        <f t="shared" si="143"/>
        <v>Published</v>
      </c>
      <c r="O1807" s="1">
        <f t="shared" si="141"/>
        <v>214.76399999999998</v>
      </c>
      <c r="P1807" s="1">
        <v>7</v>
      </c>
      <c r="Q1807" s="1">
        <v>929</v>
      </c>
      <c r="R1807" s="1" t="str">
        <f t="shared" si="144"/>
        <v>2</v>
      </c>
      <c r="S1807" s="1">
        <v>110</v>
      </c>
      <c r="T1807" s="1" t="str">
        <f t="shared" si="142"/>
        <v>4</v>
      </c>
      <c r="U1807" s="1">
        <v>-32.235067780000001</v>
      </c>
      <c r="V1807" s="3">
        <v>148.62855780000001</v>
      </c>
    </row>
    <row r="1808" spans="1:22" x14ac:dyDescent="0.35">
      <c r="A1808" s="22" t="s">
        <v>5164</v>
      </c>
      <c r="B1808" s="1" t="s">
        <v>5165</v>
      </c>
      <c r="C1808" s="1" t="s">
        <v>5166</v>
      </c>
      <c r="D1808" s="1" t="s">
        <v>90</v>
      </c>
      <c r="E1808" s="1" t="s">
        <v>91</v>
      </c>
      <c r="F1808" s="1" t="s">
        <v>57</v>
      </c>
      <c r="G1808" s="1">
        <f t="shared" si="140"/>
        <v>2</v>
      </c>
      <c r="H1808" s="1" t="s">
        <v>92</v>
      </c>
      <c r="I1808" s="1" t="s">
        <v>4583</v>
      </c>
      <c r="J1808" s="23" t="s">
        <v>5167</v>
      </c>
      <c r="K1808" s="2" t="s">
        <v>4755</v>
      </c>
      <c r="L1808" s="1">
        <v>606</v>
      </c>
      <c r="M1808" s="1">
        <v>13</v>
      </c>
      <c r="N1808" s="1" t="str">
        <f t="shared" si="143"/>
        <v>Published</v>
      </c>
      <c r="O1808" s="1">
        <f t="shared" si="141"/>
        <v>78.78</v>
      </c>
      <c r="P1808" s="1">
        <v>2</v>
      </c>
      <c r="Q1808" s="1">
        <v>1025</v>
      </c>
      <c r="R1808" s="1" t="str">
        <f t="shared" si="144"/>
        <v>3</v>
      </c>
      <c r="S1808" s="1">
        <v>65</v>
      </c>
      <c r="T1808" s="1" t="str">
        <f t="shared" si="142"/>
        <v>4</v>
      </c>
      <c r="U1808" s="1">
        <v>-31.138452999999998</v>
      </c>
      <c r="V1808" s="3">
        <v>150.979996</v>
      </c>
    </row>
    <row r="1809" spans="1:22" x14ac:dyDescent="0.35">
      <c r="A1809" s="22" t="s">
        <v>5168</v>
      </c>
      <c r="B1809" s="1" t="s">
        <v>5169</v>
      </c>
      <c r="C1809" s="1" t="s">
        <v>1298</v>
      </c>
      <c r="D1809" s="1" t="s">
        <v>1014</v>
      </c>
      <c r="E1809" s="1" t="s">
        <v>91</v>
      </c>
      <c r="F1809" s="1" t="s">
        <v>57</v>
      </c>
      <c r="G1809" s="1">
        <f t="shared" si="140"/>
        <v>2</v>
      </c>
      <c r="H1809" s="1" t="s">
        <v>92</v>
      </c>
      <c r="I1809" s="1" t="s">
        <v>4583</v>
      </c>
      <c r="J1809" s="23" t="s">
        <v>50</v>
      </c>
      <c r="K1809" s="2" t="s">
        <v>51</v>
      </c>
      <c r="L1809" s="1">
        <v>433.6</v>
      </c>
      <c r="M1809" s="1">
        <v>22</v>
      </c>
      <c r="N1809" s="1" t="str">
        <f t="shared" si="143"/>
        <v>Published</v>
      </c>
      <c r="O1809" s="1">
        <f t="shared" si="141"/>
        <v>95.39200000000001</v>
      </c>
      <c r="P1809" s="1">
        <v>4</v>
      </c>
      <c r="Q1809" s="1">
        <v>926</v>
      </c>
      <c r="R1809" s="1" t="str">
        <f t="shared" si="144"/>
        <v>2</v>
      </c>
      <c r="S1809" s="1">
        <v>123</v>
      </c>
      <c r="T1809" s="1" t="str">
        <f t="shared" si="142"/>
        <v>3</v>
      </c>
      <c r="U1809" s="1">
        <v>-29.744294</v>
      </c>
      <c r="V1809" s="3">
        <v>151.74248700000001</v>
      </c>
    </row>
    <row r="1810" spans="1:22" x14ac:dyDescent="0.35">
      <c r="A1810" s="22" t="s">
        <v>5170</v>
      </c>
      <c r="B1810" s="1" t="s">
        <v>5171</v>
      </c>
      <c r="C1810" s="1" t="s">
        <v>2525</v>
      </c>
      <c r="D1810" s="1" t="s">
        <v>186</v>
      </c>
      <c r="E1810" s="1" t="s">
        <v>187</v>
      </c>
      <c r="F1810" s="1" t="s">
        <v>47</v>
      </c>
      <c r="G1810" s="1">
        <f t="shared" si="140"/>
        <v>1</v>
      </c>
      <c r="H1810" s="1" t="s">
        <v>63</v>
      </c>
      <c r="I1810" s="1" t="s">
        <v>4583</v>
      </c>
      <c r="J1810" s="23" t="s">
        <v>5167</v>
      </c>
      <c r="K1810" s="2" t="s">
        <v>51</v>
      </c>
      <c r="L1810" s="1">
        <v>1058.0999999999999</v>
      </c>
      <c r="M1810" s="1">
        <v>1</v>
      </c>
      <c r="N1810" s="1" t="str">
        <f t="shared" si="143"/>
        <v>Published</v>
      </c>
      <c r="O1810" s="1">
        <f t="shared" si="141"/>
        <v>10.581</v>
      </c>
      <c r="P1810" s="1">
        <v>63</v>
      </c>
      <c r="Q1810" s="1">
        <v>1157</v>
      </c>
      <c r="R1810" s="1" t="str">
        <f t="shared" si="144"/>
        <v>4</v>
      </c>
      <c r="S1810" s="1">
        <v>14</v>
      </c>
      <c r="T1810" s="1" t="str">
        <f t="shared" si="142"/>
        <v>5</v>
      </c>
      <c r="U1810" s="1">
        <v>-33.417183000000001</v>
      </c>
      <c r="V1810" s="3">
        <v>151.34138799999999</v>
      </c>
    </row>
    <row r="1811" spans="1:22" x14ac:dyDescent="0.35">
      <c r="A1811" s="22" t="s">
        <v>5172</v>
      </c>
      <c r="B1811" s="1" t="s">
        <v>5173</v>
      </c>
      <c r="C1811" s="1" t="s">
        <v>1341</v>
      </c>
      <c r="D1811" s="1" t="s">
        <v>1342</v>
      </c>
      <c r="E1811" s="1" t="s">
        <v>68</v>
      </c>
      <c r="F1811" s="1" t="s">
        <v>57</v>
      </c>
      <c r="G1811" s="1">
        <f t="shared" si="140"/>
        <v>2</v>
      </c>
      <c r="H1811" s="1" t="s">
        <v>86</v>
      </c>
      <c r="I1811" s="1" t="s">
        <v>4583</v>
      </c>
      <c r="J1811" s="23" t="s">
        <v>50</v>
      </c>
      <c r="K1811" s="2" t="s">
        <v>51</v>
      </c>
      <c r="L1811" s="1">
        <v>648</v>
      </c>
      <c r="M1811" s="1">
        <v>12</v>
      </c>
      <c r="N1811" s="1" t="str">
        <f t="shared" si="143"/>
        <v>Published</v>
      </c>
      <c r="O1811" s="1">
        <f t="shared" si="141"/>
        <v>77.759999999999991</v>
      </c>
      <c r="P1811" s="1">
        <v>12</v>
      </c>
      <c r="Q1811" s="1">
        <v>943</v>
      </c>
      <c r="R1811" s="1" t="str">
        <f t="shared" si="144"/>
        <v>2</v>
      </c>
      <c r="S1811" s="1">
        <v>128</v>
      </c>
      <c r="T1811" s="1" t="str">
        <f t="shared" si="142"/>
        <v>4</v>
      </c>
      <c r="U1811" s="1">
        <v>-34.746861000000003</v>
      </c>
      <c r="V1811" s="3">
        <v>149.711241</v>
      </c>
    </row>
    <row r="1812" spans="1:22" x14ac:dyDescent="0.35">
      <c r="A1812" s="22" t="s">
        <v>5174</v>
      </c>
      <c r="B1812" s="1" t="s">
        <v>5175</v>
      </c>
      <c r="C1812" s="1" t="s">
        <v>5176</v>
      </c>
      <c r="D1812" s="1" t="s">
        <v>280</v>
      </c>
      <c r="E1812" s="1" t="s">
        <v>281</v>
      </c>
      <c r="F1812" s="1" t="s">
        <v>57</v>
      </c>
      <c r="G1812" s="1">
        <f t="shared" si="140"/>
        <v>2</v>
      </c>
      <c r="H1812" s="1" t="s">
        <v>92</v>
      </c>
      <c r="I1812" s="1" t="s">
        <v>4583</v>
      </c>
      <c r="J1812" s="23" t="s">
        <v>5177</v>
      </c>
      <c r="K1812" s="2" t="s">
        <v>51</v>
      </c>
      <c r="L1812" s="1">
        <v>767.6</v>
      </c>
      <c r="M1812" s="1">
        <v>18</v>
      </c>
      <c r="N1812" s="1" t="str">
        <f t="shared" si="143"/>
        <v>Published</v>
      </c>
      <c r="O1812" s="1">
        <f t="shared" si="141"/>
        <v>138.16800000000001</v>
      </c>
      <c r="P1812" s="1">
        <v>4</v>
      </c>
      <c r="Q1812" s="1">
        <v>941</v>
      </c>
      <c r="R1812" s="1" t="str">
        <f t="shared" si="144"/>
        <v>2</v>
      </c>
      <c r="S1812" s="1">
        <v>121</v>
      </c>
      <c r="T1812" s="1" t="str">
        <f t="shared" si="142"/>
        <v>4</v>
      </c>
      <c r="U1812" s="1">
        <v>-29.682105</v>
      </c>
      <c r="V1812" s="3">
        <v>152.93250900000001</v>
      </c>
    </row>
    <row r="1813" spans="1:22" x14ac:dyDescent="0.35">
      <c r="A1813" s="22" t="s">
        <v>5178</v>
      </c>
      <c r="B1813" s="1" t="s">
        <v>5179</v>
      </c>
      <c r="C1813" s="1" t="s">
        <v>310</v>
      </c>
      <c r="D1813" s="1" t="s">
        <v>310</v>
      </c>
      <c r="E1813" s="1" t="s">
        <v>80</v>
      </c>
      <c r="F1813" s="1" t="s">
        <v>69</v>
      </c>
      <c r="G1813" s="1">
        <f t="shared" si="140"/>
        <v>3</v>
      </c>
      <c r="H1813" s="1" t="s">
        <v>70</v>
      </c>
      <c r="I1813" s="1" t="s">
        <v>4583</v>
      </c>
      <c r="J1813" s="23" t="s">
        <v>50</v>
      </c>
      <c r="K1813" s="2" t="s">
        <v>51</v>
      </c>
      <c r="L1813" s="1">
        <v>605.6</v>
      </c>
      <c r="M1813" s="1">
        <v>21</v>
      </c>
      <c r="N1813" s="1" t="str">
        <f t="shared" si="143"/>
        <v>Published</v>
      </c>
      <c r="O1813" s="1">
        <f t="shared" si="141"/>
        <v>127.176</v>
      </c>
      <c r="P1813" s="1">
        <v>35</v>
      </c>
      <c r="Q1813" s="1">
        <v>899</v>
      </c>
      <c r="R1813" s="1" t="str">
        <f t="shared" si="144"/>
        <v>1</v>
      </c>
      <c r="S1813" s="1">
        <v>135</v>
      </c>
      <c r="T1813" s="1" t="str">
        <f t="shared" si="142"/>
        <v>4</v>
      </c>
      <c r="U1813" s="1">
        <v>-34.292248999999998</v>
      </c>
      <c r="V1813" s="3">
        <v>146.03962799999999</v>
      </c>
    </row>
    <row r="1814" spans="1:22" x14ac:dyDescent="0.35">
      <c r="A1814" s="22" t="s">
        <v>5180</v>
      </c>
      <c r="B1814" s="1" t="s">
        <v>5181</v>
      </c>
      <c r="C1814" s="1" t="s">
        <v>1458</v>
      </c>
      <c r="D1814" s="1" t="s">
        <v>1458</v>
      </c>
      <c r="E1814" s="1" t="s">
        <v>96</v>
      </c>
      <c r="F1814" s="1" t="s">
        <v>69</v>
      </c>
      <c r="G1814" s="1">
        <f t="shared" si="140"/>
        <v>3</v>
      </c>
      <c r="H1814" s="1" t="s">
        <v>70</v>
      </c>
      <c r="I1814" s="1" t="s">
        <v>4583</v>
      </c>
      <c r="J1814" s="23" t="s">
        <v>50</v>
      </c>
      <c r="K1814" s="2" t="s">
        <v>51</v>
      </c>
      <c r="L1814" s="1">
        <v>153.80000000000001</v>
      </c>
      <c r="M1814" s="1">
        <v>20</v>
      </c>
      <c r="N1814" s="1" t="str">
        <f t="shared" si="143"/>
        <v>Published</v>
      </c>
      <c r="O1814" s="1">
        <f t="shared" si="141"/>
        <v>30.760000000000005</v>
      </c>
      <c r="P1814" s="1">
        <v>6</v>
      </c>
      <c r="Q1814" s="1">
        <v>916</v>
      </c>
      <c r="R1814" s="1" t="str">
        <f t="shared" si="144"/>
        <v>2</v>
      </c>
      <c r="S1814" s="1">
        <v>129</v>
      </c>
      <c r="T1814" s="1" t="str">
        <f t="shared" si="142"/>
        <v>2</v>
      </c>
      <c r="U1814" s="1">
        <v>-34.504747000000002</v>
      </c>
      <c r="V1814" s="3">
        <v>144.83926199999999</v>
      </c>
    </row>
    <row r="1815" spans="1:22" x14ac:dyDescent="0.35">
      <c r="A1815" s="22" t="s">
        <v>5182</v>
      </c>
      <c r="B1815" s="1" t="s">
        <v>5183</v>
      </c>
      <c r="C1815" s="1" t="s">
        <v>126</v>
      </c>
      <c r="D1815" s="1" t="s">
        <v>126</v>
      </c>
      <c r="E1815" s="1" t="s">
        <v>147</v>
      </c>
      <c r="F1815" s="1" t="s">
        <v>47</v>
      </c>
      <c r="G1815" s="1">
        <f t="shared" si="140"/>
        <v>1</v>
      </c>
      <c r="H1815" s="1" t="s">
        <v>148</v>
      </c>
      <c r="I1815" s="1" t="s">
        <v>4583</v>
      </c>
      <c r="J1815" s="23" t="s">
        <v>5167</v>
      </c>
      <c r="K1815" s="2" t="s">
        <v>5184</v>
      </c>
      <c r="L1815" s="1">
        <v>720.3</v>
      </c>
      <c r="M1815" s="1">
        <v>0</v>
      </c>
      <c r="N1815" s="1" t="str">
        <f t="shared" si="143"/>
        <v>Published</v>
      </c>
      <c r="O1815" s="1">
        <f t="shared" si="141"/>
        <v>0</v>
      </c>
      <c r="P1815" s="1">
        <v>94</v>
      </c>
      <c r="Q1815" s="1">
        <v>1209</v>
      </c>
      <c r="R1815" s="1" t="str">
        <f t="shared" si="144"/>
        <v>4</v>
      </c>
      <c r="S1815" s="1">
        <v>0</v>
      </c>
      <c r="T1815" s="1" t="str">
        <f t="shared" si="142"/>
        <v>4</v>
      </c>
      <c r="U1815" s="1">
        <v>-33.706626999999997</v>
      </c>
      <c r="V1815" s="3">
        <v>151.10108299999999</v>
      </c>
    </row>
    <row r="1816" spans="1:22" x14ac:dyDescent="0.35">
      <c r="A1816" s="22" t="s">
        <v>5185</v>
      </c>
      <c r="B1816" s="1" t="s">
        <v>5186</v>
      </c>
      <c r="C1816" s="1" t="s">
        <v>1292</v>
      </c>
      <c r="D1816" s="1" t="s">
        <v>689</v>
      </c>
      <c r="E1816" s="1" t="s">
        <v>122</v>
      </c>
      <c r="F1816" s="1" t="s">
        <v>47</v>
      </c>
      <c r="G1816" s="1">
        <f t="shared" si="140"/>
        <v>1</v>
      </c>
      <c r="H1816" s="1" t="s">
        <v>182</v>
      </c>
      <c r="I1816" s="1" t="s">
        <v>4583</v>
      </c>
      <c r="J1816" s="23" t="s">
        <v>5167</v>
      </c>
      <c r="K1816" s="2" t="s">
        <v>51</v>
      </c>
      <c r="L1816" s="1">
        <v>933.6</v>
      </c>
      <c r="M1816" s="1">
        <v>1</v>
      </c>
      <c r="N1816" s="1" t="str">
        <f t="shared" si="143"/>
        <v>Published</v>
      </c>
      <c r="O1816" s="1">
        <f t="shared" si="141"/>
        <v>9.3360000000000003</v>
      </c>
      <c r="P1816" s="1">
        <v>90</v>
      </c>
      <c r="Q1816" s="1">
        <v>1147</v>
      </c>
      <c r="R1816" s="1" t="str">
        <f t="shared" si="144"/>
        <v>4</v>
      </c>
      <c r="S1816" s="1">
        <v>21</v>
      </c>
      <c r="T1816" s="1" t="str">
        <f t="shared" si="142"/>
        <v>4</v>
      </c>
      <c r="U1816" s="1">
        <v>-33.970382999999998</v>
      </c>
      <c r="V1816" s="3">
        <v>150.893629</v>
      </c>
    </row>
    <row r="1817" spans="1:22" x14ac:dyDescent="0.35">
      <c r="A1817" s="22" t="s">
        <v>5187</v>
      </c>
      <c r="B1817" s="1" t="s">
        <v>5188</v>
      </c>
      <c r="C1817" s="1" t="s">
        <v>159</v>
      </c>
      <c r="D1817" s="1" t="s">
        <v>159</v>
      </c>
      <c r="E1817" s="1" t="s">
        <v>91</v>
      </c>
      <c r="F1817" s="1" t="s">
        <v>69</v>
      </c>
      <c r="G1817" s="1">
        <f t="shared" si="140"/>
        <v>3</v>
      </c>
      <c r="H1817" s="1" t="s">
        <v>92</v>
      </c>
      <c r="I1817" s="1" t="s">
        <v>4583</v>
      </c>
      <c r="J1817" s="23" t="s">
        <v>50</v>
      </c>
      <c r="K1817" s="2" t="s">
        <v>51</v>
      </c>
      <c r="L1817" s="1">
        <v>483</v>
      </c>
      <c r="M1817" s="1">
        <v>33</v>
      </c>
      <c r="N1817" s="1" t="str">
        <f t="shared" si="143"/>
        <v>Published</v>
      </c>
      <c r="O1817" s="1">
        <f t="shared" si="141"/>
        <v>159.39000000000001</v>
      </c>
      <c r="P1817" s="1">
        <v>9</v>
      </c>
      <c r="Q1817" s="1">
        <v>888</v>
      </c>
      <c r="R1817" s="1" t="str">
        <f t="shared" si="144"/>
        <v>1</v>
      </c>
      <c r="S1817" s="1">
        <v>137</v>
      </c>
      <c r="T1817" s="1" t="str">
        <f t="shared" si="142"/>
        <v>3</v>
      </c>
      <c r="U1817" s="1">
        <v>-29.765729</v>
      </c>
      <c r="V1817" s="3">
        <v>151.110782</v>
      </c>
    </row>
    <row r="1818" spans="1:22" x14ac:dyDescent="0.35">
      <c r="A1818" s="22" t="s">
        <v>5189</v>
      </c>
      <c r="B1818" s="1" t="s">
        <v>5190</v>
      </c>
      <c r="C1818" s="1" t="s">
        <v>325</v>
      </c>
      <c r="D1818" s="1" t="s">
        <v>325</v>
      </c>
      <c r="E1818" s="1" t="s">
        <v>276</v>
      </c>
      <c r="F1818" s="1" t="s">
        <v>57</v>
      </c>
      <c r="G1818" s="1">
        <f t="shared" si="140"/>
        <v>2</v>
      </c>
      <c r="H1818" s="1" t="s">
        <v>86</v>
      </c>
      <c r="I1818" s="1" t="s">
        <v>4583</v>
      </c>
      <c r="J1818" s="23" t="s">
        <v>50</v>
      </c>
      <c r="K1818" s="2" t="s">
        <v>51</v>
      </c>
      <c r="L1818" s="1">
        <v>578.6</v>
      </c>
      <c r="M1818" s="1">
        <v>46</v>
      </c>
      <c r="N1818" s="1" t="str">
        <f t="shared" si="143"/>
        <v>Published</v>
      </c>
      <c r="O1818" s="1">
        <f t="shared" si="141"/>
        <v>266.15600000000001</v>
      </c>
      <c r="P1818" s="1">
        <v>3</v>
      </c>
      <c r="Q1818" s="1">
        <v>848</v>
      </c>
      <c r="R1818" s="1" t="str">
        <f t="shared" si="144"/>
        <v>1</v>
      </c>
      <c r="S1818" s="1">
        <v>151</v>
      </c>
      <c r="T1818" s="1" t="str">
        <f t="shared" si="142"/>
        <v>3</v>
      </c>
      <c r="U1818" s="1">
        <v>-31.068059999999999</v>
      </c>
      <c r="V1818" s="3">
        <v>152.82420200000001</v>
      </c>
    </row>
    <row r="1819" spans="1:22" x14ac:dyDescent="0.35">
      <c r="A1819" s="22" t="s">
        <v>5191</v>
      </c>
      <c r="B1819" s="1" t="s">
        <v>5192</v>
      </c>
      <c r="C1819" s="1" t="s">
        <v>390</v>
      </c>
      <c r="D1819" s="1" t="s">
        <v>390</v>
      </c>
      <c r="E1819" s="1" t="s">
        <v>107</v>
      </c>
      <c r="F1819" s="1" t="s">
        <v>57</v>
      </c>
      <c r="G1819" s="1">
        <f t="shared" si="140"/>
        <v>2</v>
      </c>
      <c r="H1819" s="1" t="s">
        <v>92</v>
      </c>
      <c r="I1819" s="1" t="s">
        <v>4583</v>
      </c>
      <c r="J1819" s="23" t="s">
        <v>50</v>
      </c>
      <c r="K1819" s="2" t="s">
        <v>51</v>
      </c>
      <c r="L1819" s="1">
        <v>438</v>
      </c>
      <c r="M1819" s="1">
        <v>21</v>
      </c>
      <c r="N1819" s="1" t="str">
        <f t="shared" si="143"/>
        <v>Published</v>
      </c>
      <c r="O1819" s="1">
        <f t="shared" si="141"/>
        <v>91.97999999999999</v>
      </c>
      <c r="P1819" s="1">
        <v>10</v>
      </c>
      <c r="Q1819" s="1">
        <v>934</v>
      </c>
      <c r="R1819" s="1" t="str">
        <f t="shared" si="144"/>
        <v>2</v>
      </c>
      <c r="S1819" s="1">
        <v>119</v>
      </c>
      <c r="T1819" s="1" t="str">
        <f t="shared" si="142"/>
        <v>3</v>
      </c>
      <c r="U1819" s="1">
        <v>-28.820823000000001</v>
      </c>
      <c r="V1819" s="3">
        <v>153.29729399999999</v>
      </c>
    </row>
    <row r="1820" spans="1:22" x14ac:dyDescent="0.35">
      <c r="A1820" s="22" t="s">
        <v>5193</v>
      </c>
      <c r="B1820" s="1" t="s">
        <v>5194</v>
      </c>
      <c r="C1820" s="1" t="s">
        <v>5195</v>
      </c>
      <c r="D1820" s="1" t="s">
        <v>872</v>
      </c>
      <c r="E1820" s="1" t="s">
        <v>261</v>
      </c>
      <c r="F1820" s="1" t="s">
        <v>57</v>
      </c>
      <c r="G1820" s="1">
        <f t="shared" si="140"/>
        <v>2</v>
      </c>
      <c r="H1820" s="1" t="s">
        <v>58</v>
      </c>
      <c r="I1820" s="1" t="s">
        <v>4583</v>
      </c>
      <c r="J1820" s="23" t="s">
        <v>50</v>
      </c>
      <c r="K1820" s="2" t="s">
        <v>51</v>
      </c>
      <c r="L1820" s="1">
        <v>653.79999999999995</v>
      </c>
      <c r="M1820" s="1">
        <v>21</v>
      </c>
      <c r="N1820" s="1" t="str">
        <f t="shared" si="143"/>
        <v>Published</v>
      </c>
      <c r="O1820" s="1">
        <f t="shared" si="141"/>
        <v>137.29799999999997</v>
      </c>
      <c r="P1820" s="1">
        <v>9</v>
      </c>
      <c r="Q1820" s="1">
        <v>918</v>
      </c>
      <c r="R1820" s="1" t="str">
        <f t="shared" si="144"/>
        <v>2</v>
      </c>
      <c r="S1820" s="1">
        <v>133</v>
      </c>
      <c r="T1820" s="1" t="str">
        <f t="shared" si="142"/>
        <v>4</v>
      </c>
      <c r="U1820" s="1">
        <v>-33.485739000000002</v>
      </c>
      <c r="V1820" s="3">
        <v>150.16627099999999</v>
      </c>
    </row>
    <row r="1821" spans="1:22" x14ac:dyDescent="0.35">
      <c r="A1821" s="22" t="s">
        <v>5196</v>
      </c>
      <c r="B1821" s="1" t="s">
        <v>5197</v>
      </c>
      <c r="C1821" s="1" t="s">
        <v>1829</v>
      </c>
      <c r="D1821" s="1" t="s">
        <v>489</v>
      </c>
      <c r="E1821" s="1" t="s">
        <v>56</v>
      </c>
      <c r="F1821" s="1" t="s">
        <v>47</v>
      </c>
      <c r="G1821" s="1">
        <f t="shared" si="140"/>
        <v>1</v>
      </c>
      <c r="H1821" s="1" t="s">
        <v>58</v>
      </c>
      <c r="I1821" s="1" t="s">
        <v>4583</v>
      </c>
      <c r="J1821" s="23" t="s">
        <v>50</v>
      </c>
      <c r="K1821" s="2" t="s">
        <v>51</v>
      </c>
      <c r="L1821" s="1">
        <v>956</v>
      </c>
      <c r="M1821" s="1">
        <v>19</v>
      </c>
      <c r="N1821" s="1" t="str">
        <f t="shared" si="143"/>
        <v>Published</v>
      </c>
      <c r="O1821" s="1">
        <f t="shared" si="141"/>
        <v>181.64000000000001</v>
      </c>
      <c r="P1821" s="1">
        <v>8</v>
      </c>
      <c r="Q1821" s="1">
        <v>947</v>
      </c>
      <c r="R1821" s="1" t="str">
        <f t="shared" si="144"/>
        <v>2</v>
      </c>
      <c r="S1821" s="1">
        <v>119</v>
      </c>
      <c r="T1821" s="1" t="str">
        <f t="shared" si="142"/>
        <v>4</v>
      </c>
      <c r="U1821" s="1">
        <v>-32.747365000000002</v>
      </c>
      <c r="V1821" s="3">
        <v>151.59733299999999</v>
      </c>
    </row>
    <row r="1822" spans="1:22" x14ac:dyDescent="0.35">
      <c r="A1822" s="22" t="s">
        <v>5198</v>
      </c>
      <c r="B1822" s="1" t="s">
        <v>5199</v>
      </c>
      <c r="C1822" s="1" t="s">
        <v>5200</v>
      </c>
      <c r="D1822" s="1" t="s">
        <v>489</v>
      </c>
      <c r="E1822" s="1" t="s">
        <v>56</v>
      </c>
      <c r="F1822" s="1" t="s">
        <v>47</v>
      </c>
      <c r="G1822" s="1">
        <f t="shared" si="140"/>
        <v>1</v>
      </c>
      <c r="H1822" s="1" t="s">
        <v>58</v>
      </c>
      <c r="I1822" s="1" t="s">
        <v>4583</v>
      </c>
      <c r="J1822" s="23" t="s">
        <v>50</v>
      </c>
      <c r="K1822" s="2" t="s">
        <v>51</v>
      </c>
      <c r="L1822" s="1">
        <v>898</v>
      </c>
      <c r="M1822" s="1">
        <v>16</v>
      </c>
      <c r="N1822" s="1" t="str">
        <f t="shared" si="143"/>
        <v>Published</v>
      </c>
      <c r="O1822" s="1">
        <f t="shared" si="141"/>
        <v>143.68</v>
      </c>
      <c r="P1822" s="1">
        <v>8</v>
      </c>
      <c r="Q1822" s="1">
        <v>960</v>
      </c>
      <c r="R1822" s="1" t="str">
        <f t="shared" si="144"/>
        <v>2</v>
      </c>
      <c r="S1822" s="1">
        <v>107</v>
      </c>
      <c r="T1822" s="1" t="str">
        <f t="shared" si="142"/>
        <v>4</v>
      </c>
      <c r="U1822" s="1">
        <v>-32.743453000000002</v>
      </c>
      <c r="V1822" s="3">
        <v>151.59150399999999</v>
      </c>
    </row>
    <row r="1823" spans="1:22" x14ac:dyDescent="0.35">
      <c r="A1823" s="22" t="s">
        <v>5201</v>
      </c>
      <c r="B1823" s="1" t="s">
        <v>5202</v>
      </c>
      <c r="C1823" s="1" t="s">
        <v>2044</v>
      </c>
      <c r="D1823" s="1" t="s">
        <v>1399</v>
      </c>
      <c r="E1823" s="1" t="s">
        <v>261</v>
      </c>
      <c r="F1823" s="1" t="s">
        <v>57</v>
      </c>
      <c r="G1823" s="1">
        <f t="shared" si="140"/>
        <v>2</v>
      </c>
      <c r="H1823" s="1" t="s">
        <v>58</v>
      </c>
      <c r="I1823" s="1" t="s">
        <v>4583</v>
      </c>
      <c r="J1823" s="23" t="s">
        <v>50</v>
      </c>
      <c r="K1823" s="2" t="s">
        <v>51</v>
      </c>
      <c r="L1823" s="1">
        <v>787.4</v>
      </c>
      <c r="M1823" s="1">
        <v>18</v>
      </c>
      <c r="N1823" s="1" t="str">
        <f t="shared" si="143"/>
        <v>Published</v>
      </c>
      <c r="O1823" s="1">
        <f t="shared" si="141"/>
        <v>141.732</v>
      </c>
      <c r="P1823" s="1">
        <v>5</v>
      </c>
      <c r="Q1823" s="1">
        <v>928</v>
      </c>
      <c r="R1823" s="1" t="str">
        <f t="shared" si="144"/>
        <v>2</v>
      </c>
      <c r="S1823" s="1">
        <v>116</v>
      </c>
      <c r="T1823" s="1" t="str">
        <f t="shared" si="142"/>
        <v>4</v>
      </c>
      <c r="U1823" s="1">
        <v>-32.597793000000003</v>
      </c>
      <c r="V1823" s="3">
        <v>149.58362700000001</v>
      </c>
    </row>
    <row r="1824" spans="1:22" x14ac:dyDescent="0.35">
      <c r="A1824" s="22" t="s">
        <v>5203</v>
      </c>
      <c r="B1824" s="1" t="s">
        <v>5204</v>
      </c>
      <c r="C1824" s="1" t="s">
        <v>2086</v>
      </c>
      <c r="D1824" s="1" t="s">
        <v>236</v>
      </c>
      <c r="E1824" s="1" t="s">
        <v>107</v>
      </c>
      <c r="F1824" s="1" t="s">
        <v>57</v>
      </c>
      <c r="G1824" s="1">
        <f t="shared" si="140"/>
        <v>2</v>
      </c>
      <c r="H1824" s="1" t="s">
        <v>92</v>
      </c>
      <c r="I1824" s="1" t="s">
        <v>4583</v>
      </c>
      <c r="J1824" s="23" t="s">
        <v>50</v>
      </c>
      <c r="K1824" s="2" t="s">
        <v>51</v>
      </c>
      <c r="L1824" s="1">
        <v>340.4</v>
      </c>
      <c r="M1824" s="1">
        <v>13</v>
      </c>
      <c r="N1824" s="1" t="str">
        <f t="shared" si="143"/>
        <v>Published</v>
      </c>
      <c r="O1824" s="1">
        <f t="shared" si="141"/>
        <v>44.251999999999995</v>
      </c>
      <c r="P1824" s="1">
        <v>9</v>
      </c>
      <c r="Q1824" s="1">
        <v>950</v>
      </c>
      <c r="R1824" s="1" t="str">
        <f t="shared" si="144"/>
        <v>2</v>
      </c>
      <c r="S1824" s="1">
        <v>118</v>
      </c>
      <c r="T1824" s="1" t="str">
        <f t="shared" si="142"/>
        <v>3</v>
      </c>
      <c r="U1824" s="1">
        <v>-28.334489999999999</v>
      </c>
      <c r="V1824" s="3">
        <v>153.39063999999999</v>
      </c>
    </row>
    <row r="1825" spans="1:22" x14ac:dyDescent="0.35">
      <c r="A1825" s="22" t="s">
        <v>5205</v>
      </c>
      <c r="B1825" s="1" t="s">
        <v>5206</v>
      </c>
      <c r="C1825" s="1" t="s">
        <v>685</v>
      </c>
      <c r="D1825" s="1" t="s">
        <v>685</v>
      </c>
      <c r="E1825" s="1" t="s">
        <v>147</v>
      </c>
      <c r="F1825" s="1" t="s">
        <v>47</v>
      </c>
      <c r="G1825" s="1">
        <f t="shared" si="140"/>
        <v>1</v>
      </c>
      <c r="H1825" s="1" t="s">
        <v>148</v>
      </c>
      <c r="I1825" s="1" t="s">
        <v>4583</v>
      </c>
      <c r="J1825" s="23" t="s">
        <v>5167</v>
      </c>
      <c r="K1825" s="2" t="s">
        <v>4755</v>
      </c>
      <c r="L1825" s="1">
        <v>933</v>
      </c>
      <c r="M1825" s="1">
        <v>0</v>
      </c>
      <c r="N1825" s="1" t="str">
        <f t="shared" si="143"/>
        <v>Published</v>
      </c>
      <c r="O1825" s="1">
        <f t="shared" si="141"/>
        <v>0</v>
      </c>
      <c r="P1825" s="1">
        <v>95</v>
      </c>
      <c r="Q1825" s="1">
        <v>1195</v>
      </c>
      <c r="R1825" s="1" t="str">
        <f t="shared" si="144"/>
        <v>4</v>
      </c>
      <c r="S1825" s="1">
        <v>3</v>
      </c>
      <c r="T1825" s="1" t="str">
        <f t="shared" si="142"/>
        <v>4</v>
      </c>
      <c r="U1825" s="1">
        <v>-33.829335999999998</v>
      </c>
      <c r="V1825" s="3">
        <v>151.20773399999999</v>
      </c>
    </row>
    <row r="1826" spans="1:22" x14ac:dyDescent="0.35">
      <c r="A1826" s="22" t="s">
        <v>5207</v>
      </c>
      <c r="B1826" s="1" t="s">
        <v>5208</v>
      </c>
      <c r="C1826" s="1" t="s">
        <v>5209</v>
      </c>
      <c r="D1826" s="1" t="s">
        <v>685</v>
      </c>
      <c r="E1826" s="1" t="s">
        <v>147</v>
      </c>
      <c r="F1826" s="1" t="s">
        <v>47</v>
      </c>
      <c r="G1826" s="1">
        <f t="shared" si="140"/>
        <v>1</v>
      </c>
      <c r="H1826" s="1" t="s">
        <v>148</v>
      </c>
      <c r="I1826" s="1" t="s">
        <v>4583</v>
      </c>
      <c r="J1826" s="23" t="s">
        <v>5167</v>
      </c>
      <c r="K1826" s="2" t="s">
        <v>5184</v>
      </c>
      <c r="L1826" s="1">
        <v>911.3</v>
      </c>
      <c r="M1826" s="1">
        <v>0</v>
      </c>
      <c r="N1826" s="1" t="str">
        <f t="shared" si="143"/>
        <v>Published</v>
      </c>
      <c r="O1826" s="1">
        <f t="shared" si="141"/>
        <v>0</v>
      </c>
      <c r="P1826" s="1">
        <v>94</v>
      </c>
      <c r="Q1826" s="1">
        <v>1203</v>
      </c>
      <c r="R1826" s="1" t="str">
        <f t="shared" si="144"/>
        <v>4</v>
      </c>
      <c r="S1826" s="1">
        <v>3</v>
      </c>
      <c r="T1826" s="1" t="str">
        <f t="shared" si="142"/>
        <v>4</v>
      </c>
      <c r="U1826" s="1">
        <v>-33.830244</v>
      </c>
      <c r="V1826" s="3">
        <v>151.20344700000001</v>
      </c>
    </row>
    <row r="1827" spans="1:22" x14ac:dyDescent="0.35">
      <c r="A1827" s="22" t="s">
        <v>5210</v>
      </c>
      <c r="B1827" s="1" t="s">
        <v>5211</v>
      </c>
      <c r="C1827" s="1" t="s">
        <v>703</v>
      </c>
      <c r="D1827" s="1" t="s">
        <v>703</v>
      </c>
      <c r="E1827" s="1" t="s">
        <v>261</v>
      </c>
      <c r="F1827" s="1" t="s">
        <v>57</v>
      </c>
      <c r="G1827" s="1">
        <f t="shared" si="140"/>
        <v>2</v>
      </c>
      <c r="H1827" s="1" t="s">
        <v>70</v>
      </c>
      <c r="I1827" s="1" t="s">
        <v>4583</v>
      </c>
      <c r="J1827" s="23" t="s">
        <v>50</v>
      </c>
      <c r="K1827" s="2" t="s">
        <v>51</v>
      </c>
      <c r="L1827" s="1">
        <v>914</v>
      </c>
      <c r="M1827" s="1">
        <v>15</v>
      </c>
      <c r="N1827" s="1" t="str">
        <f t="shared" si="143"/>
        <v>Published</v>
      </c>
      <c r="O1827" s="1">
        <f t="shared" si="141"/>
        <v>137.1</v>
      </c>
      <c r="P1827" s="1">
        <v>10</v>
      </c>
      <c r="Q1827" s="1">
        <v>979</v>
      </c>
      <c r="R1827" s="1" t="str">
        <f t="shared" si="144"/>
        <v>2</v>
      </c>
      <c r="S1827" s="1">
        <v>92</v>
      </c>
      <c r="T1827" s="1" t="str">
        <f t="shared" si="142"/>
        <v>4</v>
      </c>
      <c r="U1827" s="1">
        <v>-33.280352000000001</v>
      </c>
      <c r="V1827" s="3">
        <v>149.084361</v>
      </c>
    </row>
    <row r="1828" spans="1:22" x14ac:dyDescent="0.35">
      <c r="A1828" s="22" t="s">
        <v>5212</v>
      </c>
      <c r="B1828" s="1" t="s">
        <v>5213</v>
      </c>
      <c r="C1828" s="1" t="s">
        <v>642</v>
      </c>
      <c r="D1828" s="1" t="s">
        <v>642</v>
      </c>
      <c r="E1828" s="1" t="s">
        <v>170</v>
      </c>
      <c r="F1828" s="1" t="s">
        <v>47</v>
      </c>
      <c r="G1828" s="1">
        <f t="shared" si="140"/>
        <v>1</v>
      </c>
      <c r="H1828" s="1" t="s">
        <v>48</v>
      </c>
      <c r="I1828" s="1" t="s">
        <v>4583</v>
      </c>
      <c r="J1828" s="23" t="s">
        <v>5177</v>
      </c>
      <c r="K1828" s="2" t="s">
        <v>51</v>
      </c>
      <c r="L1828" s="1">
        <v>1128</v>
      </c>
      <c r="M1828" s="1"/>
      <c r="N1828" s="1" t="str">
        <f t="shared" si="143"/>
        <v>Suppressed</v>
      </c>
      <c r="O1828" s="1" t="str">
        <f t="shared" si="141"/>
        <v/>
      </c>
      <c r="P1828" s="1">
        <v>97</v>
      </c>
      <c r="Q1828" s="1">
        <v>1132</v>
      </c>
      <c r="R1828" s="1" t="str">
        <f t="shared" si="144"/>
        <v>4</v>
      </c>
      <c r="S1828" s="1">
        <v>13</v>
      </c>
      <c r="T1828" s="1" t="str">
        <f t="shared" si="142"/>
        <v>5</v>
      </c>
      <c r="U1828" s="1">
        <v>-33.817883000000002</v>
      </c>
      <c r="V1828" s="3">
        <v>150.996083</v>
      </c>
    </row>
    <row r="1829" spans="1:22" x14ac:dyDescent="0.35">
      <c r="A1829" s="22" t="s">
        <v>5214</v>
      </c>
      <c r="B1829" s="1" t="s">
        <v>5215</v>
      </c>
      <c r="C1829" s="1" t="s">
        <v>1676</v>
      </c>
      <c r="D1829" s="1" t="s">
        <v>386</v>
      </c>
      <c r="E1829" s="1" t="s">
        <v>229</v>
      </c>
      <c r="F1829" s="1" t="s">
        <v>47</v>
      </c>
      <c r="G1829" s="1">
        <f t="shared" si="140"/>
        <v>1</v>
      </c>
      <c r="H1829" s="1" t="s">
        <v>48</v>
      </c>
      <c r="I1829" s="1" t="s">
        <v>4583</v>
      </c>
      <c r="J1829" s="23" t="s">
        <v>5167</v>
      </c>
      <c r="K1829" s="2" t="s">
        <v>5184</v>
      </c>
      <c r="L1829" s="1">
        <v>907.9</v>
      </c>
      <c r="M1829" s="1"/>
      <c r="N1829" s="1" t="str">
        <f t="shared" si="143"/>
        <v>Suppressed</v>
      </c>
      <c r="O1829" s="1" t="str">
        <f t="shared" si="141"/>
        <v/>
      </c>
      <c r="P1829" s="1">
        <v>94</v>
      </c>
      <c r="Q1829" s="1">
        <v>1148</v>
      </c>
      <c r="R1829" s="1" t="str">
        <f t="shared" si="144"/>
        <v>4</v>
      </c>
      <c r="S1829" s="1">
        <v>18</v>
      </c>
      <c r="T1829" s="1" t="str">
        <f t="shared" si="142"/>
        <v>4</v>
      </c>
      <c r="U1829" s="1">
        <v>-33.959072999999997</v>
      </c>
      <c r="V1829" s="3">
        <v>151.13603499999999</v>
      </c>
    </row>
    <row r="1830" spans="1:22" x14ac:dyDescent="0.35">
      <c r="A1830" s="22" t="s">
        <v>5216</v>
      </c>
      <c r="B1830" s="1" t="s">
        <v>5217</v>
      </c>
      <c r="C1830" s="1" t="s">
        <v>5218</v>
      </c>
      <c r="D1830" s="1" t="s">
        <v>1003</v>
      </c>
      <c r="E1830" s="1" t="s">
        <v>330</v>
      </c>
      <c r="F1830" s="1" t="s">
        <v>47</v>
      </c>
      <c r="G1830" s="1">
        <f t="shared" si="140"/>
        <v>1</v>
      </c>
      <c r="H1830" s="1" t="s">
        <v>48</v>
      </c>
      <c r="I1830" s="1" t="s">
        <v>4583</v>
      </c>
      <c r="J1830" s="23" t="s">
        <v>5167</v>
      </c>
      <c r="K1830" s="2" t="s">
        <v>4755</v>
      </c>
      <c r="L1830" s="1">
        <v>1201.5999999999999</v>
      </c>
      <c r="M1830" s="1">
        <v>0</v>
      </c>
      <c r="N1830" s="1" t="str">
        <f t="shared" si="143"/>
        <v>Published</v>
      </c>
      <c r="O1830" s="1">
        <f t="shared" si="141"/>
        <v>0</v>
      </c>
      <c r="P1830" s="1">
        <v>93</v>
      </c>
      <c r="Q1830" s="1">
        <v>1189</v>
      </c>
      <c r="R1830" s="1" t="str">
        <f t="shared" si="144"/>
        <v>4</v>
      </c>
      <c r="S1830" s="1">
        <v>5</v>
      </c>
      <c r="T1830" s="1" t="str">
        <f t="shared" si="142"/>
        <v>5</v>
      </c>
      <c r="U1830" s="1">
        <v>-33.892164999999999</v>
      </c>
      <c r="V1830" s="3">
        <v>151.21890400000001</v>
      </c>
    </row>
    <row r="1831" spans="1:22" x14ac:dyDescent="0.35">
      <c r="A1831" s="22" t="s">
        <v>5219</v>
      </c>
      <c r="B1831" s="1" t="s">
        <v>5220</v>
      </c>
      <c r="C1831" s="1" t="s">
        <v>3329</v>
      </c>
      <c r="D1831" s="1" t="s">
        <v>1003</v>
      </c>
      <c r="E1831" s="1" t="s">
        <v>330</v>
      </c>
      <c r="F1831" s="1" t="s">
        <v>47</v>
      </c>
      <c r="G1831" s="1">
        <f t="shared" si="140"/>
        <v>1</v>
      </c>
      <c r="H1831" s="1" t="s">
        <v>48</v>
      </c>
      <c r="I1831" s="1" t="s">
        <v>4583</v>
      </c>
      <c r="J1831" s="23" t="s">
        <v>5167</v>
      </c>
      <c r="K1831" s="2" t="s">
        <v>5184</v>
      </c>
      <c r="L1831" s="1">
        <v>929</v>
      </c>
      <c r="M1831" s="1">
        <v>0</v>
      </c>
      <c r="N1831" s="1" t="str">
        <f t="shared" si="143"/>
        <v>Published</v>
      </c>
      <c r="O1831" s="1">
        <f t="shared" si="141"/>
        <v>0</v>
      </c>
      <c r="P1831" s="1">
        <v>91</v>
      </c>
      <c r="Q1831" s="1">
        <v>1193</v>
      </c>
      <c r="R1831" s="1" t="str">
        <f t="shared" si="144"/>
        <v>4</v>
      </c>
      <c r="S1831" s="1">
        <v>4</v>
      </c>
      <c r="T1831" s="1" t="str">
        <f t="shared" si="142"/>
        <v>4</v>
      </c>
      <c r="U1831" s="1">
        <v>-33.894190999999999</v>
      </c>
      <c r="V1831" s="3">
        <v>151.220371</v>
      </c>
    </row>
    <row r="1832" spans="1:22" x14ac:dyDescent="0.35">
      <c r="A1832" s="22" t="s">
        <v>5221</v>
      </c>
      <c r="B1832" s="1" t="s">
        <v>5222</v>
      </c>
      <c r="C1832" s="1" t="s">
        <v>5223</v>
      </c>
      <c r="D1832" s="1" t="s">
        <v>90</v>
      </c>
      <c r="E1832" s="1" t="s">
        <v>91</v>
      </c>
      <c r="F1832" s="1" t="s">
        <v>57</v>
      </c>
      <c r="G1832" s="1">
        <f t="shared" si="140"/>
        <v>2</v>
      </c>
      <c r="H1832" s="1" t="s">
        <v>92</v>
      </c>
      <c r="I1832" s="1" t="s">
        <v>4583</v>
      </c>
      <c r="J1832" s="23" t="s">
        <v>50</v>
      </c>
      <c r="K1832" s="2" t="s">
        <v>51</v>
      </c>
      <c r="L1832" s="1">
        <v>658.1</v>
      </c>
      <c r="M1832" s="1">
        <v>43</v>
      </c>
      <c r="N1832" s="1" t="str">
        <f t="shared" si="143"/>
        <v>Published</v>
      </c>
      <c r="O1832" s="1">
        <f t="shared" si="141"/>
        <v>282.983</v>
      </c>
      <c r="P1832" s="1">
        <v>5</v>
      </c>
      <c r="Q1832" s="1">
        <v>860</v>
      </c>
      <c r="R1832" s="1" t="str">
        <f t="shared" si="144"/>
        <v>1</v>
      </c>
      <c r="S1832" s="1">
        <v>149</v>
      </c>
      <c r="T1832" s="1" t="str">
        <f t="shared" si="142"/>
        <v>4</v>
      </c>
      <c r="U1832" s="1">
        <v>-31.105768000000001</v>
      </c>
      <c r="V1832" s="3">
        <v>150.91693599999999</v>
      </c>
    </row>
    <row r="1833" spans="1:22" x14ac:dyDescent="0.35">
      <c r="A1833" s="22" t="s">
        <v>5224</v>
      </c>
      <c r="B1833" s="1" t="s">
        <v>5225</v>
      </c>
      <c r="C1833" s="1" t="s">
        <v>2628</v>
      </c>
      <c r="D1833" s="1" t="s">
        <v>275</v>
      </c>
      <c r="E1833" s="1" t="s">
        <v>276</v>
      </c>
      <c r="F1833" s="1" t="s">
        <v>57</v>
      </c>
      <c r="G1833" s="1">
        <f t="shared" si="140"/>
        <v>2</v>
      </c>
      <c r="H1833" s="1" t="s">
        <v>86</v>
      </c>
      <c r="I1833" s="1" t="s">
        <v>4583</v>
      </c>
      <c r="J1833" s="23" t="s">
        <v>50</v>
      </c>
      <c r="K1833" s="2" t="s">
        <v>51</v>
      </c>
      <c r="L1833" s="1">
        <v>620.6</v>
      </c>
      <c r="M1833" s="1">
        <v>25</v>
      </c>
      <c r="N1833" s="1" t="str">
        <f t="shared" si="143"/>
        <v>Published</v>
      </c>
      <c r="O1833" s="1">
        <f t="shared" si="141"/>
        <v>155.15</v>
      </c>
      <c r="P1833" s="1">
        <v>3</v>
      </c>
      <c r="Q1833" s="1">
        <v>918</v>
      </c>
      <c r="R1833" s="1" t="str">
        <f t="shared" si="144"/>
        <v>2</v>
      </c>
      <c r="S1833" s="1">
        <v>126</v>
      </c>
      <c r="T1833" s="1" t="str">
        <f t="shared" si="142"/>
        <v>4</v>
      </c>
      <c r="U1833" s="1">
        <v>-31.909866000000001</v>
      </c>
      <c r="V1833" s="3">
        <v>152.46386000000001</v>
      </c>
    </row>
    <row r="1834" spans="1:22" x14ac:dyDescent="0.35">
      <c r="A1834" s="22" t="s">
        <v>5226</v>
      </c>
      <c r="B1834" s="1" t="s">
        <v>5227</v>
      </c>
      <c r="C1834" s="1" t="s">
        <v>741</v>
      </c>
      <c r="D1834" s="1" t="s">
        <v>224</v>
      </c>
      <c r="E1834" s="1" t="s">
        <v>229</v>
      </c>
      <c r="F1834" s="1" t="s">
        <v>47</v>
      </c>
      <c r="G1834" s="1">
        <f t="shared" si="140"/>
        <v>1</v>
      </c>
      <c r="H1834" s="1" t="s">
        <v>48</v>
      </c>
      <c r="I1834" s="1" t="s">
        <v>4583</v>
      </c>
      <c r="J1834" s="23" t="s">
        <v>5167</v>
      </c>
      <c r="K1834" s="2" t="s">
        <v>4755</v>
      </c>
      <c r="L1834" s="1">
        <v>905.6</v>
      </c>
      <c r="M1834" s="1"/>
      <c r="N1834" s="1" t="str">
        <f t="shared" si="143"/>
        <v>Suppressed</v>
      </c>
      <c r="O1834" s="1" t="str">
        <f t="shared" si="141"/>
        <v/>
      </c>
      <c r="P1834" s="1">
        <v>95</v>
      </c>
      <c r="Q1834" s="1">
        <v>1136</v>
      </c>
      <c r="R1834" s="1" t="str">
        <f t="shared" si="144"/>
        <v>4</v>
      </c>
      <c r="S1834" s="1">
        <v>21</v>
      </c>
      <c r="T1834" s="1" t="str">
        <f t="shared" si="142"/>
        <v>4</v>
      </c>
      <c r="U1834" s="1">
        <v>-33.963075000000003</v>
      </c>
      <c r="V1834" s="3">
        <v>151.11434199999999</v>
      </c>
    </row>
    <row r="1835" spans="1:22" x14ac:dyDescent="0.35">
      <c r="A1835" s="22" t="s">
        <v>5228</v>
      </c>
      <c r="B1835" s="1" t="s">
        <v>5229</v>
      </c>
      <c r="C1835" s="1" t="s">
        <v>713</v>
      </c>
      <c r="D1835" s="1" t="s">
        <v>713</v>
      </c>
      <c r="E1835" s="1" t="s">
        <v>80</v>
      </c>
      <c r="F1835" s="1" t="s">
        <v>57</v>
      </c>
      <c r="G1835" s="1">
        <f t="shared" si="140"/>
        <v>2</v>
      </c>
      <c r="H1835" s="1" t="s">
        <v>70</v>
      </c>
      <c r="I1835" s="1" t="s">
        <v>4583</v>
      </c>
      <c r="J1835" s="23" t="s">
        <v>50</v>
      </c>
      <c r="K1835" s="2" t="s">
        <v>51</v>
      </c>
      <c r="L1835" s="1">
        <v>816.2</v>
      </c>
      <c r="M1835" s="1">
        <v>13</v>
      </c>
      <c r="N1835" s="1" t="str">
        <f t="shared" si="143"/>
        <v>Published</v>
      </c>
      <c r="O1835" s="1">
        <f t="shared" si="141"/>
        <v>106.10600000000001</v>
      </c>
      <c r="P1835" s="1">
        <v>23</v>
      </c>
      <c r="Q1835" s="1">
        <v>960</v>
      </c>
      <c r="R1835" s="1" t="str">
        <f t="shared" si="144"/>
        <v>2</v>
      </c>
      <c r="S1835" s="1">
        <v>112</v>
      </c>
      <c r="T1835" s="1" t="str">
        <f t="shared" si="142"/>
        <v>4</v>
      </c>
      <c r="U1835" s="1">
        <v>-35.124437999999998</v>
      </c>
      <c r="V1835" s="3">
        <v>147.36436599999999</v>
      </c>
    </row>
    <row r="1836" spans="1:22" x14ac:dyDescent="0.35">
      <c r="A1836" s="22" t="s">
        <v>5230</v>
      </c>
      <c r="B1836" s="1" t="s">
        <v>5231</v>
      </c>
      <c r="C1836" s="1" t="s">
        <v>1199</v>
      </c>
      <c r="D1836" s="1" t="s">
        <v>176</v>
      </c>
      <c r="E1836" s="1" t="s">
        <v>85</v>
      </c>
      <c r="F1836" s="1" t="s">
        <v>47</v>
      </c>
      <c r="G1836" s="1">
        <f t="shared" si="140"/>
        <v>1</v>
      </c>
      <c r="H1836" s="1" t="s">
        <v>86</v>
      </c>
      <c r="I1836" s="1" t="s">
        <v>4583</v>
      </c>
      <c r="J1836" s="23" t="s">
        <v>50</v>
      </c>
      <c r="K1836" s="2" t="s">
        <v>51</v>
      </c>
      <c r="L1836" s="1">
        <v>1168.4000000000001</v>
      </c>
      <c r="M1836" s="1">
        <v>5</v>
      </c>
      <c r="N1836" s="1" t="str">
        <f t="shared" si="143"/>
        <v>Published</v>
      </c>
      <c r="O1836" s="1">
        <f t="shared" si="141"/>
        <v>58.420000000000009</v>
      </c>
      <c r="P1836" s="1">
        <v>26</v>
      </c>
      <c r="Q1836" s="1">
        <v>1075</v>
      </c>
      <c r="R1836" s="1" t="str">
        <f t="shared" si="144"/>
        <v>3</v>
      </c>
      <c r="S1836" s="1">
        <v>49</v>
      </c>
      <c r="T1836" s="1" t="str">
        <f t="shared" si="142"/>
        <v>5</v>
      </c>
      <c r="U1836" s="1">
        <v>-34.406432000000002</v>
      </c>
      <c r="V1836" s="3">
        <v>150.88918799999999</v>
      </c>
    </row>
    <row r="1837" spans="1:22" x14ac:dyDescent="0.35">
      <c r="A1837" s="22" t="s">
        <v>5232</v>
      </c>
      <c r="B1837" s="1" t="s">
        <v>5233</v>
      </c>
      <c r="C1837" s="1" t="s">
        <v>3030</v>
      </c>
      <c r="D1837" s="1" t="s">
        <v>1763</v>
      </c>
      <c r="E1837" s="1" t="s">
        <v>80</v>
      </c>
      <c r="F1837" s="1" t="s">
        <v>69</v>
      </c>
      <c r="G1837" s="1">
        <f t="shared" si="140"/>
        <v>3</v>
      </c>
      <c r="H1837" s="1" t="s">
        <v>70</v>
      </c>
      <c r="I1837" s="1" t="s">
        <v>4583</v>
      </c>
      <c r="J1837" s="23" t="s">
        <v>5167</v>
      </c>
      <c r="K1837" s="2" t="s">
        <v>51</v>
      </c>
      <c r="L1837" s="1">
        <v>319</v>
      </c>
      <c r="M1837" s="1">
        <v>5</v>
      </c>
      <c r="N1837" s="1" t="str">
        <f t="shared" si="143"/>
        <v>Published</v>
      </c>
      <c r="O1837" s="1">
        <f t="shared" si="141"/>
        <v>15.950000000000001</v>
      </c>
      <c r="P1837" s="1"/>
      <c r="Q1837" s="1">
        <v>1009</v>
      </c>
      <c r="R1837" s="1" t="str">
        <f t="shared" si="144"/>
        <v>3</v>
      </c>
      <c r="S1837" s="1">
        <v>74</v>
      </c>
      <c r="T1837" s="1" t="str">
        <f t="shared" si="142"/>
        <v>3</v>
      </c>
      <c r="U1837" s="1">
        <v>-34.632238999999998</v>
      </c>
      <c r="V1837" s="3">
        <v>146.383678</v>
      </c>
    </row>
    <row r="1838" spans="1:22" x14ac:dyDescent="0.35">
      <c r="A1838" s="22" t="s">
        <v>5234</v>
      </c>
      <c r="B1838" s="1" t="s">
        <v>5235</v>
      </c>
      <c r="C1838" s="1" t="s">
        <v>478</v>
      </c>
      <c r="D1838" s="1" t="s">
        <v>478</v>
      </c>
      <c r="E1838" s="1" t="s">
        <v>261</v>
      </c>
      <c r="F1838" s="1" t="s">
        <v>69</v>
      </c>
      <c r="G1838" s="1">
        <f t="shared" si="140"/>
        <v>3</v>
      </c>
      <c r="H1838" s="1" t="s">
        <v>70</v>
      </c>
      <c r="I1838" s="1" t="s">
        <v>4583</v>
      </c>
      <c r="J1838" s="23" t="s">
        <v>50</v>
      </c>
      <c r="K1838" s="2" t="s">
        <v>51</v>
      </c>
      <c r="L1838" s="1">
        <v>467</v>
      </c>
      <c r="M1838" s="1">
        <v>32</v>
      </c>
      <c r="N1838" s="1" t="str">
        <f t="shared" si="143"/>
        <v>Published</v>
      </c>
      <c r="O1838" s="1">
        <f t="shared" si="141"/>
        <v>149.44</v>
      </c>
      <c r="P1838" s="1">
        <v>4</v>
      </c>
      <c r="Q1838" s="1">
        <v>894</v>
      </c>
      <c r="R1838" s="1" t="str">
        <f t="shared" si="144"/>
        <v>1</v>
      </c>
      <c r="S1838" s="1">
        <v>129</v>
      </c>
      <c r="T1838" s="1" t="str">
        <f t="shared" si="142"/>
        <v>3</v>
      </c>
      <c r="U1838" s="1">
        <v>-33.138824</v>
      </c>
      <c r="V1838" s="3">
        <v>148.18025600000001</v>
      </c>
    </row>
    <row r="1839" spans="1:22" x14ac:dyDescent="0.35">
      <c r="A1839" s="22" t="s">
        <v>5236</v>
      </c>
      <c r="B1839" s="1" t="s">
        <v>5237</v>
      </c>
      <c r="C1839" s="1" t="s">
        <v>1003</v>
      </c>
      <c r="D1839" s="1" t="s">
        <v>1003</v>
      </c>
      <c r="E1839" s="1" t="s">
        <v>225</v>
      </c>
      <c r="F1839" s="1" t="s">
        <v>47</v>
      </c>
      <c r="G1839" s="1">
        <f t="shared" si="140"/>
        <v>1</v>
      </c>
      <c r="H1839" s="1" t="s">
        <v>48</v>
      </c>
      <c r="I1839" s="1" t="s">
        <v>4583</v>
      </c>
      <c r="J1839" s="23" t="s">
        <v>50</v>
      </c>
      <c r="K1839" s="2" t="s">
        <v>51</v>
      </c>
      <c r="L1839" s="1">
        <v>153</v>
      </c>
      <c r="M1839" s="1">
        <v>0</v>
      </c>
      <c r="N1839" s="1" t="str">
        <f t="shared" si="143"/>
        <v>Published</v>
      </c>
      <c r="O1839" s="1">
        <f t="shared" si="141"/>
        <v>0</v>
      </c>
      <c r="P1839" s="1">
        <v>82</v>
      </c>
      <c r="Q1839" s="1">
        <v>1194</v>
      </c>
      <c r="R1839" s="1" t="str">
        <f t="shared" si="144"/>
        <v>4</v>
      </c>
      <c r="S1839" s="1">
        <v>1</v>
      </c>
      <c r="T1839" s="1" t="str">
        <f t="shared" si="142"/>
        <v>2</v>
      </c>
      <c r="U1839" s="1">
        <v>-33.863407000000002</v>
      </c>
      <c r="V1839" s="3">
        <v>151.21408</v>
      </c>
    </row>
    <row r="1840" spans="1:22" x14ac:dyDescent="0.35">
      <c r="A1840" s="22" t="s">
        <v>5238</v>
      </c>
      <c r="B1840" s="1" t="s">
        <v>5239</v>
      </c>
      <c r="C1840" s="1" t="s">
        <v>944</v>
      </c>
      <c r="D1840" s="1" t="s">
        <v>944</v>
      </c>
      <c r="E1840" s="1" t="s">
        <v>261</v>
      </c>
      <c r="F1840" s="1" t="s">
        <v>57</v>
      </c>
      <c r="G1840" s="1">
        <f t="shared" si="140"/>
        <v>2</v>
      </c>
      <c r="H1840" s="1" t="s">
        <v>70</v>
      </c>
      <c r="I1840" s="1" t="s">
        <v>4583</v>
      </c>
      <c r="J1840" s="23" t="s">
        <v>50</v>
      </c>
      <c r="K1840" s="2" t="s">
        <v>51</v>
      </c>
      <c r="L1840" s="1">
        <v>438.6</v>
      </c>
      <c r="M1840" s="1">
        <v>29</v>
      </c>
      <c r="N1840" s="1" t="str">
        <f t="shared" si="143"/>
        <v>Published</v>
      </c>
      <c r="O1840" s="1">
        <f t="shared" si="141"/>
        <v>127.194</v>
      </c>
      <c r="P1840" s="1">
        <v>6</v>
      </c>
      <c r="Q1840" s="1">
        <v>884</v>
      </c>
      <c r="R1840" s="1" t="str">
        <f t="shared" si="144"/>
        <v>1</v>
      </c>
      <c r="S1840" s="1">
        <v>137</v>
      </c>
      <c r="T1840" s="1" t="str">
        <f t="shared" si="142"/>
        <v>3</v>
      </c>
      <c r="U1840" s="1">
        <v>-33.814135999999998</v>
      </c>
      <c r="V1840" s="3">
        <v>148.68834699999999</v>
      </c>
    </row>
    <row r="1841" spans="1:22" x14ac:dyDescent="0.35">
      <c r="A1841" s="22" t="s">
        <v>5240</v>
      </c>
      <c r="B1841" s="1" t="s">
        <v>5241</v>
      </c>
      <c r="C1841" s="1" t="s">
        <v>3421</v>
      </c>
      <c r="D1841" s="1" t="s">
        <v>428</v>
      </c>
      <c r="E1841" s="1" t="s">
        <v>429</v>
      </c>
      <c r="F1841" s="1" t="s">
        <v>47</v>
      </c>
      <c r="G1841" s="1">
        <f t="shared" si="140"/>
        <v>1</v>
      </c>
      <c r="H1841" s="1" t="s">
        <v>63</v>
      </c>
      <c r="I1841" s="1" t="s">
        <v>4583</v>
      </c>
      <c r="J1841" s="23" t="s">
        <v>50</v>
      </c>
      <c r="K1841" s="2" t="s">
        <v>51</v>
      </c>
      <c r="L1841" s="1">
        <v>862</v>
      </c>
      <c r="M1841" s="1">
        <v>8</v>
      </c>
      <c r="N1841" s="1" t="str">
        <f t="shared" si="143"/>
        <v>Published</v>
      </c>
      <c r="O1841" s="1">
        <f t="shared" si="141"/>
        <v>68.960000000000008</v>
      </c>
      <c r="P1841" s="1">
        <v>15</v>
      </c>
      <c r="Q1841" s="1">
        <v>1034</v>
      </c>
      <c r="R1841" s="1" t="str">
        <f t="shared" si="144"/>
        <v>3</v>
      </c>
      <c r="S1841" s="1">
        <v>68</v>
      </c>
      <c r="T1841" s="1" t="str">
        <f t="shared" si="142"/>
        <v>4</v>
      </c>
      <c r="U1841" s="1">
        <v>-33.727401999999998</v>
      </c>
      <c r="V1841" s="3">
        <v>150.31439900000001</v>
      </c>
    </row>
    <row r="1842" spans="1:22" x14ac:dyDescent="0.35">
      <c r="A1842" s="22" t="s">
        <v>5242</v>
      </c>
      <c r="B1842" s="1" t="s">
        <v>5243</v>
      </c>
      <c r="C1842" s="1" t="s">
        <v>1501</v>
      </c>
      <c r="D1842" s="1" t="s">
        <v>1502</v>
      </c>
      <c r="E1842" s="1" t="s">
        <v>46</v>
      </c>
      <c r="F1842" s="1" t="s">
        <v>47</v>
      </c>
      <c r="G1842" s="1">
        <f t="shared" si="140"/>
        <v>1</v>
      </c>
      <c r="H1842" s="1" t="s">
        <v>48</v>
      </c>
      <c r="I1842" s="1" t="s">
        <v>4583</v>
      </c>
      <c r="J1842" s="23" t="s">
        <v>50</v>
      </c>
      <c r="K1842" s="2" t="s">
        <v>4755</v>
      </c>
      <c r="L1842" s="1">
        <v>891</v>
      </c>
      <c r="M1842" s="1">
        <v>1</v>
      </c>
      <c r="N1842" s="1" t="str">
        <f t="shared" si="143"/>
        <v>Published</v>
      </c>
      <c r="O1842" s="1">
        <f t="shared" si="141"/>
        <v>8.91</v>
      </c>
      <c r="P1842" s="1">
        <v>92</v>
      </c>
      <c r="Q1842" s="1">
        <v>1043</v>
      </c>
      <c r="R1842" s="1" t="str">
        <f t="shared" si="144"/>
        <v>3</v>
      </c>
      <c r="S1842" s="1">
        <v>67</v>
      </c>
      <c r="T1842" s="1" t="str">
        <f t="shared" si="142"/>
        <v>4</v>
      </c>
      <c r="U1842" s="1">
        <v>-33.866059</v>
      </c>
      <c r="V1842" s="3">
        <v>151.07713200000001</v>
      </c>
    </row>
    <row r="1843" spans="1:22" x14ac:dyDescent="0.35">
      <c r="A1843" s="22" t="s">
        <v>5244</v>
      </c>
      <c r="B1843" s="1" t="s">
        <v>5245</v>
      </c>
      <c r="C1843" s="1" t="s">
        <v>5246</v>
      </c>
      <c r="D1843" s="1" t="s">
        <v>659</v>
      </c>
      <c r="E1843" s="1" t="s">
        <v>46</v>
      </c>
      <c r="F1843" s="1" t="s">
        <v>47</v>
      </c>
      <c r="G1843" s="1">
        <f t="shared" si="140"/>
        <v>1</v>
      </c>
      <c r="H1843" s="1" t="s">
        <v>48</v>
      </c>
      <c r="I1843" s="1" t="s">
        <v>4583</v>
      </c>
      <c r="J1843" s="23" t="s">
        <v>50</v>
      </c>
      <c r="K1843" s="2" t="s">
        <v>5184</v>
      </c>
      <c r="L1843" s="1">
        <v>1080.4000000000001</v>
      </c>
      <c r="M1843" s="1">
        <v>1</v>
      </c>
      <c r="N1843" s="1" t="str">
        <f t="shared" si="143"/>
        <v>Published</v>
      </c>
      <c r="O1843" s="1">
        <f t="shared" si="141"/>
        <v>10.804</v>
      </c>
      <c r="P1843" s="1">
        <v>64</v>
      </c>
      <c r="Q1843" s="1">
        <v>1086</v>
      </c>
      <c r="R1843" s="1" t="str">
        <f t="shared" si="144"/>
        <v>3</v>
      </c>
      <c r="S1843" s="1">
        <v>52</v>
      </c>
      <c r="T1843" s="1" t="str">
        <f t="shared" si="142"/>
        <v>5</v>
      </c>
      <c r="U1843" s="1">
        <v>-33.875318</v>
      </c>
      <c r="V1843" s="3">
        <v>151.11303599999999</v>
      </c>
    </row>
    <row r="1844" spans="1:22" x14ac:dyDescent="0.35">
      <c r="A1844" s="22" t="s">
        <v>5247</v>
      </c>
      <c r="B1844" s="1" t="s">
        <v>5248</v>
      </c>
      <c r="C1844" s="1" t="s">
        <v>754</v>
      </c>
      <c r="D1844" s="1" t="s">
        <v>587</v>
      </c>
      <c r="E1844" s="1" t="s">
        <v>107</v>
      </c>
      <c r="F1844" s="1" t="s">
        <v>57</v>
      </c>
      <c r="G1844" s="1">
        <f t="shared" si="140"/>
        <v>2</v>
      </c>
      <c r="H1844" s="1" t="s">
        <v>92</v>
      </c>
      <c r="I1844" s="1" t="s">
        <v>4583</v>
      </c>
      <c r="J1844" s="23" t="s">
        <v>50</v>
      </c>
      <c r="K1844" s="2" t="s">
        <v>51</v>
      </c>
      <c r="L1844" s="1">
        <v>566.6</v>
      </c>
      <c r="M1844" s="1">
        <v>31</v>
      </c>
      <c r="N1844" s="1" t="str">
        <f t="shared" si="143"/>
        <v>Published</v>
      </c>
      <c r="O1844" s="1">
        <f t="shared" si="141"/>
        <v>175.64600000000002</v>
      </c>
      <c r="P1844" s="1">
        <v>5</v>
      </c>
      <c r="Q1844" s="1">
        <v>866</v>
      </c>
      <c r="R1844" s="1" t="str">
        <f t="shared" si="144"/>
        <v>1</v>
      </c>
      <c r="S1844" s="1">
        <v>149</v>
      </c>
      <c r="T1844" s="1" t="str">
        <f t="shared" si="142"/>
        <v>3</v>
      </c>
      <c r="U1844" s="1">
        <v>-28.845167</v>
      </c>
      <c r="V1844" s="3">
        <v>153.0437</v>
      </c>
    </row>
    <row r="1845" spans="1:22" x14ac:dyDescent="0.35">
      <c r="A1845" s="22" t="s">
        <v>5249</v>
      </c>
      <c r="B1845" s="1" t="s">
        <v>5250</v>
      </c>
      <c r="C1845" s="1" t="s">
        <v>3057</v>
      </c>
      <c r="D1845" s="1" t="s">
        <v>525</v>
      </c>
      <c r="E1845" s="1" t="s">
        <v>68</v>
      </c>
      <c r="F1845" s="1" t="s">
        <v>57</v>
      </c>
      <c r="G1845" s="1">
        <f t="shared" si="140"/>
        <v>2</v>
      </c>
      <c r="H1845" s="1" t="s">
        <v>70</v>
      </c>
      <c r="I1845" s="1" t="s">
        <v>4583</v>
      </c>
      <c r="J1845" s="23" t="s">
        <v>50</v>
      </c>
      <c r="K1845" s="2" t="s">
        <v>51</v>
      </c>
      <c r="L1845" s="1">
        <v>495</v>
      </c>
      <c r="M1845" s="1">
        <v>16</v>
      </c>
      <c r="N1845" s="1" t="str">
        <f t="shared" si="143"/>
        <v>Published</v>
      </c>
      <c r="O1845" s="1">
        <f t="shared" si="141"/>
        <v>79.2</v>
      </c>
      <c r="P1845" s="1">
        <v>16</v>
      </c>
      <c r="Q1845" s="1">
        <v>920</v>
      </c>
      <c r="R1845" s="1" t="str">
        <f t="shared" si="144"/>
        <v>2</v>
      </c>
      <c r="S1845" s="1">
        <v>132</v>
      </c>
      <c r="T1845" s="1" t="str">
        <f t="shared" si="142"/>
        <v>3</v>
      </c>
      <c r="U1845" s="1">
        <v>-34.317141999999997</v>
      </c>
      <c r="V1845" s="3">
        <v>148.29170500000001</v>
      </c>
    </row>
    <row r="1846" spans="1:22" x14ac:dyDescent="0.35">
      <c r="A1846" s="22" t="s">
        <v>5251</v>
      </c>
      <c r="B1846" s="1" t="s">
        <v>5252</v>
      </c>
      <c r="C1846" s="1" t="s">
        <v>1763</v>
      </c>
      <c r="D1846" s="1" t="s">
        <v>1763</v>
      </c>
      <c r="E1846" s="1" t="s">
        <v>80</v>
      </c>
      <c r="F1846" s="1" t="s">
        <v>69</v>
      </c>
      <c r="G1846" s="1">
        <f t="shared" si="140"/>
        <v>3</v>
      </c>
      <c r="H1846" s="1" t="s">
        <v>70</v>
      </c>
      <c r="I1846" s="1" t="s">
        <v>4583</v>
      </c>
      <c r="J1846" s="23" t="s">
        <v>50</v>
      </c>
      <c r="K1846" s="2" t="s">
        <v>51</v>
      </c>
      <c r="L1846" s="1">
        <v>457.2</v>
      </c>
      <c r="M1846" s="1">
        <v>22</v>
      </c>
      <c r="N1846" s="1" t="str">
        <f t="shared" si="143"/>
        <v>Published</v>
      </c>
      <c r="O1846" s="1">
        <f t="shared" si="141"/>
        <v>100.584</v>
      </c>
      <c r="P1846" s="1">
        <v>13</v>
      </c>
      <c r="Q1846" s="1">
        <v>908</v>
      </c>
      <c r="R1846" s="1" t="str">
        <f t="shared" si="144"/>
        <v>2</v>
      </c>
      <c r="S1846" s="1">
        <v>138</v>
      </c>
      <c r="T1846" s="1" t="str">
        <f t="shared" si="142"/>
        <v>3</v>
      </c>
      <c r="U1846" s="1">
        <v>-34.546840000000003</v>
      </c>
      <c r="V1846" s="3">
        <v>146.40597600000001</v>
      </c>
    </row>
    <row r="1847" spans="1:22" x14ac:dyDescent="0.35">
      <c r="A1847" s="22" t="s">
        <v>5253</v>
      </c>
      <c r="B1847" s="1" t="s">
        <v>5254</v>
      </c>
      <c r="C1847" s="1" t="s">
        <v>245</v>
      </c>
      <c r="D1847" s="1" t="s">
        <v>245</v>
      </c>
      <c r="E1847" s="1" t="s">
        <v>80</v>
      </c>
      <c r="F1847" s="1" t="s">
        <v>69</v>
      </c>
      <c r="G1847" s="1">
        <f t="shared" si="140"/>
        <v>3</v>
      </c>
      <c r="H1847" s="1" t="s">
        <v>70</v>
      </c>
      <c r="I1847" s="1" t="s">
        <v>4583</v>
      </c>
      <c r="J1847" s="23" t="s">
        <v>50</v>
      </c>
      <c r="K1847" s="2" t="s">
        <v>51</v>
      </c>
      <c r="L1847" s="1">
        <v>298.39999999999998</v>
      </c>
      <c r="M1847" s="1">
        <v>30</v>
      </c>
      <c r="N1847" s="1" t="str">
        <f t="shared" si="143"/>
        <v>Published</v>
      </c>
      <c r="O1847" s="1">
        <f t="shared" si="141"/>
        <v>89.52</v>
      </c>
      <c r="P1847" s="1">
        <v>6</v>
      </c>
      <c r="Q1847" s="1">
        <v>889</v>
      </c>
      <c r="R1847" s="1" t="str">
        <f t="shared" si="144"/>
        <v>1</v>
      </c>
      <c r="S1847" s="1">
        <v>134</v>
      </c>
      <c r="T1847" s="1" t="str">
        <f t="shared" si="142"/>
        <v>2</v>
      </c>
      <c r="U1847" s="1">
        <v>-34.744210000000002</v>
      </c>
      <c r="V1847" s="3">
        <v>146.56717699999999</v>
      </c>
    </row>
    <row r="1848" spans="1:22" x14ac:dyDescent="0.35">
      <c r="A1848" s="22" t="s">
        <v>5255</v>
      </c>
      <c r="B1848" s="1" t="s">
        <v>5256</v>
      </c>
      <c r="C1848" s="1" t="s">
        <v>146</v>
      </c>
      <c r="D1848" s="1" t="s">
        <v>146</v>
      </c>
      <c r="E1848" s="1" t="s">
        <v>147</v>
      </c>
      <c r="F1848" s="1" t="s">
        <v>47</v>
      </c>
      <c r="G1848" s="1">
        <f t="shared" si="140"/>
        <v>1</v>
      </c>
      <c r="H1848" s="1" t="s">
        <v>148</v>
      </c>
      <c r="I1848" s="1" t="s">
        <v>4583</v>
      </c>
      <c r="J1848" s="23" t="s">
        <v>50</v>
      </c>
      <c r="K1848" s="2" t="s">
        <v>5184</v>
      </c>
      <c r="L1848" s="1">
        <v>1035.2</v>
      </c>
      <c r="M1848" s="1"/>
      <c r="N1848" s="1" t="str">
        <f t="shared" si="143"/>
        <v>Suppressed</v>
      </c>
      <c r="O1848" s="1" t="str">
        <f t="shared" si="141"/>
        <v/>
      </c>
      <c r="P1848" s="1">
        <v>64</v>
      </c>
      <c r="Q1848" s="1">
        <v>1152</v>
      </c>
      <c r="R1848" s="1" t="str">
        <f t="shared" si="144"/>
        <v>4</v>
      </c>
      <c r="S1848" s="1">
        <v>9</v>
      </c>
      <c r="T1848" s="1" t="str">
        <f t="shared" si="142"/>
        <v>5</v>
      </c>
      <c r="U1848" s="1">
        <v>-33.803128000000001</v>
      </c>
      <c r="V1848" s="3">
        <v>151.19995700000001</v>
      </c>
    </row>
    <row r="1849" spans="1:22" x14ac:dyDescent="0.35">
      <c r="A1849" s="22" t="s">
        <v>5257</v>
      </c>
      <c r="B1849" s="1" t="s">
        <v>5258</v>
      </c>
      <c r="C1849" s="1" t="s">
        <v>1823</v>
      </c>
      <c r="D1849" s="1" t="s">
        <v>554</v>
      </c>
      <c r="E1849" s="1" t="s">
        <v>276</v>
      </c>
      <c r="F1849" s="1" t="s">
        <v>57</v>
      </c>
      <c r="G1849" s="1">
        <f t="shared" si="140"/>
        <v>2</v>
      </c>
      <c r="H1849" s="1" t="s">
        <v>58</v>
      </c>
      <c r="I1849" s="1" t="s">
        <v>4583</v>
      </c>
      <c r="J1849" s="23" t="s">
        <v>50</v>
      </c>
      <c r="K1849" s="2" t="s">
        <v>51</v>
      </c>
      <c r="L1849" s="1">
        <v>364.8</v>
      </c>
      <c r="M1849" s="1">
        <v>24</v>
      </c>
      <c r="N1849" s="1" t="str">
        <f t="shared" si="143"/>
        <v>Published</v>
      </c>
      <c r="O1849" s="1">
        <f t="shared" si="141"/>
        <v>87.551999999999992</v>
      </c>
      <c r="P1849" s="1">
        <v>5</v>
      </c>
      <c r="Q1849" s="1">
        <v>916</v>
      </c>
      <c r="R1849" s="1" t="str">
        <f t="shared" si="144"/>
        <v>2</v>
      </c>
      <c r="S1849" s="1">
        <v>124</v>
      </c>
      <c r="T1849" s="1" t="str">
        <f t="shared" si="142"/>
        <v>3</v>
      </c>
      <c r="U1849" s="1">
        <v>-30.714945</v>
      </c>
      <c r="V1849" s="3">
        <v>152.91701</v>
      </c>
    </row>
    <row r="1850" spans="1:22" x14ac:dyDescent="0.35">
      <c r="A1850" s="22" t="s">
        <v>5259</v>
      </c>
      <c r="B1850" s="1" t="s">
        <v>5260</v>
      </c>
      <c r="C1850" s="1" t="s">
        <v>1131</v>
      </c>
      <c r="D1850" s="1" t="s">
        <v>1131</v>
      </c>
      <c r="E1850" s="1" t="s">
        <v>429</v>
      </c>
      <c r="F1850" s="1" t="s">
        <v>47</v>
      </c>
      <c r="G1850" s="1">
        <f t="shared" si="140"/>
        <v>1</v>
      </c>
      <c r="H1850" s="1" t="s">
        <v>182</v>
      </c>
      <c r="I1850" s="1" t="s">
        <v>4583</v>
      </c>
      <c r="J1850" s="23" t="s">
        <v>5167</v>
      </c>
      <c r="K1850" s="2" t="s">
        <v>51</v>
      </c>
      <c r="L1850" s="1">
        <v>927.8</v>
      </c>
      <c r="M1850" s="1"/>
      <c r="N1850" s="1" t="str">
        <f t="shared" si="143"/>
        <v>Suppressed</v>
      </c>
      <c r="O1850" s="1" t="str">
        <f t="shared" si="141"/>
        <v/>
      </c>
      <c r="P1850" s="1">
        <v>94</v>
      </c>
      <c r="Q1850" s="1">
        <v>1186</v>
      </c>
      <c r="R1850" s="1" t="str">
        <f t="shared" si="144"/>
        <v>4</v>
      </c>
      <c r="S1850" s="1">
        <v>0</v>
      </c>
      <c r="T1850" s="1" t="str">
        <f t="shared" si="142"/>
        <v>4</v>
      </c>
      <c r="U1850" s="1">
        <v>-33.756720999999999</v>
      </c>
      <c r="V1850" s="3">
        <v>150.706537</v>
      </c>
    </row>
    <row r="1851" spans="1:22" x14ac:dyDescent="0.35">
      <c r="A1851" s="22" t="s">
        <v>5261</v>
      </c>
      <c r="B1851" s="1" t="s">
        <v>5262</v>
      </c>
      <c r="C1851" s="1" t="s">
        <v>5263</v>
      </c>
      <c r="D1851" s="1" t="s">
        <v>1027</v>
      </c>
      <c r="E1851" s="1" t="s">
        <v>56</v>
      </c>
      <c r="F1851" s="1" t="s">
        <v>57</v>
      </c>
      <c r="G1851" s="1">
        <f t="shared" si="140"/>
        <v>2</v>
      </c>
      <c r="H1851" s="1" t="s">
        <v>58</v>
      </c>
      <c r="I1851" s="1" t="s">
        <v>4583</v>
      </c>
      <c r="J1851" s="23" t="s">
        <v>50</v>
      </c>
      <c r="K1851" s="2" t="s">
        <v>51</v>
      </c>
      <c r="L1851" s="1">
        <v>648</v>
      </c>
      <c r="M1851" s="1">
        <v>31</v>
      </c>
      <c r="N1851" s="1" t="str">
        <f t="shared" si="143"/>
        <v>Published</v>
      </c>
      <c r="O1851" s="1">
        <f t="shared" si="141"/>
        <v>200.88</v>
      </c>
      <c r="P1851" s="1">
        <v>7</v>
      </c>
      <c r="Q1851" s="1">
        <v>869</v>
      </c>
      <c r="R1851" s="1" t="str">
        <f t="shared" si="144"/>
        <v>1</v>
      </c>
      <c r="S1851" s="1">
        <v>150</v>
      </c>
      <c r="T1851" s="1" t="str">
        <f t="shared" si="142"/>
        <v>4</v>
      </c>
      <c r="U1851" s="1">
        <v>-32.268737000000002</v>
      </c>
      <c r="V1851" s="3">
        <v>150.897592</v>
      </c>
    </row>
    <row r="1852" spans="1:22" x14ac:dyDescent="0.35">
      <c r="A1852" s="22" t="s">
        <v>5264</v>
      </c>
      <c r="B1852" s="1" t="s">
        <v>5265</v>
      </c>
      <c r="C1852" s="1" t="s">
        <v>313</v>
      </c>
      <c r="D1852" s="1" t="s">
        <v>314</v>
      </c>
      <c r="E1852" s="1" t="s">
        <v>68</v>
      </c>
      <c r="F1852" s="1" t="s">
        <v>69</v>
      </c>
      <c r="G1852" s="1">
        <f t="shared" si="140"/>
        <v>3</v>
      </c>
      <c r="H1852" s="1" t="s">
        <v>86</v>
      </c>
      <c r="I1852" s="1" t="s">
        <v>4583</v>
      </c>
      <c r="J1852" s="23" t="s">
        <v>50</v>
      </c>
      <c r="K1852" s="2" t="s">
        <v>51</v>
      </c>
      <c r="L1852" s="1">
        <v>702</v>
      </c>
      <c r="M1852" s="1">
        <v>13</v>
      </c>
      <c r="N1852" s="1" t="str">
        <f t="shared" si="143"/>
        <v>Published</v>
      </c>
      <c r="O1852" s="1">
        <f t="shared" si="141"/>
        <v>91.26</v>
      </c>
      <c r="P1852" s="1">
        <v>8</v>
      </c>
      <c r="Q1852" s="1">
        <v>973</v>
      </c>
      <c r="R1852" s="1" t="str">
        <f t="shared" si="144"/>
        <v>2</v>
      </c>
      <c r="S1852" s="1">
        <v>94</v>
      </c>
      <c r="T1852" s="1" t="str">
        <f t="shared" si="142"/>
        <v>4</v>
      </c>
      <c r="U1852" s="1">
        <v>-36.678458999999997</v>
      </c>
      <c r="V1852" s="3">
        <v>149.83876599999999</v>
      </c>
    </row>
    <row r="1853" spans="1:22" x14ac:dyDescent="0.35">
      <c r="A1853" s="22" t="s">
        <v>5266</v>
      </c>
      <c r="B1853" s="1" t="s">
        <v>5267</v>
      </c>
      <c r="C1853" s="1" t="s">
        <v>5268</v>
      </c>
      <c r="D1853" s="1" t="s">
        <v>186</v>
      </c>
      <c r="E1853" s="1" t="s">
        <v>187</v>
      </c>
      <c r="F1853" s="1" t="s">
        <v>47</v>
      </c>
      <c r="G1853" s="1">
        <f t="shared" si="140"/>
        <v>1</v>
      </c>
      <c r="H1853" s="1" t="s">
        <v>63</v>
      </c>
      <c r="I1853" s="1" t="s">
        <v>4583</v>
      </c>
      <c r="J1853" s="23" t="s">
        <v>50</v>
      </c>
      <c r="K1853" s="2" t="s">
        <v>51</v>
      </c>
      <c r="L1853" s="1">
        <v>672.2</v>
      </c>
      <c r="M1853" s="1">
        <v>15</v>
      </c>
      <c r="N1853" s="1" t="str">
        <f t="shared" si="143"/>
        <v>Published</v>
      </c>
      <c r="O1853" s="1">
        <f t="shared" si="141"/>
        <v>100.83</v>
      </c>
      <c r="P1853" s="1">
        <v>13</v>
      </c>
      <c r="Q1853" s="1">
        <v>946</v>
      </c>
      <c r="R1853" s="1" t="str">
        <f t="shared" si="144"/>
        <v>2</v>
      </c>
      <c r="S1853" s="1">
        <v>129</v>
      </c>
      <c r="T1853" s="1" t="str">
        <f t="shared" si="142"/>
        <v>4</v>
      </c>
      <c r="U1853" s="1">
        <v>-33.281328000000002</v>
      </c>
      <c r="V1853" s="3">
        <v>151.41791799999999</v>
      </c>
    </row>
    <row r="1854" spans="1:22" x14ac:dyDescent="0.35">
      <c r="A1854" s="22" t="s">
        <v>5269</v>
      </c>
      <c r="B1854" s="1" t="s">
        <v>5270</v>
      </c>
      <c r="C1854" s="1" t="s">
        <v>136</v>
      </c>
      <c r="D1854" s="1" t="s">
        <v>136</v>
      </c>
      <c r="E1854" s="1" t="s">
        <v>80</v>
      </c>
      <c r="F1854" s="1" t="s">
        <v>69</v>
      </c>
      <c r="G1854" s="1">
        <f t="shared" si="140"/>
        <v>3</v>
      </c>
      <c r="H1854" s="1" t="s">
        <v>70</v>
      </c>
      <c r="I1854" s="1" t="s">
        <v>4583</v>
      </c>
      <c r="J1854" s="23" t="s">
        <v>50</v>
      </c>
      <c r="K1854" s="2" t="s">
        <v>51</v>
      </c>
      <c r="L1854" s="1">
        <v>274.39999999999998</v>
      </c>
      <c r="M1854" s="1">
        <v>9</v>
      </c>
      <c r="N1854" s="1" t="str">
        <f t="shared" si="143"/>
        <v>Published</v>
      </c>
      <c r="O1854" s="1">
        <f t="shared" si="141"/>
        <v>24.695999999999998</v>
      </c>
      <c r="P1854" s="1">
        <v>4</v>
      </c>
      <c r="Q1854" s="1">
        <v>964</v>
      </c>
      <c r="R1854" s="1" t="str">
        <f t="shared" si="144"/>
        <v>2</v>
      </c>
      <c r="S1854" s="1">
        <v>105</v>
      </c>
      <c r="T1854" s="1" t="str">
        <f t="shared" si="142"/>
        <v>2</v>
      </c>
      <c r="U1854" s="1">
        <v>-34.441896999999997</v>
      </c>
      <c r="V1854" s="3">
        <v>147.539525</v>
      </c>
    </row>
    <row r="1855" spans="1:22" x14ac:dyDescent="0.35">
      <c r="A1855" s="22" t="s">
        <v>5271</v>
      </c>
      <c r="B1855" s="1" t="s">
        <v>5272</v>
      </c>
      <c r="C1855" s="1" t="s">
        <v>1502</v>
      </c>
      <c r="D1855" s="1" t="s">
        <v>1502</v>
      </c>
      <c r="E1855" s="1" t="s">
        <v>46</v>
      </c>
      <c r="F1855" s="1" t="s">
        <v>47</v>
      </c>
      <c r="G1855" s="1">
        <f t="shared" si="140"/>
        <v>1</v>
      </c>
      <c r="H1855" s="1" t="s">
        <v>48</v>
      </c>
      <c r="I1855" s="1" t="s">
        <v>4583</v>
      </c>
      <c r="J1855" s="23" t="s">
        <v>50</v>
      </c>
      <c r="K1855" s="2" t="s">
        <v>5184</v>
      </c>
      <c r="L1855" s="1">
        <v>1061.3</v>
      </c>
      <c r="M1855" s="1">
        <v>1</v>
      </c>
      <c r="N1855" s="1" t="str">
        <f t="shared" si="143"/>
        <v>Published</v>
      </c>
      <c r="O1855" s="1">
        <f t="shared" si="141"/>
        <v>10.613</v>
      </c>
      <c r="P1855" s="1">
        <v>90</v>
      </c>
      <c r="Q1855" s="1">
        <v>1077</v>
      </c>
      <c r="R1855" s="1" t="str">
        <f t="shared" si="144"/>
        <v>3</v>
      </c>
      <c r="S1855" s="1">
        <v>52</v>
      </c>
      <c r="T1855" s="1" t="str">
        <f t="shared" si="142"/>
        <v>5</v>
      </c>
      <c r="U1855" s="1">
        <v>-33.873900999999996</v>
      </c>
      <c r="V1855" s="3">
        <v>151.08457100000001</v>
      </c>
    </row>
    <row r="1856" spans="1:22" x14ac:dyDescent="0.35">
      <c r="A1856" s="22" t="s">
        <v>5273</v>
      </c>
      <c r="B1856" s="1" t="s">
        <v>5274</v>
      </c>
      <c r="C1856" s="1" t="s">
        <v>5275</v>
      </c>
      <c r="D1856" s="1" t="s">
        <v>318</v>
      </c>
      <c r="E1856" s="1" t="s">
        <v>91</v>
      </c>
      <c r="F1856" s="1" t="s">
        <v>69</v>
      </c>
      <c r="G1856" s="1">
        <f t="shared" si="140"/>
        <v>3</v>
      </c>
      <c r="H1856" s="1" t="s">
        <v>92</v>
      </c>
      <c r="I1856" s="1" t="s">
        <v>4583</v>
      </c>
      <c r="J1856" s="23" t="s">
        <v>50</v>
      </c>
      <c r="K1856" s="2" t="s">
        <v>51</v>
      </c>
      <c r="L1856" s="1">
        <v>419.8</v>
      </c>
      <c r="M1856" s="1">
        <v>43</v>
      </c>
      <c r="N1856" s="1" t="str">
        <f t="shared" si="143"/>
        <v>Published</v>
      </c>
      <c r="O1856" s="1">
        <f t="shared" si="141"/>
        <v>180.51400000000001</v>
      </c>
      <c r="P1856" s="1">
        <v>4</v>
      </c>
      <c r="Q1856" s="1">
        <v>864</v>
      </c>
      <c r="R1856" s="1" t="str">
        <f t="shared" si="144"/>
        <v>1</v>
      </c>
      <c r="S1856" s="1">
        <v>144</v>
      </c>
      <c r="T1856" s="1" t="str">
        <f t="shared" si="142"/>
        <v>3</v>
      </c>
      <c r="U1856" s="1">
        <v>-30.335547999999999</v>
      </c>
      <c r="V1856" s="3">
        <v>149.78267</v>
      </c>
    </row>
    <row r="1857" spans="1:22" x14ac:dyDescent="0.35">
      <c r="A1857" s="22" t="s">
        <v>5276</v>
      </c>
      <c r="B1857" s="1" t="s">
        <v>5277</v>
      </c>
      <c r="C1857" s="1" t="s">
        <v>1255</v>
      </c>
      <c r="D1857" s="1" t="s">
        <v>1255</v>
      </c>
      <c r="E1857" s="1" t="s">
        <v>85</v>
      </c>
      <c r="F1857" s="1" t="s">
        <v>47</v>
      </c>
      <c r="G1857" s="1">
        <f t="shared" si="140"/>
        <v>1</v>
      </c>
      <c r="H1857" s="1" t="s">
        <v>86</v>
      </c>
      <c r="I1857" s="1" t="s">
        <v>4583</v>
      </c>
      <c r="J1857" s="23" t="s">
        <v>50</v>
      </c>
      <c r="K1857" s="2" t="s">
        <v>51</v>
      </c>
      <c r="L1857" s="1">
        <v>760.6</v>
      </c>
      <c r="M1857" s="1">
        <v>5</v>
      </c>
      <c r="N1857" s="1" t="str">
        <f t="shared" si="143"/>
        <v>Published</v>
      </c>
      <c r="O1857" s="1">
        <f t="shared" si="141"/>
        <v>38.03</v>
      </c>
      <c r="P1857" s="1">
        <v>8</v>
      </c>
      <c r="Q1857" s="1">
        <v>1036</v>
      </c>
      <c r="R1857" s="1" t="str">
        <f t="shared" si="144"/>
        <v>3</v>
      </c>
      <c r="S1857" s="1">
        <v>70</v>
      </c>
      <c r="T1857" s="1" t="str">
        <f t="shared" si="142"/>
        <v>4</v>
      </c>
      <c r="U1857" s="1">
        <v>-34.680660000000003</v>
      </c>
      <c r="V1857" s="3">
        <v>150.84719699999999</v>
      </c>
    </row>
    <row r="1858" spans="1:22" x14ac:dyDescent="0.35">
      <c r="A1858" s="22" t="s">
        <v>5278</v>
      </c>
      <c r="B1858" s="1" t="s">
        <v>5279</v>
      </c>
      <c r="C1858" s="1" t="s">
        <v>301</v>
      </c>
      <c r="D1858" s="1" t="s">
        <v>302</v>
      </c>
      <c r="E1858" s="1" t="s">
        <v>276</v>
      </c>
      <c r="F1858" s="1" t="s">
        <v>57</v>
      </c>
      <c r="G1858" s="1">
        <f t="shared" ref="G1858:G1921" si="145">IF(F1858="Major Cities of Australia",1,IF(F1858="Inner Regional Australia",2,IF(F1858="Outer Regional Australia",3,IF(F1858="Remote Australia",4,IF(F1858="Very Remote Australia",5,6)))))</f>
        <v>2</v>
      </c>
      <c r="H1858" s="1" t="s">
        <v>58</v>
      </c>
      <c r="I1858" s="1" t="s">
        <v>4583</v>
      </c>
      <c r="J1858" s="23" t="s">
        <v>50</v>
      </c>
      <c r="K1858" s="2" t="s">
        <v>51</v>
      </c>
      <c r="L1858" s="1">
        <v>458</v>
      </c>
      <c r="M1858" s="1">
        <v>28</v>
      </c>
      <c r="N1858" s="1" t="str">
        <f t="shared" si="143"/>
        <v>Published</v>
      </c>
      <c r="O1858" s="1">
        <f t="shared" ref="O1858:O1921" si="146">IF(OR(M1858="",L1858=""),"",M1858/100*L1858)</f>
        <v>128.24</v>
      </c>
      <c r="P1858" s="1">
        <v>2</v>
      </c>
      <c r="Q1858" s="1">
        <v>894</v>
      </c>
      <c r="R1858" s="1" t="str">
        <f t="shared" si="144"/>
        <v>1</v>
      </c>
      <c r="S1858" s="1">
        <v>137</v>
      </c>
      <c r="T1858" s="1" t="str">
        <f t="shared" ref="T1858:T1921" si="147">IF(L1858="","No enrolment",IF(L1858&lt;100,"1",IF(L1858&lt;300,"2",IF(L1858&lt;600,"3",IF(L1858&lt;1000,"4","5")))))</f>
        <v>3</v>
      </c>
      <c r="U1858" s="1">
        <v>-31.450894000000002</v>
      </c>
      <c r="V1858" s="3">
        <v>152.73115799999999</v>
      </c>
    </row>
    <row r="1859" spans="1:22" x14ac:dyDescent="0.35">
      <c r="A1859" s="22" t="s">
        <v>5280</v>
      </c>
      <c r="B1859" s="1" t="s">
        <v>5281</v>
      </c>
      <c r="C1859" s="1" t="s">
        <v>3345</v>
      </c>
      <c r="D1859" s="1" t="s">
        <v>439</v>
      </c>
      <c r="E1859" s="1" t="s">
        <v>91</v>
      </c>
      <c r="F1859" s="1" t="s">
        <v>69</v>
      </c>
      <c r="G1859" s="1">
        <f t="shared" si="145"/>
        <v>3</v>
      </c>
      <c r="H1859" s="1" t="s">
        <v>92</v>
      </c>
      <c r="I1859" s="1" t="s">
        <v>4583</v>
      </c>
      <c r="J1859" s="23" t="s">
        <v>50</v>
      </c>
      <c r="K1859" s="2" t="s">
        <v>51</v>
      </c>
      <c r="L1859" s="1">
        <v>351.4</v>
      </c>
      <c r="M1859" s="1">
        <v>36</v>
      </c>
      <c r="N1859" s="1" t="str">
        <f t="shared" ref="N1859:N1922" si="148">IF(M1859="","Suppressed","Published")</f>
        <v>Published</v>
      </c>
      <c r="O1859" s="1">
        <f t="shared" si="146"/>
        <v>126.50399999999999</v>
      </c>
      <c r="P1859" s="1">
        <v>3</v>
      </c>
      <c r="Q1859" s="1">
        <v>891</v>
      </c>
      <c r="R1859" s="1" t="str">
        <f t="shared" ref="R1859:R1922" si="149">IF(Q1859="","No ICSEA",IF(Q1859&lt;900,"1",IF(Q1859&lt;1000,"2",IF(Q1859&lt;1100,"3","4"))))</f>
        <v>1</v>
      </c>
      <c r="S1859" s="1">
        <v>129</v>
      </c>
      <c r="T1859" s="1" t="str">
        <f t="shared" si="147"/>
        <v>3</v>
      </c>
      <c r="U1859" s="1">
        <v>-31.501631</v>
      </c>
      <c r="V1859" s="3">
        <v>150.68008699999999</v>
      </c>
    </row>
    <row r="1860" spans="1:22" x14ac:dyDescent="0.35">
      <c r="A1860" s="22" t="s">
        <v>5282</v>
      </c>
      <c r="B1860" s="1" t="s">
        <v>5283</v>
      </c>
      <c r="C1860" s="1" t="s">
        <v>180</v>
      </c>
      <c r="D1860" s="1" t="s">
        <v>180</v>
      </c>
      <c r="E1860" s="1" t="s">
        <v>181</v>
      </c>
      <c r="F1860" s="1" t="s">
        <v>47</v>
      </c>
      <c r="G1860" s="1">
        <f t="shared" si="145"/>
        <v>1</v>
      </c>
      <c r="H1860" s="1" t="s">
        <v>182</v>
      </c>
      <c r="I1860" s="1" t="s">
        <v>4583</v>
      </c>
      <c r="J1860" s="23" t="s">
        <v>50</v>
      </c>
      <c r="K1860" s="2" t="s">
        <v>5184</v>
      </c>
      <c r="L1860" s="1">
        <v>704</v>
      </c>
      <c r="M1860" s="1">
        <v>2</v>
      </c>
      <c r="N1860" s="1" t="str">
        <f t="shared" si="148"/>
        <v>Published</v>
      </c>
      <c r="O1860" s="1">
        <f t="shared" si="146"/>
        <v>14.08</v>
      </c>
      <c r="P1860" s="1">
        <v>90</v>
      </c>
      <c r="Q1860" s="1">
        <v>941</v>
      </c>
      <c r="R1860" s="1" t="str">
        <f t="shared" si="149"/>
        <v>2</v>
      </c>
      <c r="S1860" s="1">
        <v>153</v>
      </c>
      <c r="T1860" s="1" t="str">
        <f t="shared" si="147"/>
        <v>4</v>
      </c>
      <c r="U1860" s="1">
        <v>-33.917985999999999</v>
      </c>
      <c r="V1860" s="3">
        <v>150.93147500000001</v>
      </c>
    </row>
    <row r="1861" spans="1:22" x14ac:dyDescent="0.35">
      <c r="A1861" s="22" t="s">
        <v>5284</v>
      </c>
      <c r="B1861" s="1" t="s">
        <v>5285</v>
      </c>
      <c r="C1861" s="1" t="s">
        <v>5120</v>
      </c>
      <c r="D1861" s="1" t="s">
        <v>62</v>
      </c>
      <c r="E1861" s="1" t="s">
        <v>56</v>
      </c>
      <c r="F1861" s="1" t="s">
        <v>47</v>
      </c>
      <c r="G1861" s="1">
        <f t="shared" si="145"/>
        <v>1</v>
      </c>
      <c r="H1861" s="1" t="s">
        <v>63</v>
      </c>
      <c r="I1861" s="1" t="s">
        <v>4583</v>
      </c>
      <c r="J1861" s="23" t="s">
        <v>50</v>
      </c>
      <c r="K1861" s="2" t="s">
        <v>51</v>
      </c>
      <c r="L1861" s="1">
        <v>915.4</v>
      </c>
      <c r="M1861" s="1">
        <v>28</v>
      </c>
      <c r="N1861" s="1" t="str">
        <f t="shared" si="148"/>
        <v>Published</v>
      </c>
      <c r="O1861" s="1">
        <f t="shared" si="146"/>
        <v>256.31200000000001</v>
      </c>
      <c r="P1861" s="1">
        <v>3</v>
      </c>
      <c r="Q1861" s="1">
        <v>894</v>
      </c>
      <c r="R1861" s="1" t="str">
        <f t="shared" si="149"/>
        <v>1</v>
      </c>
      <c r="S1861" s="1">
        <v>142</v>
      </c>
      <c r="T1861" s="1" t="str">
        <f t="shared" si="147"/>
        <v>4</v>
      </c>
      <c r="U1861" s="1">
        <v>-32.810141999999999</v>
      </c>
      <c r="V1861" s="3">
        <v>151.48629399999999</v>
      </c>
    </row>
    <row r="1862" spans="1:22" x14ac:dyDescent="0.35">
      <c r="A1862" s="22" t="s">
        <v>5286</v>
      </c>
      <c r="B1862" s="1" t="s">
        <v>5287</v>
      </c>
      <c r="C1862" s="1" t="s">
        <v>5288</v>
      </c>
      <c r="D1862" s="1" t="s">
        <v>404</v>
      </c>
      <c r="E1862" s="1" t="s">
        <v>429</v>
      </c>
      <c r="F1862" s="1" t="s">
        <v>47</v>
      </c>
      <c r="G1862" s="1">
        <f t="shared" si="145"/>
        <v>1</v>
      </c>
      <c r="H1862" s="1" t="s">
        <v>63</v>
      </c>
      <c r="I1862" s="1" t="s">
        <v>4583</v>
      </c>
      <c r="J1862" s="23" t="s">
        <v>5177</v>
      </c>
      <c r="K1862" s="2" t="s">
        <v>51</v>
      </c>
      <c r="L1862" s="1">
        <v>750</v>
      </c>
      <c r="M1862" s="1">
        <v>16</v>
      </c>
      <c r="N1862" s="1" t="str">
        <f t="shared" si="148"/>
        <v>Published</v>
      </c>
      <c r="O1862" s="1">
        <f t="shared" si="146"/>
        <v>120</v>
      </c>
      <c r="P1862" s="1">
        <v>30</v>
      </c>
      <c r="Q1862" s="1">
        <v>987</v>
      </c>
      <c r="R1862" s="1" t="str">
        <f t="shared" si="149"/>
        <v>2</v>
      </c>
      <c r="S1862" s="1">
        <v>103</v>
      </c>
      <c r="T1862" s="1" t="str">
        <f t="shared" si="147"/>
        <v>4</v>
      </c>
      <c r="U1862" s="1">
        <v>-33.600535000000001</v>
      </c>
      <c r="V1862" s="3">
        <v>150.74671499999999</v>
      </c>
    </row>
    <row r="1863" spans="1:22" x14ac:dyDescent="0.35">
      <c r="A1863" s="22" t="s">
        <v>5289</v>
      </c>
      <c r="B1863" s="1" t="s">
        <v>5290</v>
      </c>
      <c r="C1863" s="1" t="s">
        <v>1177</v>
      </c>
      <c r="D1863" s="1" t="s">
        <v>1177</v>
      </c>
      <c r="E1863" s="1" t="s">
        <v>80</v>
      </c>
      <c r="F1863" s="1" t="s">
        <v>57</v>
      </c>
      <c r="G1863" s="1">
        <f t="shared" si="145"/>
        <v>2</v>
      </c>
      <c r="H1863" s="1" t="s">
        <v>70</v>
      </c>
      <c r="I1863" s="1" t="s">
        <v>4583</v>
      </c>
      <c r="J1863" s="23" t="s">
        <v>50</v>
      </c>
      <c r="K1863" s="2" t="s">
        <v>51</v>
      </c>
      <c r="L1863" s="1">
        <v>236.8</v>
      </c>
      <c r="M1863" s="1">
        <v>20</v>
      </c>
      <c r="N1863" s="1" t="str">
        <f t="shared" si="148"/>
        <v>Published</v>
      </c>
      <c r="O1863" s="1">
        <f t="shared" si="146"/>
        <v>47.360000000000007</v>
      </c>
      <c r="P1863" s="1">
        <v>5</v>
      </c>
      <c r="Q1863" s="1">
        <v>922</v>
      </c>
      <c r="R1863" s="1" t="str">
        <f t="shared" si="149"/>
        <v>2</v>
      </c>
      <c r="S1863" s="1">
        <v>127</v>
      </c>
      <c r="T1863" s="1" t="str">
        <f t="shared" si="147"/>
        <v>2</v>
      </c>
      <c r="U1863" s="1">
        <v>-34.869115000000001</v>
      </c>
      <c r="V1863" s="3">
        <v>147.59276500000001</v>
      </c>
    </row>
    <row r="1864" spans="1:22" x14ac:dyDescent="0.35">
      <c r="A1864" s="22" t="s">
        <v>5291</v>
      </c>
      <c r="B1864" s="1" t="s">
        <v>5292</v>
      </c>
      <c r="C1864" s="1" t="s">
        <v>688</v>
      </c>
      <c r="D1864" s="1" t="s">
        <v>689</v>
      </c>
      <c r="E1864" s="1" t="s">
        <v>122</v>
      </c>
      <c r="F1864" s="1" t="s">
        <v>47</v>
      </c>
      <c r="G1864" s="1">
        <f t="shared" si="145"/>
        <v>1</v>
      </c>
      <c r="H1864" s="1" t="s">
        <v>86</v>
      </c>
      <c r="I1864" s="1" t="s">
        <v>4583</v>
      </c>
      <c r="J1864" s="23" t="s">
        <v>50</v>
      </c>
      <c r="K1864" s="2" t="s">
        <v>51</v>
      </c>
      <c r="L1864" s="1">
        <v>892.8</v>
      </c>
      <c r="M1864" s="1">
        <v>12</v>
      </c>
      <c r="N1864" s="1" t="str">
        <f t="shared" si="148"/>
        <v>Published</v>
      </c>
      <c r="O1864" s="1">
        <f t="shared" si="146"/>
        <v>107.136</v>
      </c>
      <c r="P1864" s="1">
        <v>41</v>
      </c>
      <c r="Q1864" s="1">
        <v>950</v>
      </c>
      <c r="R1864" s="1" t="str">
        <f t="shared" si="149"/>
        <v>2</v>
      </c>
      <c r="S1864" s="1">
        <v>127</v>
      </c>
      <c r="T1864" s="1" t="str">
        <f t="shared" si="147"/>
        <v>4</v>
      </c>
      <c r="U1864" s="1">
        <v>-34.060108</v>
      </c>
      <c r="V1864" s="3">
        <v>150.822959</v>
      </c>
    </row>
    <row r="1865" spans="1:22" x14ac:dyDescent="0.35">
      <c r="A1865" s="22" t="s">
        <v>5293</v>
      </c>
      <c r="B1865" s="1" t="s">
        <v>5294</v>
      </c>
      <c r="C1865" s="1" t="s">
        <v>5295</v>
      </c>
      <c r="D1865" s="1" t="s">
        <v>152</v>
      </c>
      <c r="E1865" s="1" t="s">
        <v>229</v>
      </c>
      <c r="F1865" s="1" t="s">
        <v>47</v>
      </c>
      <c r="G1865" s="1">
        <f t="shared" si="145"/>
        <v>1</v>
      </c>
      <c r="H1865" s="1" t="s">
        <v>48</v>
      </c>
      <c r="I1865" s="1" t="s">
        <v>4583</v>
      </c>
      <c r="J1865" s="23" t="s">
        <v>50</v>
      </c>
      <c r="K1865" s="2" t="s">
        <v>4755</v>
      </c>
      <c r="L1865" s="1">
        <v>472</v>
      </c>
      <c r="M1865" s="1"/>
      <c r="N1865" s="1" t="str">
        <f t="shared" si="148"/>
        <v>Suppressed</v>
      </c>
      <c r="O1865" s="1" t="str">
        <f t="shared" si="146"/>
        <v/>
      </c>
      <c r="P1865" s="1">
        <v>96</v>
      </c>
      <c r="Q1865" s="1">
        <v>923</v>
      </c>
      <c r="R1865" s="1" t="str">
        <f t="shared" si="149"/>
        <v>2</v>
      </c>
      <c r="S1865" s="1">
        <v>161</v>
      </c>
      <c r="T1865" s="1" t="str">
        <f t="shared" si="147"/>
        <v>3</v>
      </c>
      <c r="U1865" s="1">
        <v>-33.924027000000002</v>
      </c>
      <c r="V1865" s="3">
        <v>151.052954</v>
      </c>
    </row>
    <row r="1866" spans="1:22" x14ac:dyDescent="0.35">
      <c r="A1866" s="22" t="s">
        <v>5296</v>
      </c>
      <c r="B1866" s="1" t="s">
        <v>5297</v>
      </c>
      <c r="C1866" s="1" t="s">
        <v>5298</v>
      </c>
      <c r="D1866" s="1" t="s">
        <v>180</v>
      </c>
      <c r="E1866" s="1" t="s">
        <v>181</v>
      </c>
      <c r="F1866" s="1" t="s">
        <v>47</v>
      </c>
      <c r="G1866" s="1">
        <f t="shared" si="145"/>
        <v>1</v>
      </c>
      <c r="H1866" s="1" t="s">
        <v>182</v>
      </c>
      <c r="I1866" s="1" t="s">
        <v>4583</v>
      </c>
      <c r="J1866" s="23" t="s">
        <v>50</v>
      </c>
      <c r="K1866" s="2" t="s">
        <v>4755</v>
      </c>
      <c r="L1866" s="1">
        <v>548.9</v>
      </c>
      <c r="M1866" s="1">
        <v>3</v>
      </c>
      <c r="N1866" s="1" t="str">
        <f t="shared" si="148"/>
        <v>Published</v>
      </c>
      <c r="O1866" s="1">
        <f t="shared" si="146"/>
        <v>16.466999999999999</v>
      </c>
      <c r="P1866" s="1">
        <v>89</v>
      </c>
      <c r="Q1866" s="1">
        <v>925</v>
      </c>
      <c r="R1866" s="1" t="str">
        <f t="shared" si="149"/>
        <v>2</v>
      </c>
      <c r="S1866" s="1">
        <v>162</v>
      </c>
      <c r="T1866" s="1" t="str">
        <f t="shared" si="147"/>
        <v>3</v>
      </c>
      <c r="U1866" s="1">
        <v>-33.917157000000003</v>
      </c>
      <c r="V1866" s="3">
        <v>150.93154000000001</v>
      </c>
    </row>
    <row r="1867" spans="1:22" x14ac:dyDescent="0.35">
      <c r="A1867" s="22" t="s">
        <v>5299</v>
      </c>
      <c r="B1867" s="1" t="s">
        <v>5300</v>
      </c>
      <c r="C1867" s="1" t="s">
        <v>3314</v>
      </c>
      <c r="D1867" s="1" t="s">
        <v>152</v>
      </c>
      <c r="E1867" s="1" t="s">
        <v>229</v>
      </c>
      <c r="F1867" s="1" t="s">
        <v>47</v>
      </c>
      <c r="G1867" s="1">
        <f t="shared" si="145"/>
        <v>1</v>
      </c>
      <c r="H1867" s="1" t="s">
        <v>182</v>
      </c>
      <c r="I1867" s="1" t="s">
        <v>4583</v>
      </c>
      <c r="J1867" s="23" t="s">
        <v>50</v>
      </c>
      <c r="K1867" s="2" t="s">
        <v>5184</v>
      </c>
      <c r="L1867" s="1">
        <v>758.6</v>
      </c>
      <c r="M1867" s="1">
        <v>2</v>
      </c>
      <c r="N1867" s="1" t="str">
        <f t="shared" si="148"/>
        <v>Published</v>
      </c>
      <c r="O1867" s="1">
        <f t="shared" si="146"/>
        <v>15.172000000000001</v>
      </c>
      <c r="P1867" s="1">
        <v>77</v>
      </c>
      <c r="Q1867" s="1">
        <v>1031</v>
      </c>
      <c r="R1867" s="1" t="str">
        <f t="shared" si="149"/>
        <v>3</v>
      </c>
      <c r="S1867" s="1">
        <v>86</v>
      </c>
      <c r="T1867" s="1" t="str">
        <f t="shared" si="147"/>
        <v>4</v>
      </c>
      <c r="U1867" s="1">
        <v>-33.956865999999998</v>
      </c>
      <c r="V1867" s="3">
        <v>150.99201600000001</v>
      </c>
    </row>
    <row r="1868" spans="1:22" x14ac:dyDescent="0.35">
      <c r="A1868" s="22" t="s">
        <v>5301</v>
      </c>
      <c r="B1868" s="1" t="s">
        <v>5302</v>
      </c>
      <c r="C1868" s="1" t="s">
        <v>751</v>
      </c>
      <c r="D1868" s="1" t="s">
        <v>751</v>
      </c>
      <c r="E1868" s="1" t="s">
        <v>91</v>
      </c>
      <c r="F1868" s="1" t="s">
        <v>69</v>
      </c>
      <c r="G1868" s="1">
        <f t="shared" si="145"/>
        <v>3</v>
      </c>
      <c r="H1868" s="1" t="s">
        <v>86</v>
      </c>
      <c r="I1868" s="1" t="s">
        <v>4583</v>
      </c>
      <c r="J1868" s="23" t="s">
        <v>50</v>
      </c>
      <c r="K1868" s="2" t="s">
        <v>51</v>
      </c>
      <c r="L1868" s="1">
        <v>438</v>
      </c>
      <c r="M1868" s="1">
        <v>53</v>
      </c>
      <c r="N1868" s="1" t="str">
        <f t="shared" si="148"/>
        <v>Published</v>
      </c>
      <c r="O1868" s="1">
        <f t="shared" si="146"/>
        <v>232.14000000000001</v>
      </c>
      <c r="P1868" s="1">
        <v>6</v>
      </c>
      <c r="Q1868" s="1">
        <v>820</v>
      </c>
      <c r="R1868" s="1" t="str">
        <f t="shared" si="149"/>
        <v>1</v>
      </c>
      <c r="S1868" s="1">
        <v>154</v>
      </c>
      <c r="T1868" s="1" t="str">
        <f t="shared" si="147"/>
        <v>3</v>
      </c>
      <c r="U1868" s="1">
        <v>-30.982637</v>
      </c>
      <c r="V1868" s="3">
        <v>150.24876800000001</v>
      </c>
    </row>
    <row r="1869" spans="1:22" x14ac:dyDescent="0.35">
      <c r="A1869" s="22" t="s">
        <v>5303</v>
      </c>
      <c r="B1869" s="1" t="s">
        <v>5304</v>
      </c>
      <c r="C1869" s="1" t="s">
        <v>256</v>
      </c>
      <c r="D1869" s="1" t="s">
        <v>256</v>
      </c>
      <c r="E1869" s="1" t="s">
        <v>107</v>
      </c>
      <c r="F1869" s="1" t="s">
        <v>57</v>
      </c>
      <c r="G1869" s="1">
        <f t="shared" si="145"/>
        <v>2</v>
      </c>
      <c r="H1869" s="1" t="s">
        <v>92</v>
      </c>
      <c r="I1869" s="1" t="s">
        <v>4583</v>
      </c>
      <c r="J1869" s="23" t="s">
        <v>50</v>
      </c>
      <c r="K1869" s="2" t="s">
        <v>51</v>
      </c>
      <c r="L1869" s="1">
        <v>307</v>
      </c>
      <c r="M1869" s="1">
        <v>20</v>
      </c>
      <c r="N1869" s="1" t="str">
        <f t="shared" si="148"/>
        <v>Published</v>
      </c>
      <c r="O1869" s="1">
        <f t="shared" si="146"/>
        <v>61.400000000000006</v>
      </c>
      <c r="P1869" s="1">
        <v>5</v>
      </c>
      <c r="Q1869" s="1">
        <v>912</v>
      </c>
      <c r="R1869" s="1" t="str">
        <f t="shared" si="149"/>
        <v>2</v>
      </c>
      <c r="S1869" s="1">
        <v>139</v>
      </c>
      <c r="T1869" s="1" t="str">
        <f t="shared" si="147"/>
        <v>3</v>
      </c>
      <c r="U1869" s="1">
        <v>-28.625772000000001</v>
      </c>
      <c r="V1869" s="3">
        <v>153.001529</v>
      </c>
    </row>
    <row r="1870" spans="1:22" x14ac:dyDescent="0.35">
      <c r="A1870" s="22" t="s">
        <v>5305</v>
      </c>
      <c r="B1870" s="1" t="s">
        <v>5306</v>
      </c>
      <c r="C1870" s="1" t="s">
        <v>909</v>
      </c>
      <c r="D1870" s="1" t="s">
        <v>506</v>
      </c>
      <c r="E1870" s="1" t="s">
        <v>80</v>
      </c>
      <c r="F1870" s="1" t="s">
        <v>57</v>
      </c>
      <c r="G1870" s="1">
        <f t="shared" si="145"/>
        <v>2</v>
      </c>
      <c r="H1870" s="1" t="s">
        <v>70</v>
      </c>
      <c r="I1870" s="1" t="s">
        <v>4583</v>
      </c>
      <c r="J1870" s="23" t="s">
        <v>50</v>
      </c>
      <c r="K1870" s="2" t="s">
        <v>51</v>
      </c>
      <c r="L1870" s="1">
        <v>202.2</v>
      </c>
      <c r="M1870" s="1">
        <v>22</v>
      </c>
      <c r="N1870" s="1" t="str">
        <f t="shared" si="148"/>
        <v>Published</v>
      </c>
      <c r="O1870" s="1">
        <f t="shared" si="146"/>
        <v>44.483999999999995</v>
      </c>
      <c r="P1870" s="1">
        <v>6</v>
      </c>
      <c r="Q1870" s="1">
        <v>902</v>
      </c>
      <c r="R1870" s="1" t="str">
        <f t="shared" si="149"/>
        <v>2</v>
      </c>
      <c r="S1870" s="1">
        <v>149</v>
      </c>
      <c r="T1870" s="1" t="str">
        <f t="shared" si="147"/>
        <v>2</v>
      </c>
      <c r="U1870" s="1">
        <v>-34.635418999999999</v>
      </c>
      <c r="V1870" s="3">
        <v>148.017191</v>
      </c>
    </row>
    <row r="1871" spans="1:22" x14ac:dyDescent="0.35">
      <c r="A1871" s="22" t="s">
        <v>5307</v>
      </c>
      <c r="B1871" s="1" t="s">
        <v>5308</v>
      </c>
      <c r="C1871" s="1" t="s">
        <v>932</v>
      </c>
      <c r="D1871" s="1" t="s">
        <v>176</v>
      </c>
      <c r="E1871" s="1" t="s">
        <v>85</v>
      </c>
      <c r="F1871" s="1" t="s">
        <v>47</v>
      </c>
      <c r="G1871" s="1">
        <f t="shared" si="145"/>
        <v>1</v>
      </c>
      <c r="H1871" s="1" t="s">
        <v>86</v>
      </c>
      <c r="I1871" s="1" t="s">
        <v>4583</v>
      </c>
      <c r="J1871" s="23" t="s">
        <v>50</v>
      </c>
      <c r="K1871" s="2" t="s">
        <v>51</v>
      </c>
      <c r="L1871" s="1">
        <v>568.79999999999995</v>
      </c>
      <c r="M1871" s="1">
        <v>18</v>
      </c>
      <c r="N1871" s="1" t="str">
        <f t="shared" si="148"/>
        <v>Published</v>
      </c>
      <c r="O1871" s="1">
        <f t="shared" si="146"/>
        <v>102.38399999999999</v>
      </c>
      <c r="P1871" s="1">
        <v>17</v>
      </c>
      <c r="Q1871" s="1">
        <v>940</v>
      </c>
      <c r="R1871" s="1" t="str">
        <f t="shared" si="149"/>
        <v>2</v>
      </c>
      <c r="S1871" s="1">
        <v>125</v>
      </c>
      <c r="T1871" s="1" t="str">
        <f t="shared" si="147"/>
        <v>3</v>
      </c>
      <c r="U1871" s="1">
        <v>-34.374243</v>
      </c>
      <c r="V1871" s="3">
        <v>150.91070999999999</v>
      </c>
    </row>
    <row r="1872" spans="1:22" x14ac:dyDescent="0.35">
      <c r="A1872" s="22" t="s">
        <v>5309</v>
      </c>
      <c r="B1872" s="1" t="s">
        <v>5310</v>
      </c>
      <c r="C1872" s="1" t="s">
        <v>2059</v>
      </c>
      <c r="D1872" s="1" t="s">
        <v>220</v>
      </c>
      <c r="E1872" s="1" t="s">
        <v>107</v>
      </c>
      <c r="F1872" s="1" t="s">
        <v>57</v>
      </c>
      <c r="G1872" s="1">
        <f t="shared" si="145"/>
        <v>2</v>
      </c>
      <c r="H1872" s="1" t="s">
        <v>92</v>
      </c>
      <c r="I1872" s="1" t="s">
        <v>4583</v>
      </c>
      <c r="J1872" s="23" t="s">
        <v>50</v>
      </c>
      <c r="K1872" s="2" t="s">
        <v>51</v>
      </c>
      <c r="L1872" s="1">
        <v>619.5</v>
      </c>
      <c r="M1872" s="1">
        <v>8</v>
      </c>
      <c r="N1872" s="1" t="str">
        <f t="shared" si="148"/>
        <v>Published</v>
      </c>
      <c r="O1872" s="1">
        <f t="shared" si="146"/>
        <v>49.56</v>
      </c>
      <c r="P1872" s="1">
        <v>13</v>
      </c>
      <c r="Q1872" s="1">
        <v>1019</v>
      </c>
      <c r="R1872" s="1" t="str">
        <f t="shared" si="149"/>
        <v>3</v>
      </c>
      <c r="S1872" s="1">
        <v>80</v>
      </c>
      <c r="T1872" s="1" t="str">
        <f t="shared" si="147"/>
        <v>4</v>
      </c>
      <c r="U1872" s="1">
        <v>-28.558568999999999</v>
      </c>
      <c r="V1872" s="3">
        <v>153.49460400000001</v>
      </c>
    </row>
    <row r="1873" spans="1:22" x14ac:dyDescent="0.35">
      <c r="A1873" s="22" t="s">
        <v>5311</v>
      </c>
      <c r="B1873" s="1" t="s">
        <v>5312</v>
      </c>
      <c r="C1873" s="1" t="s">
        <v>298</v>
      </c>
      <c r="D1873" s="1" t="s">
        <v>298</v>
      </c>
      <c r="E1873" s="1" t="s">
        <v>261</v>
      </c>
      <c r="F1873" s="1" t="s">
        <v>69</v>
      </c>
      <c r="G1873" s="1">
        <f t="shared" si="145"/>
        <v>3</v>
      </c>
      <c r="H1873" s="1" t="s">
        <v>70</v>
      </c>
      <c r="I1873" s="1" t="s">
        <v>4583</v>
      </c>
      <c r="J1873" s="23" t="s">
        <v>50</v>
      </c>
      <c r="K1873" s="2" t="s">
        <v>51</v>
      </c>
      <c r="L1873" s="1">
        <v>287</v>
      </c>
      <c r="M1873" s="1">
        <v>37</v>
      </c>
      <c r="N1873" s="1" t="str">
        <f t="shared" si="148"/>
        <v>Published</v>
      </c>
      <c r="O1873" s="1">
        <f t="shared" si="146"/>
        <v>106.19</v>
      </c>
      <c r="P1873" s="1">
        <v>3</v>
      </c>
      <c r="Q1873" s="1">
        <v>848</v>
      </c>
      <c r="R1873" s="1" t="str">
        <f t="shared" si="149"/>
        <v>1</v>
      </c>
      <c r="S1873" s="1">
        <v>146</v>
      </c>
      <c r="T1873" s="1" t="str">
        <f t="shared" si="147"/>
        <v>2</v>
      </c>
      <c r="U1873" s="1">
        <v>-33.364595999999999</v>
      </c>
      <c r="V1873" s="3">
        <v>148.01135199999999</v>
      </c>
    </row>
    <row r="1874" spans="1:22" x14ac:dyDescent="0.35">
      <c r="A1874" s="22" t="s">
        <v>5313</v>
      </c>
      <c r="B1874" s="1" t="s">
        <v>5314</v>
      </c>
      <c r="C1874" s="1" t="s">
        <v>5315</v>
      </c>
      <c r="D1874" s="1" t="s">
        <v>106</v>
      </c>
      <c r="E1874" s="1" t="s">
        <v>107</v>
      </c>
      <c r="F1874" s="1" t="s">
        <v>57</v>
      </c>
      <c r="G1874" s="1">
        <f t="shared" si="145"/>
        <v>2</v>
      </c>
      <c r="H1874" s="1" t="s">
        <v>92</v>
      </c>
      <c r="I1874" s="1" t="s">
        <v>4583</v>
      </c>
      <c r="J1874" s="23" t="s">
        <v>50</v>
      </c>
      <c r="K1874" s="2" t="s">
        <v>51</v>
      </c>
      <c r="L1874" s="1">
        <v>718.2</v>
      </c>
      <c r="M1874" s="1">
        <v>19</v>
      </c>
      <c r="N1874" s="1" t="str">
        <f t="shared" si="148"/>
        <v>Published</v>
      </c>
      <c r="O1874" s="1">
        <f t="shared" si="146"/>
        <v>136.458</v>
      </c>
      <c r="P1874" s="1">
        <v>8</v>
      </c>
      <c r="Q1874" s="1">
        <v>952</v>
      </c>
      <c r="R1874" s="1" t="str">
        <f t="shared" si="149"/>
        <v>2</v>
      </c>
      <c r="S1874" s="1">
        <v>113</v>
      </c>
      <c r="T1874" s="1" t="str">
        <f t="shared" si="147"/>
        <v>4</v>
      </c>
      <c r="U1874" s="1">
        <v>-28.866603000000001</v>
      </c>
      <c r="V1874" s="3">
        <v>153.56505799999999</v>
      </c>
    </row>
    <row r="1875" spans="1:22" x14ac:dyDescent="0.35">
      <c r="A1875" s="22" t="s">
        <v>5316</v>
      </c>
      <c r="B1875" s="1" t="s">
        <v>5317</v>
      </c>
      <c r="C1875" s="1" t="s">
        <v>3265</v>
      </c>
      <c r="D1875" s="1" t="s">
        <v>67</v>
      </c>
      <c r="E1875" s="1" t="s">
        <v>68</v>
      </c>
      <c r="F1875" s="1" t="s">
        <v>57</v>
      </c>
      <c r="G1875" s="1">
        <f t="shared" si="145"/>
        <v>2</v>
      </c>
      <c r="H1875" s="1" t="s">
        <v>70</v>
      </c>
      <c r="I1875" s="1" t="s">
        <v>4583</v>
      </c>
      <c r="J1875" s="23" t="s">
        <v>50</v>
      </c>
      <c r="K1875" s="2" t="s">
        <v>51</v>
      </c>
      <c r="L1875" s="1">
        <v>372</v>
      </c>
      <c r="M1875" s="1">
        <v>9</v>
      </c>
      <c r="N1875" s="1" t="str">
        <f t="shared" si="148"/>
        <v>Published</v>
      </c>
      <c r="O1875" s="1">
        <f t="shared" si="146"/>
        <v>33.479999999999997</v>
      </c>
      <c r="P1875" s="1">
        <v>9</v>
      </c>
      <c r="Q1875" s="1">
        <v>977</v>
      </c>
      <c r="R1875" s="1" t="str">
        <f t="shared" si="149"/>
        <v>2</v>
      </c>
      <c r="S1875" s="1">
        <v>106</v>
      </c>
      <c r="T1875" s="1" t="str">
        <f t="shared" si="147"/>
        <v>3</v>
      </c>
      <c r="U1875" s="1">
        <v>-36.216655000000003</v>
      </c>
      <c r="V1875" s="3">
        <v>149.13402099999999</v>
      </c>
    </row>
    <row r="1876" spans="1:22" x14ac:dyDescent="0.35">
      <c r="A1876" s="22" t="s">
        <v>5318</v>
      </c>
      <c r="B1876" s="1" t="s">
        <v>5319</v>
      </c>
      <c r="C1876" s="1" t="s">
        <v>2904</v>
      </c>
      <c r="D1876" s="1" t="s">
        <v>211</v>
      </c>
      <c r="E1876" s="1" t="s">
        <v>102</v>
      </c>
      <c r="F1876" s="1" t="s">
        <v>69</v>
      </c>
      <c r="G1876" s="1">
        <f t="shared" si="145"/>
        <v>3</v>
      </c>
      <c r="H1876" s="1" t="s">
        <v>58</v>
      </c>
      <c r="I1876" s="1" t="s">
        <v>4583</v>
      </c>
      <c r="J1876" s="23" t="s">
        <v>50</v>
      </c>
      <c r="K1876" s="2" t="s">
        <v>51</v>
      </c>
      <c r="L1876" s="1">
        <v>284</v>
      </c>
      <c r="M1876" s="1">
        <v>66</v>
      </c>
      <c r="N1876" s="1" t="str">
        <f t="shared" si="148"/>
        <v>Published</v>
      </c>
      <c r="O1876" s="1">
        <f t="shared" si="146"/>
        <v>187.44</v>
      </c>
      <c r="P1876" s="1">
        <v>3</v>
      </c>
      <c r="Q1876" s="1">
        <v>792</v>
      </c>
      <c r="R1876" s="1" t="str">
        <f t="shared" si="149"/>
        <v>1</v>
      </c>
      <c r="S1876" s="1">
        <v>166</v>
      </c>
      <c r="T1876" s="1" t="str">
        <f t="shared" si="147"/>
        <v>2</v>
      </c>
      <c r="U1876" s="1">
        <v>-32.546677000000003</v>
      </c>
      <c r="V1876" s="3">
        <v>148.94781499999999</v>
      </c>
    </row>
    <row r="1877" spans="1:22" x14ac:dyDescent="0.35">
      <c r="A1877" s="22" t="s">
        <v>5320</v>
      </c>
      <c r="B1877" s="1" t="s">
        <v>5321</v>
      </c>
      <c r="C1877" s="1" t="s">
        <v>3578</v>
      </c>
      <c r="D1877" s="1" t="s">
        <v>382</v>
      </c>
      <c r="E1877" s="1" t="s">
        <v>196</v>
      </c>
      <c r="F1877" s="1" t="s">
        <v>57</v>
      </c>
      <c r="G1877" s="1">
        <f t="shared" si="145"/>
        <v>2</v>
      </c>
      <c r="H1877" s="1" t="s">
        <v>86</v>
      </c>
      <c r="I1877" s="1" t="s">
        <v>4583</v>
      </c>
      <c r="J1877" s="23" t="s">
        <v>50</v>
      </c>
      <c r="K1877" s="2" t="s">
        <v>51</v>
      </c>
      <c r="L1877" s="1">
        <v>777</v>
      </c>
      <c r="M1877" s="1">
        <v>21</v>
      </c>
      <c r="N1877" s="1" t="str">
        <f t="shared" si="148"/>
        <v>Published</v>
      </c>
      <c r="O1877" s="1">
        <f t="shared" si="146"/>
        <v>163.16999999999999</v>
      </c>
      <c r="P1877" s="1">
        <v>8</v>
      </c>
      <c r="Q1877" s="1">
        <v>944</v>
      </c>
      <c r="R1877" s="1" t="str">
        <f t="shared" si="149"/>
        <v>2</v>
      </c>
      <c r="S1877" s="1">
        <v>111</v>
      </c>
      <c r="T1877" s="1" t="str">
        <f t="shared" si="147"/>
        <v>4</v>
      </c>
      <c r="U1877" s="1">
        <v>-34.872965999999998</v>
      </c>
      <c r="V1877" s="3">
        <v>150.60936100000001</v>
      </c>
    </row>
    <row r="1878" spans="1:22" x14ac:dyDescent="0.35">
      <c r="A1878" s="22" t="s">
        <v>5322</v>
      </c>
      <c r="B1878" s="1" t="s">
        <v>5323</v>
      </c>
      <c r="C1878" s="1" t="s">
        <v>2035</v>
      </c>
      <c r="D1878" s="1" t="s">
        <v>595</v>
      </c>
      <c r="E1878" s="1" t="s">
        <v>56</v>
      </c>
      <c r="F1878" s="1" t="s">
        <v>57</v>
      </c>
      <c r="G1878" s="1">
        <f t="shared" si="145"/>
        <v>2</v>
      </c>
      <c r="H1878" s="1" t="s">
        <v>58</v>
      </c>
      <c r="I1878" s="1" t="s">
        <v>4583</v>
      </c>
      <c r="J1878" s="23" t="s">
        <v>50</v>
      </c>
      <c r="K1878" s="2" t="s">
        <v>51</v>
      </c>
      <c r="L1878" s="1">
        <v>873.6</v>
      </c>
      <c r="M1878" s="1">
        <v>28</v>
      </c>
      <c r="N1878" s="1" t="str">
        <f t="shared" si="148"/>
        <v>Published</v>
      </c>
      <c r="O1878" s="1">
        <f t="shared" si="146"/>
        <v>244.60800000000003</v>
      </c>
      <c r="P1878" s="1">
        <v>7</v>
      </c>
      <c r="Q1878" s="1">
        <v>901</v>
      </c>
      <c r="R1878" s="1" t="str">
        <f t="shared" si="149"/>
        <v>2</v>
      </c>
      <c r="S1878" s="1">
        <v>137</v>
      </c>
      <c r="T1878" s="1" t="str">
        <f t="shared" si="147"/>
        <v>4</v>
      </c>
      <c r="U1878" s="1">
        <v>-32.569684000000002</v>
      </c>
      <c r="V1878" s="3">
        <v>151.177593</v>
      </c>
    </row>
    <row r="1879" spans="1:22" x14ac:dyDescent="0.35">
      <c r="A1879" s="22" t="s">
        <v>5324</v>
      </c>
      <c r="B1879" s="1" t="s">
        <v>5325</v>
      </c>
      <c r="C1879" s="1" t="s">
        <v>3957</v>
      </c>
      <c r="D1879" s="1" t="s">
        <v>191</v>
      </c>
      <c r="E1879" s="1" t="s">
        <v>75</v>
      </c>
      <c r="F1879" s="1" t="s">
        <v>47</v>
      </c>
      <c r="G1879" s="1">
        <f t="shared" si="145"/>
        <v>1</v>
      </c>
      <c r="H1879" s="1" t="s">
        <v>63</v>
      </c>
      <c r="I1879" s="1" t="s">
        <v>4583</v>
      </c>
      <c r="J1879" s="23" t="s">
        <v>50</v>
      </c>
      <c r="K1879" s="2" t="s">
        <v>51</v>
      </c>
      <c r="L1879" s="1">
        <v>807</v>
      </c>
      <c r="M1879" s="1">
        <v>14</v>
      </c>
      <c r="N1879" s="1" t="str">
        <f t="shared" si="148"/>
        <v>Published</v>
      </c>
      <c r="O1879" s="1">
        <f t="shared" si="146"/>
        <v>112.98</v>
      </c>
      <c r="P1879" s="1">
        <v>5</v>
      </c>
      <c r="Q1879" s="1">
        <v>973</v>
      </c>
      <c r="R1879" s="1" t="str">
        <f t="shared" si="149"/>
        <v>2</v>
      </c>
      <c r="S1879" s="1">
        <v>111</v>
      </c>
      <c r="T1879" s="1" t="str">
        <f t="shared" si="147"/>
        <v>4</v>
      </c>
      <c r="U1879" s="1">
        <v>-33.027146999999999</v>
      </c>
      <c r="V1879" s="3">
        <v>151.66011399999999</v>
      </c>
    </row>
    <row r="1880" spans="1:22" x14ac:dyDescent="0.35">
      <c r="A1880" s="22" t="s">
        <v>5326</v>
      </c>
      <c r="B1880" s="1" t="s">
        <v>5327</v>
      </c>
      <c r="C1880" s="1" t="s">
        <v>3787</v>
      </c>
      <c r="D1880" s="1" t="s">
        <v>176</v>
      </c>
      <c r="E1880" s="1" t="s">
        <v>85</v>
      </c>
      <c r="F1880" s="1" t="s">
        <v>47</v>
      </c>
      <c r="G1880" s="1">
        <f t="shared" si="145"/>
        <v>1</v>
      </c>
      <c r="H1880" s="1" t="s">
        <v>86</v>
      </c>
      <c r="I1880" s="1" t="s">
        <v>4583</v>
      </c>
      <c r="J1880" s="23" t="s">
        <v>50</v>
      </c>
      <c r="K1880" s="2" t="s">
        <v>51</v>
      </c>
      <c r="L1880" s="1">
        <v>987.4</v>
      </c>
      <c r="M1880" s="1">
        <v>10</v>
      </c>
      <c r="N1880" s="1" t="str">
        <f t="shared" si="148"/>
        <v>Published</v>
      </c>
      <c r="O1880" s="1">
        <f t="shared" si="146"/>
        <v>98.740000000000009</v>
      </c>
      <c r="P1880" s="1">
        <v>10</v>
      </c>
      <c r="Q1880" s="1">
        <v>968</v>
      </c>
      <c r="R1880" s="1" t="str">
        <f t="shared" si="149"/>
        <v>2</v>
      </c>
      <c r="S1880" s="1">
        <v>113</v>
      </c>
      <c r="T1880" s="1" t="str">
        <f t="shared" si="147"/>
        <v>4</v>
      </c>
      <c r="U1880" s="1">
        <v>-34.499054000000001</v>
      </c>
      <c r="V1880" s="3">
        <v>150.78586799999999</v>
      </c>
    </row>
    <row r="1881" spans="1:22" x14ac:dyDescent="0.35">
      <c r="A1881" s="22" t="s">
        <v>5328</v>
      </c>
      <c r="B1881" s="1" t="s">
        <v>5329</v>
      </c>
      <c r="C1881" s="1" t="s">
        <v>3669</v>
      </c>
      <c r="D1881" s="1" t="s">
        <v>176</v>
      </c>
      <c r="E1881" s="1" t="s">
        <v>85</v>
      </c>
      <c r="F1881" s="1" t="s">
        <v>47</v>
      </c>
      <c r="G1881" s="1">
        <f t="shared" si="145"/>
        <v>1</v>
      </c>
      <c r="H1881" s="1" t="s">
        <v>86</v>
      </c>
      <c r="I1881" s="1" t="s">
        <v>4583</v>
      </c>
      <c r="J1881" s="23" t="s">
        <v>50</v>
      </c>
      <c r="K1881" s="2" t="s">
        <v>51</v>
      </c>
      <c r="L1881" s="1">
        <v>925.8</v>
      </c>
      <c r="M1881" s="1">
        <v>17</v>
      </c>
      <c r="N1881" s="1" t="str">
        <f t="shared" si="148"/>
        <v>Published</v>
      </c>
      <c r="O1881" s="1">
        <f t="shared" si="146"/>
        <v>157.386</v>
      </c>
      <c r="P1881" s="1">
        <v>19</v>
      </c>
      <c r="Q1881" s="1">
        <v>937</v>
      </c>
      <c r="R1881" s="1" t="str">
        <f t="shared" si="149"/>
        <v>2</v>
      </c>
      <c r="S1881" s="1">
        <v>127</v>
      </c>
      <c r="T1881" s="1" t="str">
        <f t="shared" si="147"/>
        <v>4</v>
      </c>
      <c r="U1881" s="1">
        <v>-34.480848999999999</v>
      </c>
      <c r="V1881" s="3">
        <v>150.853331</v>
      </c>
    </row>
    <row r="1882" spans="1:22" x14ac:dyDescent="0.35">
      <c r="A1882" s="22" t="s">
        <v>5330</v>
      </c>
      <c r="B1882" s="1" t="s">
        <v>5331</v>
      </c>
      <c r="C1882" s="1" t="s">
        <v>3314</v>
      </c>
      <c r="D1882" s="1" t="s">
        <v>152</v>
      </c>
      <c r="E1882" s="1" t="s">
        <v>229</v>
      </c>
      <c r="F1882" s="1" t="s">
        <v>47</v>
      </c>
      <c r="G1882" s="1">
        <f t="shared" si="145"/>
        <v>1</v>
      </c>
      <c r="H1882" s="1" t="s">
        <v>182</v>
      </c>
      <c r="I1882" s="1" t="s">
        <v>4583</v>
      </c>
      <c r="J1882" s="23" t="s">
        <v>50</v>
      </c>
      <c r="K1882" s="2" t="s">
        <v>4755</v>
      </c>
      <c r="L1882" s="1">
        <v>843</v>
      </c>
      <c r="M1882" s="1">
        <v>1</v>
      </c>
      <c r="N1882" s="1" t="str">
        <f t="shared" si="148"/>
        <v>Published</v>
      </c>
      <c r="O1882" s="1">
        <f t="shared" si="146"/>
        <v>8.43</v>
      </c>
      <c r="P1882" s="1">
        <v>82</v>
      </c>
      <c r="Q1882" s="1">
        <v>1013</v>
      </c>
      <c r="R1882" s="1" t="str">
        <f t="shared" si="149"/>
        <v>3</v>
      </c>
      <c r="S1882" s="1">
        <v>99</v>
      </c>
      <c r="T1882" s="1" t="str">
        <f t="shared" si="147"/>
        <v>4</v>
      </c>
      <c r="U1882" s="1">
        <v>-33.957228999999998</v>
      </c>
      <c r="V1882" s="3">
        <v>150.99411499999999</v>
      </c>
    </row>
    <row r="1883" spans="1:22" x14ac:dyDescent="0.35">
      <c r="A1883" s="22" t="s">
        <v>5332</v>
      </c>
      <c r="B1883" s="1" t="s">
        <v>5333</v>
      </c>
      <c r="C1883" s="1" t="s">
        <v>533</v>
      </c>
      <c r="D1883" s="1" t="s">
        <v>533</v>
      </c>
      <c r="E1883" s="1" t="s">
        <v>306</v>
      </c>
      <c r="F1883" s="1" t="s">
        <v>47</v>
      </c>
      <c r="G1883" s="1">
        <f t="shared" si="145"/>
        <v>1</v>
      </c>
      <c r="H1883" s="1" t="s">
        <v>148</v>
      </c>
      <c r="I1883" s="1" t="s">
        <v>4583</v>
      </c>
      <c r="J1883" s="23" t="s">
        <v>50</v>
      </c>
      <c r="K1883" s="2" t="s">
        <v>51</v>
      </c>
      <c r="L1883" s="1">
        <v>789.4</v>
      </c>
      <c r="M1883" s="1"/>
      <c r="N1883" s="1" t="str">
        <f t="shared" si="148"/>
        <v>Suppressed</v>
      </c>
      <c r="O1883" s="1" t="str">
        <f t="shared" si="146"/>
        <v/>
      </c>
      <c r="P1883" s="1">
        <v>43</v>
      </c>
      <c r="Q1883" s="1">
        <v>1104</v>
      </c>
      <c r="R1883" s="1" t="str">
        <f t="shared" si="149"/>
        <v>4</v>
      </c>
      <c r="S1883" s="1">
        <v>34</v>
      </c>
      <c r="T1883" s="1" t="str">
        <f t="shared" si="147"/>
        <v>4</v>
      </c>
      <c r="U1883" s="1">
        <v>-33.832695999999999</v>
      </c>
      <c r="V1883" s="3">
        <v>151.14850899999999</v>
      </c>
    </row>
    <row r="1884" spans="1:22" x14ac:dyDescent="0.35">
      <c r="A1884" s="22" t="s">
        <v>5334</v>
      </c>
      <c r="B1884" s="1" t="s">
        <v>5335</v>
      </c>
      <c r="C1884" s="1" t="s">
        <v>305</v>
      </c>
      <c r="D1884" s="1" t="s">
        <v>126</v>
      </c>
      <c r="E1884" s="1" t="s">
        <v>306</v>
      </c>
      <c r="F1884" s="1" t="s">
        <v>47</v>
      </c>
      <c r="G1884" s="1">
        <f t="shared" si="145"/>
        <v>1</v>
      </c>
      <c r="H1884" s="1" t="s">
        <v>148</v>
      </c>
      <c r="I1884" s="1" t="s">
        <v>4583</v>
      </c>
      <c r="J1884" s="23" t="s">
        <v>50</v>
      </c>
      <c r="K1884" s="2" t="s">
        <v>5184</v>
      </c>
      <c r="L1884" s="1">
        <v>1432.4</v>
      </c>
      <c r="M1884" s="1"/>
      <c r="N1884" s="1" t="str">
        <f t="shared" si="148"/>
        <v>Suppressed</v>
      </c>
      <c r="O1884" s="1" t="str">
        <f t="shared" si="146"/>
        <v/>
      </c>
      <c r="P1884" s="1">
        <v>79</v>
      </c>
      <c r="Q1884" s="1">
        <v>1142</v>
      </c>
      <c r="R1884" s="1" t="str">
        <f t="shared" si="149"/>
        <v>4</v>
      </c>
      <c r="S1884" s="1">
        <v>12</v>
      </c>
      <c r="T1884" s="1" t="str">
        <f t="shared" si="147"/>
        <v>5</v>
      </c>
      <c r="U1884" s="1">
        <v>-33.756270000000001</v>
      </c>
      <c r="V1884" s="3">
        <v>151.074096</v>
      </c>
    </row>
    <row r="1885" spans="1:22" x14ac:dyDescent="0.35">
      <c r="A1885" s="22" t="s">
        <v>5336</v>
      </c>
      <c r="B1885" s="1" t="s">
        <v>5337</v>
      </c>
      <c r="C1885" s="1" t="s">
        <v>671</v>
      </c>
      <c r="D1885" s="1" t="s">
        <v>537</v>
      </c>
      <c r="E1885" s="1" t="s">
        <v>181</v>
      </c>
      <c r="F1885" s="1" t="s">
        <v>47</v>
      </c>
      <c r="G1885" s="1">
        <f t="shared" si="145"/>
        <v>1</v>
      </c>
      <c r="H1885" s="1" t="s">
        <v>182</v>
      </c>
      <c r="I1885" s="1" t="s">
        <v>4583</v>
      </c>
      <c r="J1885" s="23" t="s">
        <v>50</v>
      </c>
      <c r="K1885" s="2" t="s">
        <v>51</v>
      </c>
      <c r="L1885" s="1">
        <v>1622.4</v>
      </c>
      <c r="M1885" s="1">
        <v>1</v>
      </c>
      <c r="N1885" s="1" t="str">
        <f t="shared" si="148"/>
        <v>Published</v>
      </c>
      <c r="O1885" s="1">
        <f t="shared" si="146"/>
        <v>16.224</v>
      </c>
      <c r="P1885" s="1">
        <v>95</v>
      </c>
      <c r="Q1885" s="1">
        <v>934</v>
      </c>
      <c r="R1885" s="1" t="str">
        <f t="shared" si="149"/>
        <v>2</v>
      </c>
      <c r="S1885" s="1">
        <v>163</v>
      </c>
      <c r="T1885" s="1" t="str">
        <f t="shared" si="147"/>
        <v>5</v>
      </c>
      <c r="U1885" s="1">
        <v>-33.901421999999997</v>
      </c>
      <c r="V1885" s="3">
        <v>150.92891299999999</v>
      </c>
    </row>
    <row r="1886" spans="1:22" x14ac:dyDescent="0.35">
      <c r="A1886" s="22" t="s">
        <v>5338</v>
      </c>
      <c r="B1886" s="1" t="s">
        <v>5339</v>
      </c>
      <c r="C1886" s="1" t="s">
        <v>5340</v>
      </c>
      <c r="D1886" s="1" t="s">
        <v>191</v>
      </c>
      <c r="E1886" s="1" t="s">
        <v>75</v>
      </c>
      <c r="F1886" s="1" t="s">
        <v>47</v>
      </c>
      <c r="G1886" s="1">
        <f t="shared" si="145"/>
        <v>1</v>
      </c>
      <c r="H1886" s="1" t="s">
        <v>63</v>
      </c>
      <c r="I1886" s="1" t="s">
        <v>4583</v>
      </c>
      <c r="J1886" s="23" t="s">
        <v>50</v>
      </c>
      <c r="K1886" s="2" t="s">
        <v>51</v>
      </c>
      <c r="L1886" s="1">
        <v>434.4</v>
      </c>
      <c r="M1886" s="1">
        <v>19</v>
      </c>
      <c r="N1886" s="1" t="str">
        <f t="shared" si="148"/>
        <v>Published</v>
      </c>
      <c r="O1886" s="1">
        <f t="shared" si="146"/>
        <v>82.536000000000001</v>
      </c>
      <c r="P1886" s="1">
        <v>7</v>
      </c>
      <c r="Q1886" s="1">
        <v>925</v>
      </c>
      <c r="R1886" s="1" t="str">
        <f t="shared" si="149"/>
        <v>2</v>
      </c>
      <c r="S1886" s="1">
        <v>138</v>
      </c>
      <c r="T1886" s="1" t="str">
        <f t="shared" si="147"/>
        <v>3</v>
      </c>
      <c r="U1886" s="1">
        <v>-32.975552999999998</v>
      </c>
      <c r="V1886" s="3">
        <v>151.61386300000001</v>
      </c>
    </row>
    <row r="1887" spans="1:22" x14ac:dyDescent="0.35">
      <c r="A1887" s="22" t="s">
        <v>5341</v>
      </c>
      <c r="B1887" s="1" t="s">
        <v>5342</v>
      </c>
      <c r="C1887" s="1" t="s">
        <v>2170</v>
      </c>
      <c r="D1887" s="1" t="s">
        <v>126</v>
      </c>
      <c r="E1887" s="1" t="s">
        <v>147</v>
      </c>
      <c r="F1887" s="1" t="s">
        <v>47</v>
      </c>
      <c r="G1887" s="1">
        <f t="shared" si="145"/>
        <v>1</v>
      </c>
      <c r="H1887" s="1" t="s">
        <v>148</v>
      </c>
      <c r="I1887" s="1" t="s">
        <v>4583</v>
      </c>
      <c r="J1887" s="23" t="s">
        <v>5167</v>
      </c>
      <c r="K1887" s="2" t="s">
        <v>4755</v>
      </c>
      <c r="L1887" s="1">
        <v>752</v>
      </c>
      <c r="M1887" s="1">
        <v>0</v>
      </c>
      <c r="N1887" s="1" t="str">
        <f t="shared" si="148"/>
        <v>Published</v>
      </c>
      <c r="O1887" s="1">
        <f t="shared" si="146"/>
        <v>0</v>
      </c>
      <c r="P1887" s="1">
        <v>90</v>
      </c>
      <c r="Q1887" s="1">
        <v>1207</v>
      </c>
      <c r="R1887" s="1" t="str">
        <f t="shared" si="149"/>
        <v>4</v>
      </c>
      <c r="S1887" s="1">
        <v>0</v>
      </c>
      <c r="T1887" s="1" t="str">
        <f t="shared" si="147"/>
        <v>4</v>
      </c>
      <c r="U1887" s="1">
        <v>-33.721474999999998</v>
      </c>
      <c r="V1887" s="3">
        <v>151.10146599999999</v>
      </c>
    </row>
    <row r="1888" spans="1:22" x14ac:dyDescent="0.35">
      <c r="A1888" s="22" t="s">
        <v>5343</v>
      </c>
      <c r="B1888" s="1" t="s">
        <v>5344</v>
      </c>
      <c r="C1888" s="1" t="s">
        <v>3518</v>
      </c>
      <c r="D1888" s="1" t="s">
        <v>152</v>
      </c>
      <c r="E1888" s="1" t="s">
        <v>229</v>
      </c>
      <c r="F1888" s="1" t="s">
        <v>47</v>
      </c>
      <c r="G1888" s="1">
        <f t="shared" si="145"/>
        <v>1</v>
      </c>
      <c r="H1888" s="1" t="s">
        <v>48</v>
      </c>
      <c r="I1888" s="1" t="s">
        <v>4583</v>
      </c>
      <c r="J1888" s="23" t="s">
        <v>50</v>
      </c>
      <c r="K1888" s="2" t="s">
        <v>4755</v>
      </c>
      <c r="L1888" s="1">
        <v>366</v>
      </c>
      <c r="M1888" s="1"/>
      <c r="N1888" s="1" t="str">
        <f t="shared" si="148"/>
        <v>Suppressed</v>
      </c>
      <c r="O1888" s="1" t="str">
        <f t="shared" si="146"/>
        <v/>
      </c>
      <c r="P1888" s="1">
        <v>95</v>
      </c>
      <c r="Q1888" s="1">
        <v>937</v>
      </c>
      <c r="R1888" s="1" t="str">
        <f t="shared" si="149"/>
        <v>2</v>
      </c>
      <c r="S1888" s="1">
        <v>157</v>
      </c>
      <c r="T1888" s="1" t="str">
        <f t="shared" si="147"/>
        <v>3</v>
      </c>
      <c r="U1888" s="1">
        <v>-33.894047</v>
      </c>
      <c r="V1888" s="3">
        <v>151.025024</v>
      </c>
    </row>
    <row r="1889" spans="1:22" x14ac:dyDescent="0.35">
      <c r="A1889" s="22" t="s">
        <v>5345</v>
      </c>
      <c r="B1889" s="1" t="s">
        <v>5346</v>
      </c>
      <c r="C1889" s="1" t="s">
        <v>3666</v>
      </c>
      <c r="D1889" s="1" t="s">
        <v>390</v>
      </c>
      <c r="E1889" s="1" t="s">
        <v>107</v>
      </c>
      <c r="F1889" s="1" t="s">
        <v>57</v>
      </c>
      <c r="G1889" s="1">
        <f t="shared" si="145"/>
        <v>2</v>
      </c>
      <c r="H1889" s="1" t="s">
        <v>92</v>
      </c>
      <c r="I1889" s="1" t="s">
        <v>4583</v>
      </c>
      <c r="J1889" s="23" t="s">
        <v>50</v>
      </c>
      <c r="K1889" s="2" t="s">
        <v>51</v>
      </c>
      <c r="L1889" s="1">
        <v>494</v>
      </c>
      <c r="M1889" s="1">
        <v>19</v>
      </c>
      <c r="N1889" s="1" t="str">
        <f t="shared" si="148"/>
        <v>Published</v>
      </c>
      <c r="O1889" s="1">
        <f t="shared" si="146"/>
        <v>93.86</v>
      </c>
      <c r="P1889" s="1">
        <v>8</v>
      </c>
      <c r="Q1889" s="1">
        <v>950</v>
      </c>
      <c r="R1889" s="1" t="str">
        <f t="shared" si="149"/>
        <v>2</v>
      </c>
      <c r="S1889" s="1">
        <v>108</v>
      </c>
      <c r="T1889" s="1" t="str">
        <f t="shared" si="147"/>
        <v>3</v>
      </c>
      <c r="U1889" s="1">
        <v>-28.820846</v>
      </c>
      <c r="V1889" s="3">
        <v>153.296953</v>
      </c>
    </row>
    <row r="1890" spans="1:22" x14ac:dyDescent="0.35">
      <c r="A1890" s="22" t="s">
        <v>5347</v>
      </c>
      <c r="B1890" s="1" t="s">
        <v>5348</v>
      </c>
      <c r="C1890" s="1" t="s">
        <v>2309</v>
      </c>
      <c r="D1890" s="1" t="s">
        <v>121</v>
      </c>
      <c r="E1890" s="1" t="s">
        <v>122</v>
      </c>
      <c r="F1890" s="1" t="s">
        <v>57</v>
      </c>
      <c r="G1890" s="1">
        <f t="shared" si="145"/>
        <v>2</v>
      </c>
      <c r="H1890" s="1" t="s">
        <v>86</v>
      </c>
      <c r="I1890" s="1" t="s">
        <v>4583</v>
      </c>
      <c r="J1890" s="23" t="s">
        <v>50</v>
      </c>
      <c r="K1890" s="2" t="s">
        <v>51</v>
      </c>
      <c r="L1890" s="1">
        <v>1182</v>
      </c>
      <c r="M1890" s="1">
        <v>12</v>
      </c>
      <c r="N1890" s="1" t="str">
        <f t="shared" si="148"/>
        <v>Published</v>
      </c>
      <c r="O1890" s="1">
        <f t="shared" si="146"/>
        <v>141.84</v>
      </c>
      <c r="P1890" s="1">
        <v>9</v>
      </c>
      <c r="Q1890" s="1">
        <v>950</v>
      </c>
      <c r="R1890" s="1" t="str">
        <f t="shared" si="149"/>
        <v>2</v>
      </c>
      <c r="S1890" s="1">
        <v>124</v>
      </c>
      <c r="T1890" s="1" t="str">
        <f t="shared" si="147"/>
        <v>5</v>
      </c>
      <c r="U1890" s="1">
        <v>-34.194467000000003</v>
      </c>
      <c r="V1890" s="3">
        <v>150.608418</v>
      </c>
    </row>
    <row r="1891" spans="1:22" x14ac:dyDescent="0.35">
      <c r="A1891" s="22" t="s">
        <v>5349</v>
      </c>
      <c r="B1891" s="1" t="s">
        <v>5350</v>
      </c>
      <c r="C1891" s="1" t="s">
        <v>2371</v>
      </c>
      <c r="D1891" s="1" t="s">
        <v>558</v>
      </c>
      <c r="E1891" s="1" t="s">
        <v>68</v>
      </c>
      <c r="F1891" s="1" t="s">
        <v>47</v>
      </c>
      <c r="G1891" s="1">
        <f t="shared" si="145"/>
        <v>1</v>
      </c>
      <c r="H1891" s="1" t="s">
        <v>70</v>
      </c>
      <c r="I1891" s="1" t="s">
        <v>4583</v>
      </c>
      <c r="J1891" s="23" t="s">
        <v>50</v>
      </c>
      <c r="K1891" s="2" t="s">
        <v>51</v>
      </c>
      <c r="L1891" s="1">
        <v>447.4</v>
      </c>
      <c r="M1891" s="1">
        <v>15</v>
      </c>
      <c r="N1891" s="1" t="str">
        <f t="shared" si="148"/>
        <v>Published</v>
      </c>
      <c r="O1891" s="1">
        <f t="shared" si="146"/>
        <v>67.11</v>
      </c>
      <c r="P1891" s="1">
        <v>27</v>
      </c>
      <c r="Q1891" s="1">
        <v>967</v>
      </c>
      <c r="R1891" s="1" t="str">
        <f t="shared" si="149"/>
        <v>2</v>
      </c>
      <c r="S1891" s="1">
        <v>110</v>
      </c>
      <c r="T1891" s="1" t="str">
        <f t="shared" si="147"/>
        <v>3</v>
      </c>
      <c r="U1891" s="1">
        <v>-35.353242999999999</v>
      </c>
      <c r="V1891" s="3">
        <v>149.220484</v>
      </c>
    </row>
    <row r="1892" spans="1:22" x14ac:dyDescent="0.35">
      <c r="A1892" s="22" t="s">
        <v>5351</v>
      </c>
      <c r="B1892" s="1" t="s">
        <v>5352</v>
      </c>
      <c r="C1892" s="1" t="s">
        <v>678</v>
      </c>
      <c r="D1892" s="1" t="s">
        <v>678</v>
      </c>
      <c r="E1892" s="1" t="s">
        <v>122</v>
      </c>
      <c r="F1892" s="1" t="s">
        <v>47</v>
      </c>
      <c r="G1892" s="1">
        <f t="shared" si="145"/>
        <v>1</v>
      </c>
      <c r="H1892" s="1" t="s">
        <v>86</v>
      </c>
      <c r="I1892" s="1" t="s">
        <v>4583</v>
      </c>
      <c r="J1892" s="23" t="s">
        <v>50</v>
      </c>
      <c r="K1892" s="2" t="s">
        <v>51</v>
      </c>
      <c r="L1892" s="1">
        <v>911.6</v>
      </c>
      <c r="M1892" s="1">
        <v>9</v>
      </c>
      <c r="N1892" s="1" t="str">
        <f t="shared" si="148"/>
        <v>Published</v>
      </c>
      <c r="O1892" s="1">
        <f t="shared" si="146"/>
        <v>82.043999999999997</v>
      </c>
      <c r="P1892" s="1">
        <v>11</v>
      </c>
      <c r="Q1892" s="1">
        <v>976</v>
      </c>
      <c r="R1892" s="1" t="str">
        <f t="shared" si="149"/>
        <v>2</v>
      </c>
      <c r="S1892" s="1">
        <v>108</v>
      </c>
      <c r="T1892" s="1" t="str">
        <f t="shared" si="147"/>
        <v>4</v>
      </c>
      <c r="U1892" s="1">
        <v>-34.0793994</v>
      </c>
      <c r="V1892" s="3">
        <v>150.67773249999999</v>
      </c>
    </row>
    <row r="1893" spans="1:22" x14ac:dyDescent="0.35">
      <c r="A1893" s="22" t="s">
        <v>5353</v>
      </c>
      <c r="B1893" s="1" t="s">
        <v>5354</v>
      </c>
      <c r="C1893" s="1" t="s">
        <v>1891</v>
      </c>
      <c r="D1893" s="1" t="s">
        <v>461</v>
      </c>
      <c r="E1893" s="1" t="s">
        <v>96</v>
      </c>
      <c r="F1893" s="1" t="s">
        <v>57</v>
      </c>
      <c r="G1893" s="1">
        <f t="shared" si="145"/>
        <v>2</v>
      </c>
      <c r="H1893" s="1" t="s">
        <v>70</v>
      </c>
      <c r="I1893" s="1" t="s">
        <v>4583</v>
      </c>
      <c r="J1893" s="23" t="s">
        <v>50</v>
      </c>
      <c r="K1893" s="2" t="s">
        <v>51</v>
      </c>
      <c r="L1893" s="1">
        <v>432</v>
      </c>
      <c r="M1893" s="1">
        <v>15</v>
      </c>
      <c r="N1893" s="1" t="str">
        <f t="shared" si="148"/>
        <v>Published</v>
      </c>
      <c r="O1893" s="1">
        <f t="shared" si="146"/>
        <v>64.8</v>
      </c>
      <c r="P1893" s="1">
        <v>4</v>
      </c>
      <c r="Q1893" s="1">
        <v>948</v>
      </c>
      <c r="R1893" s="1" t="str">
        <f t="shared" si="149"/>
        <v>2</v>
      </c>
      <c r="S1893" s="1">
        <v>115</v>
      </c>
      <c r="T1893" s="1" t="str">
        <f t="shared" si="147"/>
        <v>3</v>
      </c>
      <c r="U1893" s="1">
        <v>-35.536270000000002</v>
      </c>
      <c r="V1893" s="3">
        <v>144.96126899999999</v>
      </c>
    </row>
    <row r="1894" spans="1:22" x14ac:dyDescent="0.35">
      <c r="A1894" s="22" t="s">
        <v>5355</v>
      </c>
      <c r="B1894" s="1" t="s">
        <v>5356</v>
      </c>
      <c r="C1894" s="1" t="s">
        <v>5357</v>
      </c>
      <c r="D1894" s="1" t="s">
        <v>111</v>
      </c>
      <c r="E1894" s="1" t="s">
        <v>56</v>
      </c>
      <c r="F1894" s="1" t="s">
        <v>47</v>
      </c>
      <c r="G1894" s="1">
        <f t="shared" si="145"/>
        <v>1</v>
      </c>
      <c r="H1894" s="1" t="s">
        <v>63</v>
      </c>
      <c r="I1894" s="1" t="s">
        <v>4583</v>
      </c>
      <c r="J1894" s="23" t="s">
        <v>50</v>
      </c>
      <c r="K1894" s="2" t="s">
        <v>51</v>
      </c>
      <c r="L1894" s="1">
        <v>760.4</v>
      </c>
      <c r="M1894" s="1">
        <v>27</v>
      </c>
      <c r="N1894" s="1" t="str">
        <f t="shared" si="148"/>
        <v>Published</v>
      </c>
      <c r="O1894" s="1">
        <f t="shared" si="146"/>
        <v>205.30800000000002</v>
      </c>
      <c r="P1894" s="1">
        <v>6</v>
      </c>
      <c r="Q1894" s="1">
        <v>899</v>
      </c>
      <c r="R1894" s="1" t="str">
        <f t="shared" si="149"/>
        <v>1</v>
      </c>
      <c r="S1894" s="1">
        <v>141</v>
      </c>
      <c r="T1894" s="1" t="str">
        <f t="shared" si="147"/>
        <v>4</v>
      </c>
      <c r="U1894" s="1">
        <v>-32.781835000000001</v>
      </c>
      <c r="V1894" s="3">
        <v>151.732798</v>
      </c>
    </row>
    <row r="1895" spans="1:22" x14ac:dyDescent="0.35">
      <c r="A1895" s="22" t="s">
        <v>5358</v>
      </c>
      <c r="B1895" s="1" t="s">
        <v>5359</v>
      </c>
      <c r="C1895" s="1" t="s">
        <v>5360</v>
      </c>
      <c r="D1895" s="1" t="s">
        <v>152</v>
      </c>
      <c r="E1895" s="1" t="s">
        <v>229</v>
      </c>
      <c r="F1895" s="1" t="s">
        <v>47</v>
      </c>
      <c r="G1895" s="1">
        <f t="shared" si="145"/>
        <v>1</v>
      </c>
      <c r="H1895" s="1" t="s">
        <v>48</v>
      </c>
      <c r="I1895" s="1" t="s">
        <v>4583</v>
      </c>
      <c r="J1895" s="23" t="s">
        <v>50</v>
      </c>
      <c r="K1895" s="2" t="s">
        <v>51</v>
      </c>
      <c r="L1895" s="1">
        <v>1020</v>
      </c>
      <c r="M1895" s="1">
        <v>2</v>
      </c>
      <c r="N1895" s="1" t="str">
        <f t="shared" si="148"/>
        <v>Published</v>
      </c>
      <c r="O1895" s="1">
        <f t="shared" si="146"/>
        <v>20.400000000000002</v>
      </c>
      <c r="P1895" s="1">
        <v>76</v>
      </c>
      <c r="Q1895" s="1">
        <v>1002</v>
      </c>
      <c r="R1895" s="1" t="str">
        <f t="shared" si="149"/>
        <v>3</v>
      </c>
      <c r="S1895" s="1">
        <v>110</v>
      </c>
      <c r="T1895" s="1" t="str">
        <f t="shared" si="147"/>
        <v>5</v>
      </c>
      <c r="U1895" s="1">
        <v>-33.933979999999998</v>
      </c>
      <c r="V1895" s="3">
        <v>151.09762799999999</v>
      </c>
    </row>
    <row r="1896" spans="1:22" x14ac:dyDescent="0.35">
      <c r="A1896" s="22" t="s">
        <v>5361</v>
      </c>
      <c r="B1896" s="1" t="s">
        <v>5362</v>
      </c>
      <c r="C1896" s="1" t="s">
        <v>162</v>
      </c>
      <c r="D1896" s="1" t="s">
        <v>126</v>
      </c>
      <c r="E1896" s="1" t="s">
        <v>147</v>
      </c>
      <c r="F1896" s="1" t="s">
        <v>47</v>
      </c>
      <c r="G1896" s="1">
        <f t="shared" si="145"/>
        <v>1</v>
      </c>
      <c r="H1896" s="1" t="s">
        <v>148</v>
      </c>
      <c r="I1896" s="1" t="s">
        <v>4583</v>
      </c>
      <c r="J1896" s="23" t="s">
        <v>50</v>
      </c>
      <c r="K1896" s="2" t="s">
        <v>51</v>
      </c>
      <c r="L1896" s="1">
        <v>668.2</v>
      </c>
      <c r="M1896" s="1">
        <v>2</v>
      </c>
      <c r="N1896" s="1" t="str">
        <f t="shared" si="148"/>
        <v>Published</v>
      </c>
      <c r="O1896" s="1">
        <f t="shared" si="146"/>
        <v>13.364000000000001</v>
      </c>
      <c r="P1896" s="1">
        <v>35</v>
      </c>
      <c r="Q1896" s="1">
        <v>1082</v>
      </c>
      <c r="R1896" s="1" t="str">
        <f t="shared" si="149"/>
        <v>3</v>
      </c>
      <c r="S1896" s="1">
        <v>49</v>
      </c>
      <c r="T1896" s="1" t="str">
        <f t="shared" si="147"/>
        <v>4</v>
      </c>
      <c r="U1896" s="1">
        <v>-33.689715999999997</v>
      </c>
      <c r="V1896" s="3">
        <v>151.11275000000001</v>
      </c>
    </row>
    <row r="1897" spans="1:22" x14ac:dyDescent="0.35">
      <c r="A1897" s="22" t="s">
        <v>5363</v>
      </c>
      <c r="B1897" s="1" t="s">
        <v>5364</v>
      </c>
      <c r="C1897" s="1" t="s">
        <v>284</v>
      </c>
      <c r="D1897" s="1" t="s">
        <v>152</v>
      </c>
      <c r="E1897" s="1" t="s">
        <v>229</v>
      </c>
      <c r="F1897" s="1" t="s">
        <v>47</v>
      </c>
      <c r="G1897" s="1">
        <f t="shared" si="145"/>
        <v>1</v>
      </c>
      <c r="H1897" s="1" t="s">
        <v>182</v>
      </c>
      <c r="I1897" s="1" t="s">
        <v>4583</v>
      </c>
      <c r="J1897" s="23" t="s">
        <v>50</v>
      </c>
      <c r="K1897" s="2" t="s">
        <v>51</v>
      </c>
      <c r="L1897" s="1">
        <v>871.2</v>
      </c>
      <c r="M1897" s="1">
        <v>2</v>
      </c>
      <c r="N1897" s="1" t="str">
        <f t="shared" si="148"/>
        <v>Published</v>
      </c>
      <c r="O1897" s="1">
        <f t="shared" si="146"/>
        <v>17.424000000000003</v>
      </c>
      <c r="P1897" s="1">
        <v>82</v>
      </c>
      <c r="Q1897" s="1">
        <v>927</v>
      </c>
      <c r="R1897" s="1" t="str">
        <f t="shared" si="149"/>
        <v>2</v>
      </c>
      <c r="S1897" s="1">
        <v>164</v>
      </c>
      <c r="T1897" s="1" t="str">
        <f t="shared" si="147"/>
        <v>4</v>
      </c>
      <c r="U1897" s="1">
        <v>-33.897941000000003</v>
      </c>
      <c r="V1897" s="3">
        <v>150.98937900000001</v>
      </c>
    </row>
    <row r="1898" spans="1:22" x14ac:dyDescent="0.35">
      <c r="A1898" s="22" t="s">
        <v>5365</v>
      </c>
      <c r="B1898" s="1" t="s">
        <v>5366</v>
      </c>
      <c r="C1898" s="1" t="s">
        <v>837</v>
      </c>
      <c r="D1898" s="1" t="s">
        <v>837</v>
      </c>
      <c r="E1898" s="1" t="s">
        <v>838</v>
      </c>
      <c r="F1898" s="1" t="s">
        <v>47</v>
      </c>
      <c r="G1898" s="1">
        <f t="shared" si="145"/>
        <v>1</v>
      </c>
      <c r="H1898" s="1" t="s">
        <v>182</v>
      </c>
      <c r="I1898" s="1" t="s">
        <v>4583</v>
      </c>
      <c r="J1898" s="23" t="s">
        <v>5177</v>
      </c>
      <c r="K1898" s="2" t="s">
        <v>5184</v>
      </c>
      <c r="L1898" s="1">
        <v>1079.0999999999999</v>
      </c>
      <c r="M1898" s="1">
        <v>3</v>
      </c>
      <c r="N1898" s="1" t="str">
        <f t="shared" si="148"/>
        <v>Published</v>
      </c>
      <c r="O1898" s="1">
        <f t="shared" si="146"/>
        <v>32.372999999999998</v>
      </c>
      <c r="P1898" s="1">
        <v>87</v>
      </c>
      <c r="Q1898" s="1">
        <v>1046</v>
      </c>
      <c r="R1898" s="1" t="str">
        <f t="shared" si="149"/>
        <v>3</v>
      </c>
      <c r="S1898" s="1">
        <v>71</v>
      </c>
      <c r="T1898" s="1" t="str">
        <f t="shared" si="147"/>
        <v>5</v>
      </c>
      <c r="U1898" s="1">
        <v>-33.761975999999997</v>
      </c>
      <c r="V1898" s="3">
        <v>150.91079199999999</v>
      </c>
    </row>
    <row r="1899" spans="1:22" x14ac:dyDescent="0.35">
      <c r="A1899" s="22" t="s">
        <v>5367</v>
      </c>
      <c r="B1899" s="1" t="s">
        <v>5368</v>
      </c>
      <c r="C1899" s="1" t="s">
        <v>3220</v>
      </c>
      <c r="D1899" s="1" t="s">
        <v>1155</v>
      </c>
      <c r="E1899" s="1" t="s">
        <v>306</v>
      </c>
      <c r="F1899" s="1" t="s">
        <v>47</v>
      </c>
      <c r="G1899" s="1">
        <f t="shared" si="145"/>
        <v>1</v>
      </c>
      <c r="H1899" s="1" t="s">
        <v>148</v>
      </c>
      <c r="I1899" s="1" t="s">
        <v>4583</v>
      </c>
      <c r="J1899" s="23" t="s">
        <v>50</v>
      </c>
      <c r="K1899" s="2" t="s">
        <v>51</v>
      </c>
      <c r="L1899" s="1">
        <v>1295.0999999999999</v>
      </c>
      <c r="M1899" s="1">
        <v>2</v>
      </c>
      <c r="N1899" s="1" t="str">
        <f t="shared" si="148"/>
        <v>Published</v>
      </c>
      <c r="O1899" s="1">
        <f t="shared" si="146"/>
        <v>25.901999999999997</v>
      </c>
      <c r="P1899" s="1">
        <v>73</v>
      </c>
      <c r="Q1899" s="1">
        <v>1050</v>
      </c>
      <c r="R1899" s="1" t="str">
        <f t="shared" si="149"/>
        <v>3</v>
      </c>
      <c r="S1899" s="1">
        <v>64</v>
      </c>
      <c r="T1899" s="1" t="str">
        <f t="shared" si="147"/>
        <v>5</v>
      </c>
      <c r="U1899" s="1">
        <v>-33.812981000000001</v>
      </c>
      <c r="V1899" s="3">
        <v>151.09223700000001</v>
      </c>
    </row>
    <row r="1900" spans="1:22" x14ac:dyDescent="0.35">
      <c r="A1900" s="22" t="s">
        <v>5369</v>
      </c>
      <c r="B1900" s="1" t="s">
        <v>5370</v>
      </c>
      <c r="C1900" s="1" t="s">
        <v>1927</v>
      </c>
      <c r="D1900" s="1" t="s">
        <v>169</v>
      </c>
      <c r="E1900" s="1" t="s">
        <v>170</v>
      </c>
      <c r="F1900" s="1" t="s">
        <v>47</v>
      </c>
      <c r="G1900" s="1">
        <f t="shared" si="145"/>
        <v>1</v>
      </c>
      <c r="H1900" s="1" t="s">
        <v>48</v>
      </c>
      <c r="I1900" s="1" t="s">
        <v>4583</v>
      </c>
      <c r="J1900" s="23" t="s">
        <v>50</v>
      </c>
      <c r="K1900" s="2" t="s">
        <v>51</v>
      </c>
      <c r="L1900" s="1">
        <v>851.8</v>
      </c>
      <c r="M1900" s="1">
        <v>2</v>
      </c>
      <c r="N1900" s="1" t="str">
        <f t="shared" si="148"/>
        <v>Published</v>
      </c>
      <c r="O1900" s="1">
        <f t="shared" si="146"/>
        <v>17.035999999999998</v>
      </c>
      <c r="P1900" s="1">
        <v>88</v>
      </c>
      <c r="Q1900" s="1">
        <v>915</v>
      </c>
      <c r="R1900" s="1" t="str">
        <f t="shared" si="149"/>
        <v>2</v>
      </c>
      <c r="S1900" s="1">
        <v>169</v>
      </c>
      <c r="T1900" s="1" t="str">
        <f t="shared" si="147"/>
        <v>4</v>
      </c>
      <c r="U1900" s="1">
        <v>-33.840846999999997</v>
      </c>
      <c r="V1900" s="3">
        <v>150.96957</v>
      </c>
    </row>
    <row r="1901" spans="1:22" x14ac:dyDescent="0.35">
      <c r="A1901" s="22" t="s">
        <v>5371</v>
      </c>
      <c r="B1901" s="1" t="s">
        <v>5372</v>
      </c>
      <c r="C1901" s="1" t="s">
        <v>4931</v>
      </c>
      <c r="D1901" s="1" t="s">
        <v>642</v>
      </c>
      <c r="E1901" s="1" t="s">
        <v>170</v>
      </c>
      <c r="F1901" s="1" t="s">
        <v>47</v>
      </c>
      <c r="G1901" s="1">
        <f t="shared" si="145"/>
        <v>1</v>
      </c>
      <c r="H1901" s="1" t="s">
        <v>48</v>
      </c>
      <c r="I1901" s="1" t="s">
        <v>4583</v>
      </c>
      <c r="J1901" s="23" t="s">
        <v>50</v>
      </c>
      <c r="K1901" s="2" t="s">
        <v>51</v>
      </c>
      <c r="L1901" s="1">
        <v>1238.5999999999999</v>
      </c>
      <c r="M1901" s="1">
        <v>2</v>
      </c>
      <c r="N1901" s="1" t="str">
        <f t="shared" si="148"/>
        <v>Published</v>
      </c>
      <c r="O1901" s="1">
        <f t="shared" si="146"/>
        <v>24.771999999999998</v>
      </c>
      <c r="P1901" s="1">
        <v>59</v>
      </c>
      <c r="Q1901" s="1">
        <v>1069</v>
      </c>
      <c r="R1901" s="1" t="str">
        <f t="shared" si="149"/>
        <v>3</v>
      </c>
      <c r="S1901" s="1">
        <v>56</v>
      </c>
      <c r="T1901" s="1" t="str">
        <f t="shared" si="147"/>
        <v>5</v>
      </c>
      <c r="U1901" s="1">
        <v>-33.788091999999999</v>
      </c>
      <c r="V1901" s="3">
        <v>150.999661</v>
      </c>
    </row>
    <row r="1902" spans="1:22" x14ac:dyDescent="0.35">
      <c r="A1902" s="22" t="s">
        <v>5373</v>
      </c>
      <c r="B1902" s="1" t="s">
        <v>5374</v>
      </c>
      <c r="C1902" s="1" t="s">
        <v>1966</v>
      </c>
      <c r="D1902" s="1" t="s">
        <v>737</v>
      </c>
      <c r="E1902" s="1" t="s">
        <v>738</v>
      </c>
      <c r="F1902" s="1" t="s">
        <v>47</v>
      </c>
      <c r="G1902" s="1">
        <f t="shared" si="145"/>
        <v>1</v>
      </c>
      <c r="H1902" s="1" t="s">
        <v>182</v>
      </c>
      <c r="I1902" s="1" t="s">
        <v>4583</v>
      </c>
      <c r="J1902" s="23" t="s">
        <v>50</v>
      </c>
      <c r="K1902" s="2" t="s">
        <v>51</v>
      </c>
      <c r="L1902" s="1">
        <v>950</v>
      </c>
      <c r="M1902" s="1">
        <v>3</v>
      </c>
      <c r="N1902" s="1" t="str">
        <f t="shared" si="148"/>
        <v>Published</v>
      </c>
      <c r="O1902" s="1">
        <f t="shared" si="146"/>
        <v>28.5</v>
      </c>
      <c r="P1902" s="1">
        <v>36</v>
      </c>
      <c r="Q1902" s="1">
        <v>1050</v>
      </c>
      <c r="R1902" s="1" t="str">
        <f t="shared" si="149"/>
        <v>3</v>
      </c>
      <c r="S1902" s="1">
        <v>62</v>
      </c>
      <c r="T1902" s="1" t="str">
        <f t="shared" si="147"/>
        <v>4</v>
      </c>
      <c r="U1902" s="1">
        <v>-34.032395000000001</v>
      </c>
      <c r="V1902" s="3">
        <v>151.09725700000001</v>
      </c>
    </row>
    <row r="1903" spans="1:22" x14ac:dyDescent="0.35">
      <c r="A1903" s="22" t="s">
        <v>5375</v>
      </c>
      <c r="B1903" s="1" t="s">
        <v>5376</v>
      </c>
      <c r="C1903" s="1" t="s">
        <v>1897</v>
      </c>
      <c r="D1903" s="1" t="s">
        <v>837</v>
      </c>
      <c r="E1903" s="1" t="s">
        <v>838</v>
      </c>
      <c r="F1903" s="1" t="s">
        <v>47</v>
      </c>
      <c r="G1903" s="1">
        <f t="shared" si="145"/>
        <v>1</v>
      </c>
      <c r="H1903" s="1" t="s">
        <v>148</v>
      </c>
      <c r="I1903" s="1" t="s">
        <v>4583</v>
      </c>
      <c r="J1903" s="23" t="s">
        <v>50</v>
      </c>
      <c r="K1903" s="2" t="s">
        <v>51</v>
      </c>
      <c r="L1903" s="1">
        <v>480</v>
      </c>
      <c r="M1903" s="1">
        <v>8</v>
      </c>
      <c r="N1903" s="1" t="str">
        <f t="shared" si="148"/>
        <v>Published</v>
      </c>
      <c r="O1903" s="1">
        <f t="shared" si="146"/>
        <v>38.4</v>
      </c>
      <c r="P1903" s="1">
        <v>20</v>
      </c>
      <c r="Q1903" s="1">
        <v>969</v>
      </c>
      <c r="R1903" s="1" t="str">
        <f t="shared" si="149"/>
        <v>2</v>
      </c>
      <c r="S1903" s="1">
        <v>123</v>
      </c>
      <c r="T1903" s="1" t="str">
        <f t="shared" si="147"/>
        <v>3</v>
      </c>
      <c r="U1903" s="1">
        <v>-33.762704999999997</v>
      </c>
      <c r="V1903" s="3">
        <v>150.94487000000001</v>
      </c>
    </row>
    <row r="1904" spans="1:22" x14ac:dyDescent="0.35">
      <c r="A1904" s="22" t="s">
        <v>5377</v>
      </c>
      <c r="B1904" s="1" t="s">
        <v>5378</v>
      </c>
      <c r="C1904" s="1" t="s">
        <v>5379</v>
      </c>
      <c r="D1904" s="1" t="s">
        <v>146</v>
      </c>
      <c r="E1904" s="1" t="s">
        <v>147</v>
      </c>
      <c r="F1904" s="1" t="s">
        <v>47</v>
      </c>
      <c r="G1904" s="1">
        <f t="shared" si="145"/>
        <v>1</v>
      </c>
      <c r="H1904" s="1" t="s">
        <v>148</v>
      </c>
      <c r="I1904" s="1" t="s">
        <v>4583</v>
      </c>
      <c r="J1904" s="23" t="s">
        <v>5177</v>
      </c>
      <c r="K1904" s="2" t="s">
        <v>51</v>
      </c>
      <c r="L1904" s="1">
        <v>2145.8000000000002</v>
      </c>
      <c r="M1904" s="1"/>
      <c r="N1904" s="1" t="str">
        <f t="shared" si="148"/>
        <v>Suppressed</v>
      </c>
      <c r="O1904" s="1" t="str">
        <f t="shared" si="146"/>
        <v/>
      </c>
      <c r="P1904" s="1">
        <v>81</v>
      </c>
      <c r="Q1904" s="1">
        <v>1137</v>
      </c>
      <c r="R1904" s="1" t="str">
        <f t="shared" si="149"/>
        <v>4</v>
      </c>
      <c r="S1904" s="1">
        <v>14</v>
      </c>
      <c r="T1904" s="1" t="str">
        <f t="shared" si="147"/>
        <v>5</v>
      </c>
      <c r="U1904" s="1">
        <v>-33.800013</v>
      </c>
      <c r="V1904" s="3">
        <v>151.17532399999999</v>
      </c>
    </row>
    <row r="1905" spans="1:22" x14ac:dyDescent="0.35">
      <c r="A1905" s="22" t="s">
        <v>5380</v>
      </c>
      <c r="B1905" s="1" t="s">
        <v>5381</v>
      </c>
      <c r="C1905" s="1" t="s">
        <v>3144</v>
      </c>
      <c r="D1905" s="1" t="s">
        <v>191</v>
      </c>
      <c r="E1905" s="1" t="s">
        <v>75</v>
      </c>
      <c r="F1905" s="1" t="s">
        <v>47</v>
      </c>
      <c r="G1905" s="1">
        <f t="shared" si="145"/>
        <v>1</v>
      </c>
      <c r="H1905" s="1" t="s">
        <v>63</v>
      </c>
      <c r="I1905" s="1" t="s">
        <v>4583</v>
      </c>
      <c r="J1905" s="23" t="s">
        <v>50</v>
      </c>
      <c r="K1905" s="2" t="s">
        <v>51</v>
      </c>
      <c r="L1905" s="1">
        <v>922.4</v>
      </c>
      <c r="M1905" s="1">
        <v>24</v>
      </c>
      <c r="N1905" s="1" t="str">
        <f t="shared" si="148"/>
        <v>Published</v>
      </c>
      <c r="O1905" s="1">
        <f t="shared" si="146"/>
        <v>221.37599999999998</v>
      </c>
      <c r="P1905" s="1">
        <v>6</v>
      </c>
      <c r="Q1905" s="1">
        <v>955</v>
      </c>
      <c r="R1905" s="1" t="str">
        <f t="shared" si="149"/>
        <v>2</v>
      </c>
      <c r="S1905" s="1">
        <v>111</v>
      </c>
      <c r="T1905" s="1" t="str">
        <f t="shared" si="147"/>
        <v>4</v>
      </c>
      <c r="U1905" s="1">
        <v>-32.985494000000003</v>
      </c>
      <c r="V1905" s="3">
        <v>151.69114200000001</v>
      </c>
    </row>
    <row r="1906" spans="1:22" x14ac:dyDescent="0.35">
      <c r="A1906" s="22" t="s">
        <v>5382</v>
      </c>
      <c r="B1906" s="1" t="s">
        <v>5383</v>
      </c>
      <c r="C1906" s="1" t="s">
        <v>3977</v>
      </c>
      <c r="D1906" s="1" t="s">
        <v>642</v>
      </c>
      <c r="E1906" s="1" t="s">
        <v>170</v>
      </c>
      <c r="F1906" s="1" t="s">
        <v>47</v>
      </c>
      <c r="G1906" s="1">
        <f t="shared" si="145"/>
        <v>1</v>
      </c>
      <c r="H1906" s="1" t="s">
        <v>148</v>
      </c>
      <c r="I1906" s="1" t="s">
        <v>4583</v>
      </c>
      <c r="J1906" s="23" t="s">
        <v>5167</v>
      </c>
      <c r="K1906" s="2" t="s">
        <v>51</v>
      </c>
      <c r="L1906" s="1">
        <v>856.9</v>
      </c>
      <c r="M1906" s="1">
        <v>0</v>
      </c>
      <c r="N1906" s="1" t="str">
        <f t="shared" si="148"/>
        <v>Published</v>
      </c>
      <c r="O1906" s="1">
        <f t="shared" si="146"/>
        <v>0</v>
      </c>
      <c r="P1906" s="1">
        <v>97</v>
      </c>
      <c r="Q1906" s="1">
        <v>1222</v>
      </c>
      <c r="R1906" s="1" t="str">
        <f t="shared" si="149"/>
        <v>4</v>
      </c>
      <c r="S1906" s="1">
        <v>0</v>
      </c>
      <c r="T1906" s="1" t="str">
        <f t="shared" si="147"/>
        <v>4</v>
      </c>
      <c r="U1906" s="1">
        <v>-33.780624000000003</v>
      </c>
      <c r="V1906" s="3">
        <v>151.043204</v>
      </c>
    </row>
    <row r="1907" spans="1:22" x14ac:dyDescent="0.35">
      <c r="A1907" s="22" t="s">
        <v>5384</v>
      </c>
      <c r="B1907" s="1" t="s">
        <v>5385</v>
      </c>
      <c r="C1907" s="1" t="s">
        <v>445</v>
      </c>
      <c r="D1907" s="1" t="s">
        <v>386</v>
      </c>
      <c r="E1907" s="1" t="s">
        <v>229</v>
      </c>
      <c r="F1907" s="1" t="s">
        <v>47</v>
      </c>
      <c r="G1907" s="1">
        <f t="shared" si="145"/>
        <v>1</v>
      </c>
      <c r="H1907" s="1" t="s">
        <v>48</v>
      </c>
      <c r="I1907" s="1" t="s">
        <v>4583</v>
      </c>
      <c r="J1907" s="23" t="s">
        <v>50</v>
      </c>
      <c r="K1907" s="2" t="s">
        <v>51</v>
      </c>
      <c r="L1907" s="1">
        <v>1013</v>
      </c>
      <c r="M1907" s="1">
        <v>1</v>
      </c>
      <c r="N1907" s="1" t="str">
        <f t="shared" si="148"/>
        <v>Published</v>
      </c>
      <c r="O1907" s="1">
        <f t="shared" si="146"/>
        <v>10.130000000000001</v>
      </c>
      <c r="P1907" s="1">
        <v>81</v>
      </c>
      <c r="Q1907" s="1">
        <v>1043</v>
      </c>
      <c r="R1907" s="1" t="str">
        <f t="shared" si="149"/>
        <v>3</v>
      </c>
      <c r="S1907" s="1">
        <v>74</v>
      </c>
      <c r="T1907" s="1" t="str">
        <f t="shared" si="147"/>
        <v>5</v>
      </c>
      <c r="U1907" s="1">
        <v>-33.980406000000002</v>
      </c>
      <c r="V1907" s="3">
        <v>151.11323999999999</v>
      </c>
    </row>
    <row r="1908" spans="1:22" x14ac:dyDescent="0.35">
      <c r="A1908" s="22" t="s">
        <v>5386</v>
      </c>
      <c r="B1908" s="1" t="s">
        <v>5387</v>
      </c>
      <c r="C1908" s="1" t="s">
        <v>736</v>
      </c>
      <c r="D1908" s="1" t="s">
        <v>737</v>
      </c>
      <c r="E1908" s="1" t="s">
        <v>738</v>
      </c>
      <c r="F1908" s="1" t="s">
        <v>47</v>
      </c>
      <c r="G1908" s="1">
        <f t="shared" si="145"/>
        <v>1</v>
      </c>
      <c r="H1908" s="1" t="s">
        <v>182</v>
      </c>
      <c r="I1908" s="1" t="s">
        <v>4583</v>
      </c>
      <c r="J1908" s="23" t="s">
        <v>5167</v>
      </c>
      <c r="K1908" s="2" t="s">
        <v>51</v>
      </c>
      <c r="L1908" s="1">
        <v>900.4</v>
      </c>
      <c r="M1908" s="1"/>
      <c r="N1908" s="1" t="str">
        <f t="shared" si="148"/>
        <v>Suppressed</v>
      </c>
      <c r="O1908" s="1" t="str">
        <f t="shared" si="146"/>
        <v/>
      </c>
      <c r="P1908" s="1">
        <v>64</v>
      </c>
      <c r="Q1908" s="1">
        <v>1172</v>
      </c>
      <c r="R1908" s="1" t="str">
        <f t="shared" si="149"/>
        <v>4</v>
      </c>
      <c r="S1908" s="1">
        <v>11</v>
      </c>
      <c r="T1908" s="1" t="str">
        <f t="shared" si="147"/>
        <v>4</v>
      </c>
      <c r="U1908" s="1">
        <v>-34.034900999999998</v>
      </c>
      <c r="V1908" s="3">
        <v>151.12039899999999</v>
      </c>
    </row>
    <row r="1909" spans="1:22" x14ac:dyDescent="0.35">
      <c r="A1909" s="22" t="s">
        <v>5388</v>
      </c>
      <c r="B1909" s="1" t="s">
        <v>5389</v>
      </c>
      <c r="C1909" s="1" t="s">
        <v>1280</v>
      </c>
      <c r="D1909" s="1" t="s">
        <v>533</v>
      </c>
      <c r="E1909" s="1" t="s">
        <v>306</v>
      </c>
      <c r="F1909" s="1" t="s">
        <v>47</v>
      </c>
      <c r="G1909" s="1">
        <f t="shared" si="145"/>
        <v>1</v>
      </c>
      <c r="H1909" s="1" t="s">
        <v>148</v>
      </c>
      <c r="I1909" s="1" t="s">
        <v>4583</v>
      </c>
      <c r="J1909" s="23" t="s">
        <v>50</v>
      </c>
      <c r="K1909" s="2" t="s">
        <v>5184</v>
      </c>
      <c r="L1909" s="1">
        <v>660.1</v>
      </c>
      <c r="M1909" s="1">
        <v>1</v>
      </c>
      <c r="N1909" s="1" t="str">
        <f t="shared" si="148"/>
        <v>Published</v>
      </c>
      <c r="O1909" s="1">
        <f t="shared" si="146"/>
        <v>6.601</v>
      </c>
      <c r="P1909" s="1">
        <v>49</v>
      </c>
      <c r="Q1909" s="1">
        <v>1114</v>
      </c>
      <c r="R1909" s="1" t="str">
        <f t="shared" si="149"/>
        <v>4</v>
      </c>
      <c r="S1909" s="1">
        <v>34</v>
      </c>
      <c r="T1909" s="1" t="str">
        <f t="shared" si="147"/>
        <v>4</v>
      </c>
      <c r="U1909" s="1">
        <v>-33.840079000000003</v>
      </c>
      <c r="V1909" s="3">
        <v>151.14146700000001</v>
      </c>
    </row>
    <row r="1910" spans="1:22" x14ac:dyDescent="0.35">
      <c r="A1910" s="22" t="s">
        <v>5390</v>
      </c>
      <c r="B1910" s="1" t="s">
        <v>5391</v>
      </c>
      <c r="C1910" s="1" t="s">
        <v>837</v>
      </c>
      <c r="D1910" s="1" t="s">
        <v>837</v>
      </c>
      <c r="E1910" s="1" t="s">
        <v>838</v>
      </c>
      <c r="F1910" s="1" t="s">
        <v>47</v>
      </c>
      <c r="G1910" s="1">
        <f t="shared" si="145"/>
        <v>1</v>
      </c>
      <c r="H1910" s="1" t="s">
        <v>182</v>
      </c>
      <c r="I1910" s="1" t="s">
        <v>4583</v>
      </c>
      <c r="J1910" s="23" t="s">
        <v>5177</v>
      </c>
      <c r="K1910" s="2" t="s">
        <v>4755</v>
      </c>
      <c r="L1910" s="1">
        <v>898</v>
      </c>
      <c r="M1910" s="1">
        <v>2</v>
      </c>
      <c r="N1910" s="1" t="str">
        <f t="shared" si="148"/>
        <v>Published</v>
      </c>
      <c r="O1910" s="1">
        <f t="shared" si="146"/>
        <v>17.96</v>
      </c>
      <c r="P1910" s="1">
        <v>88</v>
      </c>
      <c r="Q1910" s="1">
        <v>1053</v>
      </c>
      <c r="R1910" s="1" t="str">
        <f t="shared" si="149"/>
        <v>3</v>
      </c>
      <c r="S1910" s="1">
        <v>62</v>
      </c>
      <c r="T1910" s="1" t="str">
        <f t="shared" si="147"/>
        <v>4</v>
      </c>
      <c r="U1910" s="1">
        <v>-33.762056999999999</v>
      </c>
      <c r="V1910" s="3">
        <v>150.912543</v>
      </c>
    </row>
    <row r="1911" spans="1:22" x14ac:dyDescent="0.35">
      <c r="A1911" s="22" t="s">
        <v>5392</v>
      </c>
      <c r="B1911" s="1" t="s">
        <v>5393</v>
      </c>
      <c r="C1911" s="1" t="s">
        <v>162</v>
      </c>
      <c r="D1911" s="1" t="s">
        <v>126</v>
      </c>
      <c r="E1911" s="1" t="s">
        <v>147</v>
      </c>
      <c r="F1911" s="1" t="s">
        <v>47</v>
      </c>
      <c r="G1911" s="1">
        <f t="shared" si="145"/>
        <v>1</v>
      </c>
      <c r="H1911" s="1" t="s">
        <v>148</v>
      </c>
      <c r="I1911" s="1" t="s">
        <v>4583</v>
      </c>
      <c r="J1911" s="23" t="s">
        <v>50</v>
      </c>
      <c r="K1911" s="2" t="s">
        <v>51</v>
      </c>
      <c r="L1911" s="1">
        <v>541.79999999999995</v>
      </c>
      <c r="M1911" s="1">
        <v>4</v>
      </c>
      <c r="N1911" s="1" t="str">
        <f t="shared" si="148"/>
        <v>Published</v>
      </c>
      <c r="O1911" s="1">
        <f t="shared" si="146"/>
        <v>21.671999999999997</v>
      </c>
      <c r="P1911" s="1">
        <v>25</v>
      </c>
      <c r="Q1911" s="1">
        <v>1045</v>
      </c>
      <c r="R1911" s="1" t="str">
        <f t="shared" si="149"/>
        <v>3</v>
      </c>
      <c r="S1911" s="1">
        <v>63</v>
      </c>
      <c r="T1911" s="1" t="str">
        <f t="shared" si="147"/>
        <v>3</v>
      </c>
      <c r="U1911" s="1">
        <v>-33.692276</v>
      </c>
      <c r="V1911" s="3">
        <v>151.103016</v>
      </c>
    </row>
    <row r="1912" spans="1:22" x14ac:dyDescent="0.35">
      <c r="A1912" s="22" t="s">
        <v>5394</v>
      </c>
      <c r="B1912" s="1" t="s">
        <v>5395</v>
      </c>
      <c r="C1912" s="1" t="s">
        <v>1461</v>
      </c>
      <c r="D1912" s="1" t="s">
        <v>737</v>
      </c>
      <c r="E1912" s="1" t="s">
        <v>738</v>
      </c>
      <c r="F1912" s="1" t="s">
        <v>47</v>
      </c>
      <c r="G1912" s="1">
        <f t="shared" si="145"/>
        <v>1</v>
      </c>
      <c r="H1912" s="1" t="s">
        <v>182</v>
      </c>
      <c r="I1912" s="1" t="s">
        <v>4583</v>
      </c>
      <c r="J1912" s="23" t="s">
        <v>50</v>
      </c>
      <c r="K1912" s="2" t="s">
        <v>51</v>
      </c>
      <c r="L1912" s="1">
        <v>632.6</v>
      </c>
      <c r="M1912" s="1">
        <v>3</v>
      </c>
      <c r="N1912" s="1" t="str">
        <f t="shared" si="148"/>
        <v>Published</v>
      </c>
      <c r="O1912" s="1">
        <f t="shared" si="146"/>
        <v>18.978000000000002</v>
      </c>
      <c r="P1912" s="1">
        <v>7</v>
      </c>
      <c r="Q1912" s="1">
        <v>1028</v>
      </c>
      <c r="R1912" s="1" t="str">
        <f t="shared" si="149"/>
        <v>3</v>
      </c>
      <c r="S1912" s="1">
        <v>88</v>
      </c>
      <c r="T1912" s="1" t="str">
        <f t="shared" si="147"/>
        <v>4</v>
      </c>
      <c r="U1912" s="1">
        <v>-34.082295000000002</v>
      </c>
      <c r="V1912" s="3">
        <v>151.01441</v>
      </c>
    </row>
    <row r="1913" spans="1:22" x14ac:dyDescent="0.35">
      <c r="A1913" s="22" t="s">
        <v>5396</v>
      </c>
      <c r="B1913" s="1" t="s">
        <v>5397</v>
      </c>
      <c r="C1913" s="1" t="s">
        <v>1659</v>
      </c>
      <c r="D1913" s="1" t="s">
        <v>386</v>
      </c>
      <c r="E1913" s="1" t="s">
        <v>229</v>
      </c>
      <c r="F1913" s="1" t="s">
        <v>47</v>
      </c>
      <c r="G1913" s="1">
        <f t="shared" si="145"/>
        <v>1</v>
      </c>
      <c r="H1913" s="1" t="s">
        <v>48</v>
      </c>
      <c r="I1913" s="1" t="s">
        <v>4583</v>
      </c>
      <c r="J1913" s="23" t="s">
        <v>50</v>
      </c>
      <c r="K1913" s="2" t="s">
        <v>51</v>
      </c>
      <c r="L1913" s="1">
        <v>672</v>
      </c>
      <c r="M1913" s="1">
        <v>1</v>
      </c>
      <c r="N1913" s="1" t="str">
        <f t="shared" si="148"/>
        <v>Published</v>
      </c>
      <c r="O1913" s="1">
        <f t="shared" si="146"/>
        <v>6.72</v>
      </c>
      <c r="P1913" s="1">
        <v>85</v>
      </c>
      <c r="Q1913" s="1">
        <v>986</v>
      </c>
      <c r="R1913" s="1" t="str">
        <f t="shared" si="149"/>
        <v>2</v>
      </c>
      <c r="S1913" s="1">
        <v>117</v>
      </c>
      <c r="T1913" s="1" t="str">
        <f t="shared" si="147"/>
        <v>4</v>
      </c>
      <c r="U1913" s="1">
        <v>-33.948518999999997</v>
      </c>
      <c r="V1913" s="3">
        <v>151.101653</v>
      </c>
    </row>
    <row r="1914" spans="1:22" x14ac:dyDescent="0.35">
      <c r="A1914" s="22" t="s">
        <v>5398</v>
      </c>
      <c r="B1914" s="1" t="s">
        <v>5399</v>
      </c>
      <c r="C1914" s="1" t="s">
        <v>5400</v>
      </c>
      <c r="D1914" s="1" t="s">
        <v>876</v>
      </c>
      <c r="E1914" s="1" t="s">
        <v>330</v>
      </c>
      <c r="F1914" s="1" t="s">
        <v>47</v>
      </c>
      <c r="G1914" s="1">
        <f t="shared" si="145"/>
        <v>1</v>
      </c>
      <c r="H1914" s="1" t="s">
        <v>48</v>
      </c>
      <c r="I1914" s="1" t="s">
        <v>4583</v>
      </c>
      <c r="J1914" s="23" t="s">
        <v>50</v>
      </c>
      <c r="K1914" s="2" t="s">
        <v>51</v>
      </c>
      <c r="L1914" s="1">
        <v>486.2</v>
      </c>
      <c r="M1914" s="1">
        <v>28</v>
      </c>
      <c r="N1914" s="1" t="str">
        <f t="shared" si="148"/>
        <v>Published</v>
      </c>
      <c r="O1914" s="1">
        <f t="shared" si="146"/>
        <v>136.136</v>
      </c>
      <c r="P1914" s="1">
        <v>36</v>
      </c>
      <c r="Q1914" s="1">
        <v>930</v>
      </c>
      <c r="R1914" s="1" t="str">
        <f t="shared" si="149"/>
        <v>2</v>
      </c>
      <c r="S1914" s="1">
        <v>114</v>
      </c>
      <c r="T1914" s="1" t="str">
        <f t="shared" si="147"/>
        <v>3</v>
      </c>
      <c r="U1914" s="1">
        <v>-33.964747000000003</v>
      </c>
      <c r="V1914" s="3">
        <v>151.24454800000001</v>
      </c>
    </row>
    <row r="1915" spans="1:22" x14ac:dyDescent="0.35">
      <c r="A1915" s="22" t="s">
        <v>5401</v>
      </c>
      <c r="B1915" s="1" t="s">
        <v>5402</v>
      </c>
      <c r="C1915" s="1" t="s">
        <v>2413</v>
      </c>
      <c r="D1915" s="1" t="s">
        <v>152</v>
      </c>
      <c r="E1915" s="1" t="s">
        <v>229</v>
      </c>
      <c r="F1915" s="1" t="s">
        <v>47</v>
      </c>
      <c r="G1915" s="1">
        <f t="shared" si="145"/>
        <v>1</v>
      </c>
      <c r="H1915" s="1" t="s">
        <v>182</v>
      </c>
      <c r="I1915" s="1" t="s">
        <v>4583</v>
      </c>
      <c r="J1915" s="23" t="s">
        <v>50</v>
      </c>
      <c r="K1915" s="2" t="s">
        <v>51</v>
      </c>
      <c r="L1915" s="1">
        <v>945</v>
      </c>
      <c r="M1915" s="1">
        <v>2</v>
      </c>
      <c r="N1915" s="1" t="str">
        <f t="shared" si="148"/>
        <v>Published</v>
      </c>
      <c r="O1915" s="1">
        <f t="shared" si="146"/>
        <v>18.900000000000002</v>
      </c>
      <c r="P1915" s="1">
        <v>84</v>
      </c>
      <c r="Q1915" s="1">
        <v>949</v>
      </c>
      <c r="R1915" s="1" t="str">
        <f t="shared" si="149"/>
        <v>2</v>
      </c>
      <c r="S1915" s="1">
        <v>140</v>
      </c>
      <c r="T1915" s="1" t="str">
        <f t="shared" si="147"/>
        <v>4</v>
      </c>
      <c r="U1915" s="1">
        <v>-33.939698</v>
      </c>
      <c r="V1915" s="3">
        <v>151.02090699999999</v>
      </c>
    </row>
    <row r="1916" spans="1:22" x14ac:dyDescent="0.35">
      <c r="A1916" s="22" t="s">
        <v>5403</v>
      </c>
      <c r="B1916" s="1" t="s">
        <v>5404</v>
      </c>
      <c r="C1916" s="1" t="s">
        <v>1134</v>
      </c>
      <c r="D1916" s="1" t="s">
        <v>1502</v>
      </c>
      <c r="E1916" s="1" t="s">
        <v>46</v>
      </c>
      <c r="F1916" s="1" t="s">
        <v>47</v>
      </c>
      <c r="G1916" s="1">
        <f t="shared" si="145"/>
        <v>1</v>
      </c>
      <c r="H1916" s="1" t="s">
        <v>48</v>
      </c>
      <c r="I1916" s="1" t="s">
        <v>4583</v>
      </c>
      <c r="J1916" s="23" t="s">
        <v>50</v>
      </c>
      <c r="K1916" s="2" t="s">
        <v>51</v>
      </c>
      <c r="L1916" s="1">
        <v>549</v>
      </c>
      <c r="M1916" s="1">
        <v>3</v>
      </c>
      <c r="N1916" s="1" t="str">
        <f t="shared" si="148"/>
        <v>Published</v>
      </c>
      <c r="O1916" s="1">
        <f t="shared" si="146"/>
        <v>16.47</v>
      </c>
      <c r="P1916" s="1">
        <v>86</v>
      </c>
      <c r="Q1916" s="1">
        <v>961</v>
      </c>
      <c r="R1916" s="1" t="str">
        <f t="shared" si="149"/>
        <v>2</v>
      </c>
      <c r="S1916" s="1">
        <v>138</v>
      </c>
      <c r="T1916" s="1" t="str">
        <f t="shared" si="147"/>
        <v>3</v>
      </c>
      <c r="U1916" s="1">
        <v>-33.885382</v>
      </c>
      <c r="V1916" s="3">
        <v>151.071235</v>
      </c>
    </row>
    <row r="1917" spans="1:22" x14ac:dyDescent="0.35">
      <c r="A1917" s="22" t="s">
        <v>5405</v>
      </c>
      <c r="B1917" s="1" t="s">
        <v>5406</v>
      </c>
      <c r="C1917" s="1" t="s">
        <v>168</v>
      </c>
      <c r="D1917" s="1" t="s">
        <v>169</v>
      </c>
      <c r="E1917" s="1" t="s">
        <v>170</v>
      </c>
      <c r="F1917" s="1" t="s">
        <v>47</v>
      </c>
      <c r="G1917" s="1">
        <f t="shared" si="145"/>
        <v>1</v>
      </c>
      <c r="H1917" s="1" t="s">
        <v>48</v>
      </c>
      <c r="I1917" s="1" t="s">
        <v>4583</v>
      </c>
      <c r="J1917" s="23" t="s">
        <v>5177</v>
      </c>
      <c r="K1917" s="2" t="s">
        <v>5184</v>
      </c>
      <c r="L1917" s="1">
        <v>853.3</v>
      </c>
      <c r="M1917" s="1"/>
      <c r="N1917" s="1" t="str">
        <f t="shared" si="148"/>
        <v>Suppressed</v>
      </c>
      <c r="O1917" s="1" t="str">
        <f t="shared" si="146"/>
        <v/>
      </c>
      <c r="P1917" s="1">
        <v>97</v>
      </c>
      <c r="Q1917" s="1">
        <v>966</v>
      </c>
      <c r="R1917" s="1" t="str">
        <f t="shared" si="149"/>
        <v>2</v>
      </c>
      <c r="S1917" s="1">
        <v>135</v>
      </c>
      <c r="T1917" s="1" t="str">
        <f t="shared" si="147"/>
        <v>4</v>
      </c>
      <c r="U1917" s="1">
        <v>-33.842880000000001</v>
      </c>
      <c r="V1917" s="3">
        <v>151.033681</v>
      </c>
    </row>
    <row r="1918" spans="1:22" x14ac:dyDescent="0.35">
      <c r="A1918" s="22" t="s">
        <v>5407</v>
      </c>
      <c r="B1918" s="1" t="s">
        <v>5408</v>
      </c>
      <c r="C1918" s="1" t="s">
        <v>232</v>
      </c>
      <c r="D1918" s="1" t="s">
        <v>152</v>
      </c>
      <c r="E1918" s="1" t="s">
        <v>229</v>
      </c>
      <c r="F1918" s="1" t="s">
        <v>47</v>
      </c>
      <c r="G1918" s="1">
        <f t="shared" si="145"/>
        <v>1</v>
      </c>
      <c r="H1918" s="1" t="s">
        <v>182</v>
      </c>
      <c r="I1918" s="1" t="s">
        <v>4583</v>
      </c>
      <c r="J1918" s="23" t="s">
        <v>50</v>
      </c>
      <c r="K1918" s="2" t="s">
        <v>5184</v>
      </c>
      <c r="L1918" s="1">
        <v>551</v>
      </c>
      <c r="M1918" s="1"/>
      <c r="N1918" s="1" t="str">
        <f t="shared" si="148"/>
        <v>Suppressed</v>
      </c>
      <c r="O1918" s="1" t="str">
        <f t="shared" si="146"/>
        <v/>
      </c>
      <c r="P1918" s="1">
        <v>94</v>
      </c>
      <c r="Q1918" s="1">
        <v>964</v>
      </c>
      <c r="R1918" s="1" t="str">
        <f t="shared" si="149"/>
        <v>2</v>
      </c>
      <c r="S1918" s="1">
        <v>141</v>
      </c>
      <c r="T1918" s="1" t="str">
        <f t="shared" si="147"/>
        <v>3</v>
      </c>
      <c r="U1918" s="1">
        <v>-33.920754000000002</v>
      </c>
      <c r="V1918" s="3">
        <v>151.032138</v>
      </c>
    </row>
    <row r="1919" spans="1:22" x14ac:dyDescent="0.35">
      <c r="A1919" s="22" t="s">
        <v>5409</v>
      </c>
      <c r="B1919" s="1" t="s">
        <v>5410</v>
      </c>
      <c r="C1919" s="1" t="s">
        <v>385</v>
      </c>
      <c r="D1919" s="1" t="s">
        <v>386</v>
      </c>
      <c r="E1919" s="1" t="s">
        <v>229</v>
      </c>
      <c r="F1919" s="1" t="s">
        <v>47</v>
      </c>
      <c r="G1919" s="1">
        <f t="shared" si="145"/>
        <v>1</v>
      </c>
      <c r="H1919" s="1" t="s">
        <v>48</v>
      </c>
      <c r="I1919" s="1" t="s">
        <v>4583</v>
      </c>
      <c r="J1919" s="23" t="s">
        <v>50</v>
      </c>
      <c r="K1919" s="2" t="s">
        <v>5184</v>
      </c>
      <c r="L1919" s="1">
        <v>1003</v>
      </c>
      <c r="M1919" s="1"/>
      <c r="N1919" s="1" t="str">
        <f t="shared" si="148"/>
        <v>Suppressed</v>
      </c>
      <c r="O1919" s="1" t="str">
        <f t="shared" si="146"/>
        <v/>
      </c>
      <c r="P1919" s="1">
        <v>95</v>
      </c>
      <c r="Q1919" s="1">
        <v>1003</v>
      </c>
      <c r="R1919" s="1" t="str">
        <f t="shared" si="149"/>
        <v>3</v>
      </c>
      <c r="S1919" s="1">
        <v>109</v>
      </c>
      <c r="T1919" s="1" t="str">
        <f t="shared" si="147"/>
        <v>5</v>
      </c>
      <c r="U1919" s="1">
        <v>-33.948461000000002</v>
      </c>
      <c r="V1919" s="3">
        <v>151.07862700000001</v>
      </c>
    </row>
    <row r="1920" spans="1:22" x14ac:dyDescent="0.35">
      <c r="A1920" s="22" t="s">
        <v>5411</v>
      </c>
      <c r="B1920" s="1" t="s">
        <v>5412</v>
      </c>
      <c r="C1920" s="1" t="s">
        <v>333</v>
      </c>
      <c r="D1920" s="1" t="s">
        <v>333</v>
      </c>
      <c r="E1920" s="1" t="s">
        <v>281</v>
      </c>
      <c r="F1920" s="1" t="s">
        <v>57</v>
      </c>
      <c r="G1920" s="1">
        <f t="shared" si="145"/>
        <v>2</v>
      </c>
      <c r="H1920" s="1" t="s">
        <v>58</v>
      </c>
      <c r="I1920" s="1" t="s">
        <v>4583</v>
      </c>
      <c r="J1920" s="23" t="s">
        <v>50</v>
      </c>
      <c r="K1920" s="2" t="s">
        <v>51</v>
      </c>
      <c r="L1920" s="1">
        <v>582.4</v>
      </c>
      <c r="M1920" s="1">
        <v>11</v>
      </c>
      <c r="N1920" s="1" t="str">
        <f t="shared" si="148"/>
        <v>Published</v>
      </c>
      <c r="O1920" s="1">
        <f t="shared" si="146"/>
        <v>64.063999999999993</v>
      </c>
      <c r="P1920" s="1">
        <v>8</v>
      </c>
      <c r="Q1920" s="1">
        <v>1006</v>
      </c>
      <c r="R1920" s="1" t="str">
        <f t="shared" si="149"/>
        <v>3</v>
      </c>
      <c r="S1920" s="1">
        <v>81</v>
      </c>
      <c r="T1920" s="1" t="str">
        <f t="shared" si="147"/>
        <v>3</v>
      </c>
      <c r="U1920" s="1">
        <v>-30.455123</v>
      </c>
      <c r="V1920" s="3">
        <v>152.90844200000001</v>
      </c>
    </row>
    <row r="1921" spans="1:22" x14ac:dyDescent="0.35">
      <c r="A1921" s="22" t="s">
        <v>5413</v>
      </c>
      <c r="B1921" s="1" t="s">
        <v>5414</v>
      </c>
      <c r="C1921" s="1" t="s">
        <v>3204</v>
      </c>
      <c r="D1921" s="1" t="s">
        <v>74</v>
      </c>
      <c r="E1921" s="1" t="s">
        <v>75</v>
      </c>
      <c r="F1921" s="1" t="s">
        <v>47</v>
      </c>
      <c r="G1921" s="1">
        <f t="shared" si="145"/>
        <v>1</v>
      </c>
      <c r="H1921" s="1" t="s">
        <v>63</v>
      </c>
      <c r="I1921" s="1" t="s">
        <v>4583</v>
      </c>
      <c r="J1921" s="23" t="s">
        <v>50</v>
      </c>
      <c r="K1921" s="2" t="s">
        <v>51</v>
      </c>
      <c r="L1921" s="1">
        <v>890</v>
      </c>
      <c r="M1921" s="1">
        <v>15</v>
      </c>
      <c r="N1921" s="1" t="str">
        <f t="shared" si="148"/>
        <v>Published</v>
      </c>
      <c r="O1921" s="1">
        <f t="shared" si="146"/>
        <v>133.5</v>
      </c>
      <c r="P1921" s="1">
        <v>19</v>
      </c>
      <c r="Q1921" s="1">
        <v>952</v>
      </c>
      <c r="R1921" s="1" t="str">
        <f t="shared" si="149"/>
        <v>2</v>
      </c>
      <c r="S1921" s="1">
        <v>124</v>
      </c>
      <c r="T1921" s="1" t="str">
        <f t="shared" si="147"/>
        <v>4</v>
      </c>
      <c r="U1921" s="1">
        <v>-32.892949999999999</v>
      </c>
      <c r="V1921" s="3">
        <v>151.66928899999999</v>
      </c>
    </row>
    <row r="1922" spans="1:22" x14ac:dyDescent="0.35">
      <c r="A1922" s="22" t="s">
        <v>5415</v>
      </c>
      <c r="B1922" s="1" t="s">
        <v>5416</v>
      </c>
      <c r="C1922" s="1" t="s">
        <v>5417</v>
      </c>
      <c r="D1922" s="1" t="s">
        <v>537</v>
      </c>
      <c r="E1922" s="1" t="s">
        <v>181</v>
      </c>
      <c r="F1922" s="1" t="s">
        <v>47</v>
      </c>
      <c r="G1922" s="1">
        <f t="shared" ref="G1922:G1985" si="150">IF(F1922="Major Cities of Australia",1,IF(F1922="Inner Regional Australia",2,IF(F1922="Outer Regional Australia",3,IF(F1922="Remote Australia",4,IF(F1922="Very Remote Australia",5,6)))))</f>
        <v>1</v>
      </c>
      <c r="H1922" s="1" t="s">
        <v>182</v>
      </c>
      <c r="I1922" s="1" t="s">
        <v>4583</v>
      </c>
      <c r="J1922" s="23" t="s">
        <v>5177</v>
      </c>
      <c r="K1922" s="2" t="s">
        <v>51</v>
      </c>
      <c r="L1922" s="1">
        <v>1641.2</v>
      </c>
      <c r="M1922" s="1">
        <v>3</v>
      </c>
      <c r="N1922" s="1" t="str">
        <f t="shared" si="148"/>
        <v>Published</v>
      </c>
      <c r="O1922" s="1">
        <f t="shared" ref="O1922:O1985" si="151">IF(OR(M1922="",L1922=""),"",M1922/100*L1922)</f>
        <v>49.235999999999997</v>
      </c>
      <c r="P1922" s="1">
        <v>91</v>
      </c>
      <c r="Q1922" s="1">
        <v>962</v>
      </c>
      <c r="R1922" s="1" t="str">
        <f t="shared" si="149"/>
        <v>2</v>
      </c>
      <c r="S1922" s="1">
        <v>141</v>
      </c>
      <c r="T1922" s="1" t="str">
        <f t="shared" ref="T1922:T1985" si="152">IF(L1922="","No enrolment",IF(L1922&lt;100,"1",IF(L1922&lt;300,"2",IF(L1922&lt;600,"3",IF(L1922&lt;1000,"4","5")))))</f>
        <v>5</v>
      </c>
      <c r="U1922" s="1">
        <v>-33.894981999999999</v>
      </c>
      <c r="V1922" s="3">
        <v>150.89316700000001</v>
      </c>
    </row>
    <row r="1923" spans="1:22" x14ac:dyDescent="0.35">
      <c r="A1923" s="22" t="s">
        <v>5418</v>
      </c>
      <c r="B1923" s="1" t="s">
        <v>5419</v>
      </c>
      <c r="C1923" s="1" t="s">
        <v>953</v>
      </c>
      <c r="D1923" s="1" t="s">
        <v>737</v>
      </c>
      <c r="E1923" s="1" t="s">
        <v>738</v>
      </c>
      <c r="F1923" s="1" t="s">
        <v>47</v>
      </c>
      <c r="G1923" s="1">
        <f t="shared" si="150"/>
        <v>1</v>
      </c>
      <c r="H1923" s="1" t="s">
        <v>182</v>
      </c>
      <c r="I1923" s="1" t="s">
        <v>4583</v>
      </c>
      <c r="J1923" s="23" t="s">
        <v>50</v>
      </c>
      <c r="K1923" s="2" t="s">
        <v>51</v>
      </c>
      <c r="L1923" s="1">
        <v>1205</v>
      </c>
      <c r="M1923" s="1">
        <v>3</v>
      </c>
      <c r="N1923" s="1" t="str">
        <f t="shared" ref="N1923:N1986" si="153">IF(M1923="","Suppressed","Published")</f>
        <v>Published</v>
      </c>
      <c r="O1923" s="1">
        <f t="shared" si="151"/>
        <v>36.15</v>
      </c>
      <c r="P1923" s="1">
        <v>16</v>
      </c>
      <c r="Q1923" s="1">
        <v>1050</v>
      </c>
      <c r="R1923" s="1" t="str">
        <f t="shared" ref="R1923:R1986" si="154">IF(Q1923="","No ICSEA",IF(Q1923&lt;900,"1",IF(Q1923&lt;1000,"2",IF(Q1923&lt;1100,"3","4"))))</f>
        <v>3</v>
      </c>
      <c r="S1923" s="1">
        <v>68</v>
      </c>
      <c r="T1923" s="1" t="str">
        <f t="shared" si="152"/>
        <v>5</v>
      </c>
      <c r="U1923" s="1">
        <v>-34.038438999999997</v>
      </c>
      <c r="V1923" s="3">
        <v>151.15905599999999</v>
      </c>
    </row>
    <row r="1924" spans="1:22" x14ac:dyDescent="0.35">
      <c r="A1924" s="22" t="s">
        <v>5420</v>
      </c>
      <c r="B1924" s="1" t="s">
        <v>5421</v>
      </c>
      <c r="C1924" s="1" t="s">
        <v>1544</v>
      </c>
      <c r="D1924" s="1" t="s">
        <v>689</v>
      </c>
      <c r="E1924" s="1" t="s">
        <v>122</v>
      </c>
      <c r="F1924" s="1" t="s">
        <v>47</v>
      </c>
      <c r="G1924" s="1">
        <f t="shared" si="150"/>
        <v>1</v>
      </c>
      <c r="H1924" s="1" t="s">
        <v>182</v>
      </c>
      <c r="I1924" s="1" t="s">
        <v>4583</v>
      </c>
      <c r="J1924" s="23" t="s">
        <v>50</v>
      </c>
      <c r="K1924" s="2" t="s">
        <v>51</v>
      </c>
      <c r="L1924" s="1">
        <v>781.8</v>
      </c>
      <c r="M1924" s="1">
        <v>11</v>
      </c>
      <c r="N1924" s="1" t="str">
        <f t="shared" si="153"/>
        <v>Published</v>
      </c>
      <c r="O1924" s="1">
        <f t="shared" si="151"/>
        <v>85.99799999999999</v>
      </c>
      <c r="P1924" s="1">
        <v>55</v>
      </c>
      <c r="Q1924" s="1">
        <v>957</v>
      </c>
      <c r="R1924" s="1" t="str">
        <f t="shared" si="154"/>
        <v>2</v>
      </c>
      <c r="S1924" s="1">
        <v>121</v>
      </c>
      <c r="T1924" s="1" t="str">
        <f t="shared" si="152"/>
        <v>4</v>
      </c>
      <c r="U1924" s="1">
        <v>-34.005121000000003</v>
      </c>
      <c r="V1924" s="3">
        <v>150.87152</v>
      </c>
    </row>
    <row r="1925" spans="1:22" x14ac:dyDescent="0.35">
      <c r="A1925" s="22" t="s">
        <v>5422</v>
      </c>
      <c r="B1925" s="1" t="s">
        <v>5423</v>
      </c>
      <c r="C1925" s="1" t="s">
        <v>1873</v>
      </c>
      <c r="D1925" s="1" t="s">
        <v>224</v>
      </c>
      <c r="E1925" s="1" t="s">
        <v>225</v>
      </c>
      <c r="F1925" s="1" t="s">
        <v>47</v>
      </c>
      <c r="G1925" s="1">
        <f t="shared" si="150"/>
        <v>1</v>
      </c>
      <c r="H1925" s="1" t="s">
        <v>48</v>
      </c>
      <c r="I1925" s="1" t="s">
        <v>4583</v>
      </c>
      <c r="J1925" s="23" t="s">
        <v>50</v>
      </c>
      <c r="K1925" s="2" t="s">
        <v>51</v>
      </c>
      <c r="L1925" s="1">
        <v>298</v>
      </c>
      <c r="M1925" s="1">
        <v>7</v>
      </c>
      <c r="N1925" s="1" t="str">
        <f t="shared" si="153"/>
        <v>Published</v>
      </c>
      <c r="O1925" s="1">
        <f t="shared" si="151"/>
        <v>20.860000000000003</v>
      </c>
      <c r="P1925" s="1">
        <v>66</v>
      </c>
      <c r="Q1925" s="1">
        <v>987</v>
      </c>
      <c r="R1925" s="1" t="str">
        <f t="shared" si="154"/>
        <v>2</v>
      </c>
      <c r="S1925" s="1">
        <v>109</v>
      </c>
      <c r="T1925" s="1" t="str">
        <f t="shared" si="152"/>
        <v>2</v>
      </c>
      <c r="U1925" s="1">
        <v>-33.927435000000003</v>
      </c>
      <c r="V1925" s="3">
        <v>151.20183499999999</v>
      </c>
    </row>
    <row r="1926" spans="1:22" x14ac:dyDescent="0.35">
      <c r="A1926" s="22" t="s">
        <v>5424</v>
      </c>
      <c r="B1926" s="1" t="s">
        <v>5425</v>
      </c>
      <c r="C1926" s="1" t="s">
        <v>5426</v>
      </c>
      <c r="D1926" s="1" t="s">
        <v>152</v>
      </c>
      <c r="E1926" s="1" t="s">
        <v>170</v>
      </c>
      <c r="F1926" s="1" t="s">
        <v>47</v>
      </c>
      <c r="G1926" s="1">
        <f t="shared" si="150"/>
        <v>1</v>
      </c>
      <c r="H1926" s="1" t="s">
        <v>48</v>
      </c>
      <c r="I1926" s="1" t="s">
        <v>4583</v>
      </c>
      <c r="J1926" s="23" t="s">
        <v>5177</v>
      </c>
      <c r="K1926" s="2" t="s">
        <v>51</v>
      </c>
      <c r="L1926" s="1">
        <v>1121</v>
      </c>
      <c r="M1926" s="1"/>
      <c r="N1926" s="1" t="str">
        <f t="shared" si="153"/>
        <v>Suppressed</v>
      </c>
      <c r="O1926" s="1" t="str">
        <f t="shared" si="151"/>
        <v/>
      </c>
      <c r="P1926" s="1">
        <v>94</v>
      </c>
      <c r="Q1926" s="1">
        <v>1033</v>
      </c>
      <c r="R1926" s="1" t="str">
        <f t="shared" si="154"/>
        <v>3</v>
      </c>
      <c r="S1926" s="1">
        <v>91</v>
      </c>
      <c r="T1926" s="1" t="str">
        <f t="shared" si="152"/>
        <v>5</v>
      </c>
      <c r="U1926" s="1">
        <v>-33.879537999999997</v>
      </c>
      <c r="V1926" s="3">
        <v>151.00879900000001</v>
      </c>
    </row>
    <row r="1927" spans="1:22" x14ac:dyDescent="0.35">
      <c r="A1927" s="22" t="s">
        <v>5427</v>
      </c>
      <c r="B1927" s="1" t="s">
        <v>5428</v>
      </c>
      <c r="C1927" s="1" t="s">
        <v>4130</v>
      </c>
      <c r="D1927" s="1" t="s">
        <v>95</v>
      </c>
      <c r="E1927" s="1" t="s">
        <v>96</v>
      </c>
      <c r="F1927" s="1" t="s">
        <v>57</v>
      </c>
      <c r="G1927" s="1">
        <f t="shared" si="150"/>
        <v>2</v>
      </c>
      <c r="H1927" s="1" t="s">
        <v>70</v>
      </c>
      <c r="I1927" s="1" t="s">
        <v>4583</v>
      </c>
      <c r="J1927" s="23" t="s">
        <v>50</v>
      </c>
      <c r="K1927" s="2" t="s">
        <v>51</v>
      </c>
      <c r="L1927" s="1">
        <v>660</v>
      </c>
      <c r="M1927" s="1">
        <v>23</v>
      </c>
      <c r="N1927" s="1" t="str">
        <f t="shared" si="153"/>
        <v>Published</v>
      </c>
      <c r="O1927" s="1">
        <f t="shared" si="151"/>
        <v>151.80000000000001</v>
      </c>
      <c r="P1927" s="1">
        <v>12</v>
      </c>
      <c r="Q1927" s="1">
        <v>905</v>
      </c>
      <c r="R1927" s="1" t="str">
        <f t="shared" si="154"/>
        <v>2</v>
      </c>
      <c r="S1927" s="1">
        <v>141</v>
      </c>
      <c r="T1927" s="1" t="str">
        <f t="shared" si="152"/>
        <v>4</v>
      </c>
      <c r="U1927" s="1">
        <v>-36.060243999999997</v>
      </c>
      <c r="V1927" s="3">
        <v>146.92897099999999</v>
      </c>
    </row>
    <row r="1928" spans="1:22" x14ac:dyDescent="0.35">
      <c r="A1928" s="22" t="s">
        <v>5429</v>
      </c>
      <c r="B1928" s="1" t="s">
        <v>5430</v>
      </c>
      <c r="C1928" s="1" t="s">
        <v>5431</v>
      </c>
      <c r="D1928" s="1" t="s">
        <v>837</v>
      </c>
      <c r="E1928" s="1" t="s">
        <v>838</v>
      </c>
      <c r="F1928" s="1" t="s">
        <v>47</v>
      </c>
      <c r="G1928" s="1">
        <f t="shared" si="150"/>
        <v>1</v>
      </c>
      <c r="H1928" s="1" t="s">
        <v>148</v>
      </c>
      <c r="I1928" s="1" t="s">
        <v>4583</v>
      </c>
      <c r="J1928" s="23" t="s">
        <v>50</v>
      </c>
      <c r="K1928" s="2" t="s">
        <v>51</v>
      </c>
      <c r="L1928" s="1">
        <v>1506.2</v>
      </c>
      <c r="M1928" s="1">
        <v>1</v>
      </c>
      <c r="N1928" s="1" t="str">
        <f t="shared" si="153"/>
        <v>Published</v>
      </c>
      <c r="O1928" s="1">
        <f t="shared" si="151"/>
        <v>15.062000000000001</v>
      </c>
      <c r="P1928" s="1">
        <v>70</v>
      </c>
      <c r="Q1928" s="1">
        <v>1090</v>
      </c>
      <c r="R1928" s="1" t="str">
        <f t="shared" si="154"/>
        <v>3</v>
      </c>
      <c r="S1928" s="1">
        <v>35</v>
      </c>
      <c r="T1928" s="1" t="str">
        <f t="shared" si="152"/>
        <v>5</v>
      </c>
      <c r="U1928" s="1">
        <v>-33.733029000000002</v>
      </c>
      <c r="V1928" s="3">
        <v>150.93742900000001</v>
      </c>
    </row>
    <row r="1929" spans="1:22" x14ac:dyDescent="0.35">
      <c r="A1929" s="22" t="s">
        <v>5432</v>
      </c>
      <c r="B1929" s="1" t="s">
        <v>5433</v>
      </c>
      <c r="C1929" s="1" t="s">
        <v>3406</v>
      </c>
      <c r="D1929" s="1" t="s">
        <v>152</v>
      </c>
      <c r="E1929" s="1" t="s">
        <v>170</v>
      </c>
      <c r="F1929" s="1" t="s">
        <v>47</v>
      </c>
      <c r="G1929" s="1">
        <f t="shared" si="150"/>
        <v>1</v>
      </c>
      <c r="H1929" s="1" t="s">
        <v>48</v>
      </c>
      <c r="I1929" s="1" t="s">
        <v>4583</v>
      </c>
      <c r="J1929" s="23" t="s">
        <v>50</v>
      </c>
      <c r="K1929" s="2" t="s">
        <v>51</v>
      </c>
      <c r="L1929" s="1">
        <v>1056</v>
      </c>
      <c r="M1929" s="1"/>
      <c r="N1929" s="1" t="str">
        <f t="shared" si="153"/>
        <v>Suppressed</v>
      </c>
      <c r="O1929" s="1" t="str">
        <f t="shared" si="151"/>
        <v/>
      </c>
      <c r="P1929" s="1">
        <v>93</v>
      </c>
      <c r="Q1929" s="1">
        <v>912</v>
      </c>
      <c r="R1929" s="1" t="str">
        <f t="shared" si="154"/>
        <v>2</v>
      </c>
      <c r="S1929" s="1">
        <v>169</v>
      </c>
      <c r="T1929" s="1" t="str">
        <f t="shared" si="152"/>
        <v>5</v>
      </c>
      <c r="U1929" s="1">
        <v>-33.874032</v>
      </c>
      <c r="V1929" s="3">
        <v>150.99541099999999</v>
      </c>
    </row>
    <row r="1930" spans="1:22" x14ac:dyDescent="0.35">
      <c r="A1930" s="22" t="s">
        <v>5434</v>
      </c>
      <c r="B1930" s="1" t="s">
        <v>5435</v>
      </c>
      <c r="C1930" s="1" t="s">
        <v>2901</v>
      </c>
      <c r="D1930" s="1" t="s">
        <v>318</v>
      </c>
      <c r="E1930" s="1" t="s">
        <v>91</v>
      </c>
      <c r="F1930" s="1" t="s">
        <v>69</v>
      </c>
      <c r="G1930" s="1">
        <f t="shared" si="150"/>
        <v>3</v>
      </c>
      <c r="H1930" s="1" t="s">
        <v>92</v>
      </c>
      <c r="I1930" s="1" t="s">
        <v>4583</v>
      </c>
      <c r="J1930" s="23" t="s">
        <v>50</v>
      </c>
      <c r="K1930" s="2" t="s">
        <v>51</v>
      </c>
      <c r="L1930" s="1">
        <v>181</v>
      </c>
      <c r="M1930" s="1">
        <v>42</v>
      </c>
      <c r="N1930" s="1" t="str">
        <f t="shared" si="153"/>
        <v>Published</v>
      </c>
      <c r="O1930" s="1">
        <f t="shared" si="151"/>
        <v>76.02</v>
      </c>
      <c r="P1930" s="1"/>
      <c r="Q1930" s="1">
        <v>853</v>
      </c>
      <c r="R1930" s="1" t="str">
        <f t="shared" si="154"/>
        <v>1</v>
      </c>
      <c r="S1930" s="1">
        <v>152</v>
      </c>
      <c r="T1930" s="1" t="str">
        <f t="shared" si="152"/>
        <v>2</v>
      </c>
      <c r="U1930" s="1">
        <v>-30.22268</v>
      </c>
      <c r="V1930" s="3">
        <v>149.442286</v>
      </c>
    </row>
    <row r="1931" spans="1:22" x14ac:dyDescent="0.35">
      <c r="A1931" s="22" t="s">
        <v>5436</v>
      </c>
      <c r="B1931" s="1" t="s">
        <v>5437</v>
      </c>
      <c r="C1931" s="1" t="s">
        <v>5438</v>
      </c>
      <c r="D1931" s="1" t="s">
        <v>737</v>
      </c>
      <c r="E1931" s="1" t="s">
        <v>738</v>
      </c>
      <c r="F1931" s="1" t="s">
        <v>47</v>
      </c>
      <c r="G1931" s="1">
        <f t="shared" si="150"/>
        <v>1</v>
      </c>
      <c r="H1931" s="1" t="s">
        <v>182</v>
      </c>
      <c r="I1931" s="1" t="s">
        <v>132</v>
      </c>
      <c r="J1931" s="23" t="s">
        <v>50</v>
      </c>
      <c r="K1931" s="2" t="s">
        <v>51</v>
      </c>
      <c r="L1931" s="1">
        <v>795.4</v>
      </c>
      <c r="M1931" s="1">
        <v>4</v>
      </c>
      <c r="N1931" s="1" t="str">
        <f t="shared" si="153"/>
        <v>Published</v>
      </c>
      <c r="O1931" s="1">
        <f t="shared" si="151"/>
        <v>31.815999999999999</v>
      </c>
      <c r="P1931" s="1">
        <v>16</v>
      </c>
      <c r="Q1931" s="1">
        <v>1038</v>
      </c>
      <c r="R1931" s="1" t="str">
        <f t="shared" si="154"/>
        <v>3</v>
      </c>
      <c r="S1931" s="1">
        <v>79</v>
      </c>
      <c r="T1931" s="1" t="str">
        <f t="shared" si="152"/>
        <v>4</v>
      </c>
      <c r="U1931" s="1">
        <v>-34.035778000000001</v>
      </c>
      <c r="V1931" s="3">
        <v>151.004817</v>
      </c>
    </row>
    <row r="1932" spans="1:22" x14ac:dyDescent="0.35">
      <c r="A1932" s="22" t="s">
        <v>5439</v>
      </c>
      <c r="B1932" s="1" t="s">
        <v>5440</v>
      </c>
      <c r="C1932" s="1" t="s">
        <v>465</v>
      </c>
      <c r="D1932" s="1" t="s">
        <v>465</v>
      </c>
      <c r="E1932" s="1" t="s">
        <v>281</v>
      </c>
      <c r="F1932" s="1" t="s">
        <v>57</v>
      </c>
      <c r="G1932" s="1">
        <f t="shared" si="150"/>
        <v>2</v>
      </c>
      <c r="H1932" s="1" t="s">
        <v>58</v>
      </c>
      <c r="I1932" s="1" t="s">
        <v>4583</v>
      </c>
      <c r="J1932" s="23" t="s">
        <v>50</v>
      </c>
      <c r="K1932" s="2" t="s">
        <v>51</v>
      </c>
      <c r="L1932" s="1">
        <v>450.3</v>
      </c>
      <c r="M1932" s="1">
        <v>6</v>
      </c>
      <c r="N1932" s="1" t="str">
        <f t="shared" si="153"/>
        <v>Published</v>
      </c>
      <c r="O1932" s="1">
        <f t="shared" si="151"/>
        <v>27.018000000000001</v>
      </c>
      <c r="P1932" s="1">
        <v>11</v>
      </c>
      <c r="Q1932" s="1">
        <v>1038</v>
      </c>
      <c r="R1932" s="1" t="str">
        <f t="shared" si="154"/>
        <v>3</v>
      </c>
      <c r="S1932" s="1">
        <v>68</v>
      </c>
      <c r="T1932" s="1" t="str">
        <f t="shared" si="152"/>
        <v>3</v>
      </c>
      <c r="U1932" s="1">
        <v>-30.330172999999998</v>
      </c>
      <c r="V1932" s="3">
        <v>153.102656</v>
      </c>
    </row>
    <row r="1933" spans="1:22" x14ac:dyDescent="0.35">
      <c r="A1933" s="22" t="s">
        <v>5441</v>
      </c>
      <c r="B1933" s="1" t="s">
        <v>5442</v>
      </c>
      <c r="C1933" s="1" t="s">
        <v>4519</v>
      </c>
      <c r="D1933" s="1" t="s">
        <v>180</v>
      </c>
      <c r="E1933" s="1" t="s">
        <v>181</v>
      </c>
      <c r="F1933" s="1" t="s">
        <v>47</v>
      </c>
      <c r="G1933" s="1">
        <f t="shared" si="150"/>
        <v>1</v>
      </c>
      <c r="H1933" s="1" t="s">
        <v>182</v>
      </c>
      <c r="I1933" s="1" t="s">
        <v>4583</v>
      </c>
      <c r="J1933" s="23" t="s">
        <v>50</v>
      </c>
      <c r="K1933" s="2" t="s">
        <v>51</v>
      </c>
      <c r="L1933" s="1">
        <v>1340.4</v>
      </c>
      <c r="M1933" s="1">
        <v>1</v>
      </c>
      <c r="N1933" s="1" t="str">
        <f t="shared" si="153"/>
        <v>Published</v>
      </c>
      <c r="O1933" s="1">
        <f t="shared" si="151"/>
        <v>13.404000000000002</v>
      </c>
      <c r="P1933" s="1">
        <v>84</v>
      </c>
      <c r="Q1933" s="1">
        <v>986</v>
      </c>
      <c r="R1933" s="1" t="str">
        <f t="shared" si="154"/>
        <v>2</v>
      </c>
      <c r="S1933" s="1">
        <v>114</v>
      </c>
      <c r="T1933" s="1" t="str">
        <f t="shared" si="152"/>
        <v>5</v>
      </c>
      <c r="U1933" s="1">
        <v>-33.895704000000002</v>
      </c>
      <c r="V1933" s="3">
        <v>150.85204300000001</v>
      </c>
    </row>
    <row r="1934" spans="1:22" x14ac:dyDescent="0.35">
      <c r="A1934" s="22" t="s">
        <v>5443</v>
      </c>
      <c r="B1934" s="1" t="s">
        <v>5444</v>
      </c>
      <c r="C1934" s="1" t="s">
        <v>5445</v>
      </c>
      <c r="D1934" s="1" t="s">
        <v>186</v>
      </c>
      <c r="E1934" s="1" t="s">
        <v>187</v>
      </c>
      <c r="F1934" s="1" t="s">
        <v>47</v>
      </c>
      <c r="G1934" s="1">
        <f t="shared" si="150"/>
        <v>1</v>
      </c>
      <c r="H1934" s="1" t="s">
        <v>63</v>
      </c>
      <c r="I1934" s="1" t="s">
        <v>4583</v>
      </c>
      <c r="J1934" s="23" t="s">
        <v>50</v>
      </c>
      <c r="K1934" s="2" t="s">
        <v>51</v>
      </c>
      <c r="L1934" s="1">
        <v>802</v>
      </c>
      <c r="M1934" s="1">
        <v>15</v>
      </c>
      <c r="N1934" s="1" t="str">
        <f t="shared" si="153"/>
        <v>Published</v>
      </c>
      <c r="O1934" s="1">
        <f t="shared" si="151"/>
        <v>120.3</v>
      </c>
      <c r="P1934" s="1">
        <v>7</v>
      </c>
      <c r="Q1934" s="1">
        <v>972</v>
      </c>
      <c r="R1934" s="1" t="str">
        <f t="shared" si="154"/>
        <v>2</v>
      </c>
      <c r="S1934" s="1">
        <v>103</v>
      </c>
      <c r="T1934" s="1" t="str">
        <f t="shared" si="152"/>
        <v>4</v>
      </c>
      <c r="U1934" s="1">
        <v>-33.395595999999998</v>
      </c>
      <c r="V1934" s="3">
        <v>151.45405400000001</v>
      </c>
    </row>
    <row r="1935" spans="1:22" x14ac:dyDescent="0.35">
      <c r="A1935" s="22" t="s">
        <v>5446</v>
      </c>
      <c r="B1935" s="1" t="s">
        <v>5447</v>
      </c>
      <c r="C1935" s="1" t="s">
        <v>4408</v>
      </c>
      <c r="D1935" s="1" t="s">
        <v>1131</v>
      </c>
      <c r="E1935" s="1" t="s">
        <v>429</v>
      </c>
      <c r="F1935" s="1" t="s">
        <v>47</v>
      </c>
      <c r="G1935" s="1">
        <f t="shared" si="150"/>
        <v>1</v>
      </c>
      <c r="H1935" s="1" t="s">
        <v>182</v>
      </c>
      <c r="I1935" s="1" t="s">
        <v>4583</v>
      </c>
      <c r="J1935" s="23" t="s">
        <v>50</v>
      </c>
      <c r="K1935" s="2" t="s">
        <v>51</v>
      </c>
      <c r="L1935" s="1">
        <v>956</v>
      </c>
      <c r="M1935" s="1">
        <v>8</v>
      </c>
      <c r="N1935" s="1" t="str">
        <f t="shared" si="153"/>
        <v>Published</v>
      </c>
      <c r="O1935" s="1">
        <f t="shared" si="151"/>
        <v>76.48</v>
      </c>
      <c r="P1935" s="1">
        <v>14</v>
      </c>
      <c r="Q1935" s="1">
        <v>976</v>
      </c>
      <c r="R1935" s="1" t="str">
        <f t="shared" si="154"/>
        <v>2</v>
      </c>
      <c r="S1935" s="1">
        <v>113</v>
      </c>
      <c r="T1935" s="1" t="str">
        <f t="shared" si="152"/>
        <v>4</v>
      </c>
      <c r="U1935" s="1">
        <v>-33.791012000000002</v>
      </c>
      <c r="V1935" s="3">
        <v>150.67256399999999</v>
      </c>
    </row>
    <row r="1936" spans="1:22" x14ac:dyDescent="0.35">
      <c r="A1936" s="22" t="s">
        <v>5448</v>
      </c>
      <c r="B1936" s="1" t="s">
        <v>5449</v>
      </c>
      <c r="C1936" s="1" t="s">
        <v>2362</v>
      </c>
      <c r="D1936" s="1" t="s">
        <v>837</v>
      </c>
      <c r="E1936" s="1" t="s">
        <v>838</v>
      </c>
      <c r="F1936" s="1" t="s">
        <v>47</v>
      </c>
      <c r="G1936" s="1">
        <f t="shared" si="150"/>
        <v>1</v>
      </c>
      <c r="H1936" s="1" t="s">
        <v>148</v>
      </c>
      <c r="I1936" s="1" t="s">
        <v>4583</v>
      </c>
      <c r="J1936" s="23" t="s">
        <v>50</v>
      </c>
      <c r="K1936" s="2" t="s">
        <v>51</v>
      </c>
      <c r="L1936" s="1">
        <v>375.5</v>
      </c>
      <c r="M1936" s="1">
        <v>5</v>
      </c>
      <c r="N1936" s="1" t="str">
        <f t="shared" si="153"/>
        <v>Published</v>
      </c>
      <c r="O1936" s="1">
        <f t="shared" si="151"/>
        <v>18.775000000000002</v>
      </c>
      <c r="P1936" s="1">
        <v>42</v>
      </c>
      <c r="Q1936" s="1">
        <v>1003</v>
      </c>
      <c r="R1936" s="1" t="str">
        <f t="shared" si="154"/>
        <v>3</v>
      </c>
      <c r="S1936" s="1">
        <v>101</v>
      </c>
      <c r="T1936" s="1" t="str">
        <f t="shared" si="152"/>
        <v>3</v>
      </c>
      <c r="U1936" s="1">
        <v>-33.726089219999999</v>
      </c>
      <c r="V1936" s="3">
        <v>150.87957460000001</v>
      </c>
    </row>
    <row r="1937" spans="1:22" x14ac:dyDescent="0.35">
      <c r="A1937" s="22" t="s">
        <v>5450</v>
      </c>
      <c r="B1937" s="1" t="s">
        <v>5451</v>
      </c>
      <c r="C1937" s="1" t="s">
        <v>5452</v>
      </c>
      <c r="D1937" s="1" t="s">
        <v>186</v>
      </c>
      <c r="E1937" s="1" t="s">
        <v>187</v>
      </c>
      <c r="F1937" s="1" t="s">
        <v>47</v>
      </c>
      <c r="G1937" s="1">
        <f t="shared" si="150"/>
        <v>1</v>
      </c>
      <c r="H1937" s="1" t="s">
        <v>63</v>
      </c>
      <c r="I1937" s="1" t="s">
        <v>132</v>
      </c>
      <c r="J1937" s="23" t="s">
        <v>50</v>
      </c>
      <c r="K1937" s="2" t="s">
        <v>51</v>
      </c>
      <c r="L1937" s="1">
        <v>1412.2</v>
      </c>
      <c r="M1937" s="1">
        <v>17</v>
      </c>
      <c r="N1937" s="1" t="str">
        <f t="shared" si="153"/>
        <v>Published</v>
      </c>
      <c r="O1937" s="1">
        <f t="shared" si="151"/>
        <v>240.07400000000001</v>
      </c>
      <c r="P1937" s="1">
        <v>9</v>
      </c>
      <c r="Q1937" s="1">
        <v>941</v>
      </c>
      <c r="R1937" s="1" t="str">
        <f t="shared" si="154"/>
        <v>2</v>
      </c>
      <c r="S1937" s="1">
        <v>124</v>
      </c>
      <c r="T1937" s="1" t="str">
        <f t="shared" si="152"/>
        <v>5</v>
      </c>
      <c r="U1937" s="1">
        <v>-33.264769000000001</v>
      </c>
      <c r="V1937" s="3">
        <v>151.467432</v>
      </c>
    </row>
    <row r="1938" spans="1:22" x14ac:dyDescent="0.35">
      <c r="A1938" s="22" t="s">
        <v>5453</v>
      </c>
      <c r="B1938" s="1" t="s">
        <v>5454</v>
      </c>
      <c r="C1938" s="1" t="s">
        <v>1725</v>
      </c>
      <c r="D1938" s="1" t="s">
        <v>186</v>
      </c>
      <c r="E1938" s="1" t="s">
        <v>187</v>
      </c>
      <c r="F1938" s="1" t="s">
        <v>47</v>
      </c>
      <c r="G1938" s="1">
        <f t="shared" si="150"/>
        <v>1</v>
      </c>
      <c r="H1938" s="1" t="s">
        <v>63</v>
      </c>
      <c r="I1938" s="1" t="s">
        <v>4583</v>
      </c>
      <c r="J1938" s="23" t="s">
        <v>50</v>
      </c>
      <c r="K1938" s="2" t="s">
        <v>51</v>
      </c>
      <c r="L1938" s="1">
        <v>610</v>
      </c>
      <c r="M1938" s="1">
        <v>19</v>
      </c>
      <c r="N1938" s="1" t="str">
        <f t="shared" si="153"/>
        <v>Published</v>
      </c>
      <c r="O1938" s="1">
        <f t="shared" si="151"/>
        <v>115.9</v>
      </c>
      <c r="P1938" s="1">
        <v>7</v>
      </c>
      <c r="Q1938" s="1">
        <v>925</v>
      </c>
      <c r="R1938" s="1" t="str">
        <f t="shared" si="154"/>
        <v>2</v>
      </c>
      <c r="S1938" s="1">
        <v>129</v>
      </c>
      <c r="T1938" s="1" t="str">
        <f t="shared" si="152"/>
        <v>4</v>
      </c>
      <c r="U1938" s="1">
        <v>-33.189743</v>
      </c>
      <c r="V1938" s="3">
        <v>151.573699</v>
      </c>
    </row>
    <row r="1939" spans="1:22" x14ac:dyDescent="0.35">
      <c r="A1939" s="22" t="s">
        <v>5455</v>
      </c>
      <c r="B1939" s="1" t="s">
        <v>5456</v>
      </c>
      <c r="C1939" s="1" t="s">
        <v>1751</v>
      </c>
      <c r="D1939" s="1" t="s">
        <v>302</v>
      </c>
      <c r="E1939" s="1" t="s">
        <v>276</v>
      </c>
      <c r="F1939" s="1" t="s">
        <v>57</v>
      </c>
      <c r="G1939" s="1">
        <f t="shared" si="150"/>
        <v>2</v>
      </c>
      <c r="H1939" s="1" t="s">
        <v>58</v>
      </c>
      <c r="I1939" s="1" t="s">
        <v>4583</v>
      </c>
      <c r="J1939" s="23" t="s">
        <v>50</v>
      </c>
      <c r="K1939" s="2" t="s">
        <v>51</v>
      </c>
      <c r="L1939" s="1">
        <v>890.4</v>
      </c>
      <c r="M1939" s="1">
        <v>16</v>
      </c>
      <c r="N1939" s="1" t="str">
        <f t="shared" si="153"/>
        <v>Published</v>
      </c>
      <c r="O1939" s="1">
        <f t="shared" si="151"/>
        <v>142.464</v>
      </c>
      <c r="P1939" s="1">
        <v>6</v>
      </c>
      <c r="Q1939" s="1">
        <v>962</v>
      </c>
      <c r="R1939" s="1" t="str">
        <f t="shared" si="154"/>
        <v>2</v>
      </c>
      <c r="S1939" s="1">
        <v>105</v>
      </c>
      <c r="T1939" s="1" t="str">
        <f t="shared" si="152"/>
        <v>4</v>
      </c>
      <c r="U1939" s="1">
        <v>-31.639393999999999</v>
      </c>
      <c r="V1939" s="3">
        <v>152.73607999999999</v>
      </c>
    </row>
    <row r="1940" spans="1:22" x14ac:dyDescent="0.35">
      <c r="A1940" s="22" t="s">
        <v>5457</v>
      </c>
      <c r="B1940" s="1" t="s">
        <v>5458</v>
      </c>
      <c r="C1940" s="1" t="s">
        <v>5459</v>
      </c>
      <c r="D1940" s="1" t="s">
        <v>275</v>
      </c>
      <c r="E1940" s="1" t="s">
        <v>276</v>
      </c>
      <c r="F1940" s="1" t="s">
        <v>57</v>
      </c>
      <c r="G1940" s="1">
        <f t="shared" si="150"/>
        <v>2</v>
      </c>
      <c r="H1940" s="1" t="s">
        <v>58</v>
      </c>
      <c r="I1940" s="1" t="s">
        <v>4583</v>
      </c>
      <c r="J1940" s="23" t="s">
        <v>50</v>
      </c>
      <c r="K1940" s="2" t="s">
        <v>51</v>
      </c>
      <c r="L1940" s="1">
        <v>347.5</v>
      </c>
      <c r="M1940" s="1">
        <v>15</v>
      </c>
      <c r="N1940" s="1" t="str">
        <f t="shared" si="153"/>
        <v>Published</v>
      </c>
      <c r="O1940" s="1">
        <f t="shared" si="151"/>
        <v>52.125</v>
      </c>
      <c r="P1940" s="1">
        <v>6</v>
      </c>
      <c r="Q1940" s="1">
        <v>988</v>
      </c>
      <c r="R1940" s="1" t="str">
        <f t="shared" si="154"/>
        <v>2</v>
      </c>
      <c r="S1940" s="1">
        <v>94</v>
      </c>
      <c r="T1940" s="1" t="str">
        <f t="shared" si="152"/>
        <v>3</v>
      </c>
      <c r="U1940" s="1">
        <v>-32.16071754</v>
      </c>
      <c r="V1940" s="3">
        <v>152.49379049999999</v>
      </c>
    </row>
    <row r="1941" spans="1:22" x14ac:dyDescent="0.35">
      <c r="A1941" s="22" t="s">
        <v>5460</v>
      </c>
      <c r="B1941" s="1" t="s">
        <v>5461</v>
      </c>
      <c r="C1941" s="1" t="s">
        <v>235</v>
      </c>
      <c r="D1941" s="1" t="s">
        <v>236</v>
      </c>
      <c r="E1941" s="1" t="s">
        <v>107</v>
      </c>
      <c r="F1941" s="1" t="s">
        <v>47</v>
      </c>
      <c r="G1941" s="1">
        <f t="shared" si="150"/>
        <v>1</v>
      </c>
      <c r="H1941" s="1" t="s">
        <v>92</v>
      </c>
      <c r="I1941" s="1" t="s">
        <v>4583</v>
      </c>
      <c r="J1941" s="23" t="s">
        <v>50</v>
      </c>
      <c r="K1941" s="2" t="s">
        <v>51</v>
      </c>
      <c r="L1941" s="1">
        <v>501.8</v>
      </c>
      <c r="M1941" s="1">
        <v>11</v>
      </c>
      <c r="N1941" s="1" t="str">
        <f t="shared" si="153"/>
        <v>Published</v>
      </c>
      <c r="O1941" s="1">
        <f t="shared" si="151"/>
        <v>55.198</v>
      </c>
      <c r="P1941" s="1">
        <v>9</v>
      </c>
      <c r="Q1941" s="1">
        <v>965</v>
      </c>
      <c r="R1941" s="1" t="str">
        <f t="shared" si="154"/>
        <v>2</v>
      </c>
      <c r="S1941" s="1">
        <v>121</v>
      </c>
      <c r="T1941" s="1" t="str">
        <f t="shared" si="152"/>
        <v>3</v>
      </c>
      <c r="U1941" s="1">
        <v>-28.215457000000001</v>
      </c>
      <c r="V1941" s="3">
        <v>153.52532400000001</v>
      </c>
    </row>
    <row r="1942" spans="1:22" x14ac:dyDescent="0.35">
      <c r="A1942" s="22" t="s">
        <v>5462</v>
      </c>
      <c r="B1942" s="1" t="s">
        <v>5463</v>
      </c>
      <c r="C1942" s="1" t="s">
        <v>3166</v>
      </c>
      <c r="D1942" s="1" t="s">
        <v>386</v>
      </c>
      <c r="E1942" s="1" t="s">
        <v>229</v>
      </c>
      <c r="F1942" s="1" t="s">
        <v>47</v>
      </c>
      <c r="G1942" s="1">
        <f t="shared" si="150"/>
        <v>1</v>
      </c>
      <c r="H1942" s="1" t="s">
        <v>48</v>
      </c>
      <c r="I1942" s="1" t="s">
        <v>4583</v>
      </c>
      <c r="J1942" s="23" t="s">
        <v>50</v>
      </c>
      <c r="K1942" s="2" t="s">
        <v>51</v>
      </c>
      <c r="L1942" s="1">
        <v>739.6</v>
      </c>
      <c r="M1942" s="1">
        <v>1</v>
      </c>
      <c r="N1942" s="1" t="str">
        <f t="shared" si="153"/>
        <v>Published</v>
      </c>
      <c r="O1942" s="1">
        <f t="shared" si="151"/>
        <v>7.3960000000000008</v>
      </c>
      <c r="P1942" s="1">
        <v>71</v>
      </c>
      <c r="Q1942" s="1">
        <v>1022</v>
      </c>
      <c r="R1942" s="1" t="str">
        <f t="shared" si="154"/>
        <v>3</v>
      </c>
      <c r="S1942" s="1">
        <v>92</v>
      </c>
      <c r="T1942" s="1" t="str">
        <f t="shared" si="152"/>
        <v>4</v>
      </c>
      <c r="U1942" s="1">
        <v>-33.977001000000001</v>
      </c>
      <c r="V1942" s="3">
        <v>151.081391</v>
      </c>
    </row>
    <row r="1943" spans="1:22" x14ac:dyDescent="0.35">
      <c r="A1943" s="22" t="s">
        <v>5464</v>
      </c>
      <c r="B1943" s="1" t="s">
        <v>5465</v>
      </c>
      <c r="C1943" s="1" t="s">
        <v>4420</v>
      </c>
      <c r="D1943" s="1" t="s">
        <v>678</v>
      </c>
      <c r="E1943" s="1" t="s">
        <v>122</v>
      </c>
      <c r="F1943" s="1" t="s">
        <v>47</v>
      </c>
      <c r="G1943" s="1">
        <f t="shared" si="150"/>
        <v>1</v>
      </c>
      <c r="H1943" s="1" t="s">
        <v>86</v>
      </c>
      <c r="I1943" s="1" t="s">
        <v>4583</v>
      </c>
      <c r="J1943" s="23" t="s">
        <v>50</v>
      </c>
      <c r="K1943" s="2" t="s">
        <v>51</v>
      </c>
      <c r="L1943" s="1">
        <v>876</v>
      </c>
      <c r="M1943" s="1">
        <v>8</v>
      </c>
      <c r="N1943" s="1" t="str">
        <f t="shared" si="153"/>
        <v>Published</v>
      </c>
      <c r="O1943" s="1">
        <f t="shared" si="151"/>
        <v>70.08</v>
      </c>
      <c r="P1943" s="1">
        <v>32</v>
      </c>
      <c r="Q1943" s="1">
        <v>980</v>
      </c>
      <c r="R1943" s="1" t="str">
        <f t="shared" si="154"/>
        <v>2</v>
      </c>
      <c r="S1943" s="1">
        <v>109</v>
      </c>
      <c r="T1943" s="1" t="str">
        <f t="shared" si="152"/>
        <v>4</v>
      </c>
      <c r="U1943" s="1">
        <v>-34.057371000000003</v>
      </c>
      <c r="V1943" s="3">
        <v>150.760739</v>
      </c>
    </row>
    <row r="1944" spans="1:22" x14ac:dyDescent="0.35">
      <c r="A1944" s="22" t="s">
        <v>5466</v>
      </c>
      <c r="B1944" s="1" t="s">
        <v>5467</v>
      </c>
      <c r="C1944" s="1" t="s">
        <v>5468</v>
      </c>
      <c r="D1944" s="1" t="s">
        <v>1003</v>
      </c>
      <c r="E1944" s="1" t="s">
        <v>225</v>
      </c>
      <c r="F1944" s="1" t="s">
        <v>47</v>
      </c>
      <c r="G1944" s="1">
        <f t="shared" si="150"/>
        <v>1</v>
      </c>
      <c r="H1944" s="1" t="s">
        <v>48</v>
      </c>
      <c r="I1944" s="1" t="s">
        <v>4583</v>
      </c>
      <c r="J1944" s="23" t="s">
        <v>50</v>
      </c>
      <c r="K1944" s="2" t="s">
        <v>51</v>
      </c>
      <c r="L1944" s="1">
        <v>142</v>
      </c>
      <c r="M1944" s="1">
        <v>0</v>
      </c>
      <c r="N1944" s="1" t="str">
        <f t="shared" si="153"/>
        <v>Published</v>
      </c>
      <c r="O1944" s="1">
        <f t="shared" si="151"/>
        <v>0</v>
      </c>
      <c r="P1944" s="1">
        <v>100</v>
      </c>
      <c r="Q1944" s="1">
        <v>1037</v>
      </c>
      <c r="R1944" s="1" t="str">
        <f t="shared" si="154"/>
        <v>3</v>
      </c>
      <c r="S1944" s="1">
        <v>75</v>
      </c>
      <c r="T1944" s="1" t="str">
        <f t="shared" si="152"/>
        <v>2</v>
      </c>
      <c r="U1944" s="1">
        <v>-33.900033000000001</v>
      </c>
      <c r="V1944" s="3">
        <v>151.19308000000001</v>
      </c>
    </row>
    <row r="1945" spans="1:22" x14ac:dyDescent="0.35">
      <c r="A1945" s="22" t="s">
        <v>5469</v>
      </c>
      <c r="B1945" s="1" t="s">
        <v>5470</v>
      </c>
      <c r="C1945" s="1" t="s">
        <v>5459</v>
      </c>
      <c r="D1945" s="1" t="s">
        <v>275</v>
      </c>
      <c r="E1945" s="1" t="s">
        <v>276</v>
      </c>
      <c r="F1945" s="1" t="s">
        <v>57</v>
      </c>
      <c r="G1945" s="1">
        <f t="shared" si="150"/>
        <v>2</v>
      </c>
      <c r="H1945" s="1" t="s">
        <v>58</v>
      </c>
      <c r="I1945" s="1" t="s">
        <v>4583</v>
      </c>
      <c r="J1945" s="23" t="s">
        <v>50</v>
      </c>
      <c r="K1945" s="2" t="s">
        <v>51</v>
      </c>
      <c r="L1945" s="1">
        <v>466</v>
      </c>
      <c r="M1945" s="1">
        <v>19</v>
      </c>
      <c r="N1945" s="1" t="str">
        <f t="shared" si="153"/>
        <v>Published</v>
      </c>
      <c r="O1945" s="1">
        <f t="shared" si="151"/>
        <v>88.54</v>
      </c>
      <c r="P1945" s="1">
        <v>5</v>
      </c>
      <c r="Q1945" s="1">
        <v>949</v>
      </c>
      <c r="R1945" s="1" t="str">
        <f t="shared" si="154"/>
        <v>2</v>
      </c>
      <c r="S1945" s="1">
        <v>117</v>
      </c>
      <c r="T1945" s="1" t="str">
        <f t="shared" si="152"/>
        <v>3</v>
      </c>
      <c r="U1945" s="1">
        <v>-32.161151660000002</v>
      </c>
      <c r="V1945" s="3">
        <v>152.4952945</v>
      </c>
    </row>
    <row r="1946" spans="1:22" x14ac:dyDescent="0.35">
      <c r="A1946" s="22" t="s">
        <v>5471</v>
      </c>
      <c r="B1946" s="1" t="s">
        <v>5472</v>
      </c>
      <c r="C1946" s="1" t="s">
        <v>5473</v>
      </c>
      <c r="D1946" s="1" t="s">
        <v>180</v>
      </c>
      <c r="E1946" s="1" t="s">
        <v>181</v>
      </c>
      <c r="F1946" s="1" t="s">
        <v>47</v>
      </c>
      <c r="G1946" s="1">
        <f t="shared" si="150"/>
        <v>1</v>
      </c>
      <c r="H1946" s="1" t="s">
        <v>182</v>
      </c>
      <c r="I1946" s="1" t="s">
        <v>4583</v>
      </c>
      <c r="J1946" s="23" t="s">
        <v>50</v>
      </c>
      <c r="K1946" s="2" t="s">
        <v>51</v>
      </c>
      <c r="L1946" s="1">
        <v>1084</v>
      </c>
      <c r="M1946" s="1">
        <v>3</v>
      </c>
      <c r="N1946" s="1" t="str">
        <f t="shared" si="153"/>
        <v>Published</v>
      </c>
      <c r="O1946" s="1">
        <f t="shared" si="151"/>
        <v>32.519999999999996</v>
      </c>
      <c r="P1946" s="1">
        <v>76</v>
      </c>
      <c r="Q1946" s="1">
        <v>982</v>
      </c>
      <c r="R1946" s="1" t="str">
        <f t="shared" si="154"/>
        <v>2</v>
      </c>
      <c r="S1946" s="1">
        <v>122</v>
      </c>
      <c r="T1946" s="1" t="str">
        <f t="shared" si="152"/>
        <v>5</v>
      </c>
      <c r="U1946" s="1">
        <v>-33.945999999999998</v>
      </c>
      <c r="V1946" s="3">
        <v>150.84322599999999</v>
      </c>
    </row>
    <row r="1947" spans="1:22" x14ac:dyDescent="0.35">
      <c r="A1947" s="22" t="s">
        <v>5474</v>
      </c>
      <c r="B1947" s="1" t="s">
        <v>5475</v>
      </c>
      <c r="C1947" s="1" t="s">
        <v>5476</v>
      </c>
      <c r="D1947" s="1" t="s">
        <v>761</v>
      </c>
      <c r="E1947" s="1" t="s">
        <v>127</v>
      </c>
      <c r="F1947" s="1" t="s">
        <v>47</v>
      </c>
      <c r="G1947" s="1">
        <f t="shared" si="150"/>
        <v>1</v>
      </c>
      <c r="H1947" s="1" t="s">
        <v>148</v>
      </c>
      <c r="I1947" s="1" t="s">
        <v>4583</v>
      </c>
      <c r="J1947" s="23" t="s">
        <v>50</v>
      </c>
      <c r="K1947" s="2" t="s">
        <v>51</v>
      </c>
      <c r="L1947" s="1">
        <v>1313.6</v>
      </c>
      <c r="M1947" s="1">
        <v>1</v>
      </c>
      <c r="N1947" s="1" t="str">
        <f t="shared" si="153"/>
        <v>Published</v>
      </c>
      <c r="O1947" s="1">
        <f t="shared" si="151"/>
        <v>13.135999999999999</v>
      </c>
      <c r="P1947" s="1">
        <v>55</v>
      </c>
      <c r="Q1947" s="1">
        <v>1067</v>
      </c>
      <c r="R1947" s="1" t="str">
        <f t="shared" si="154"/>
        <v>3</v>
      </c>
      <c r="S1947" s="1">
        <v>52</v>
      </c>
      <c r="T1947" s="1" t="str">
        <f t="shared" si="152"/>
        <v>5</v>
      </c>
      <c r="U1947" s="1">
        <v>-33.686399999999999</v>
      </c>
      <c r="V1947" s="3">
        <v>150.93170000000001</v>
      </c>
    </row>
    <row r="1948" spans="1:22" x14ac:dyDescent="0.35">
      <c r="A1948" s="22" t="s">
        <v>5477</v>
      </c>
      <c r="B1948" s="1" t="s">
        <v>5478</v>
      </c>
      <c r="C1948" s="1" t="s">
        <v>4385</v>
      </c>
      <c r="D1948" s="1" t="s">
        <v>186</v>
      </c>
      <c r="E1948" s="1" t="s">
        <v>187</v>
      </c>
      <c r="F1948" s="1" t="s">
        <v>47</v>
      </c>
      <c r="G1948" s="1">
        <f t="shared" si="150"/>
        <v>1</v>
      </c>
      <c r="H1948" s="1" t="s">
        <v>63</v>
      </c>
      <c r="I1948" s="1" t="s">
        <v>4583</v>
      </c>
      <c r="J1948" s="23" t="s">
        <v>50</v>
      </c>
      <c r="K1948" s="2" t="s">
        <v>51</v>
      </c>
      <c r="L1948" s="1">
        <v>419.2</v>
      </c>
      <c r="M1948" s="1">
        <v>12</v>
      </c>
      <c r="N1948" s="1" t="str">
        <f t="shared" si="153"/>
        <v>Published</v>
      </c>
      <c r="O1948" s="1">
        <f t="shared" si="151"/>
        <v>50.303999999999995</v>
      </c>
      <c r="P1948" s="1">
        <v>14</v>
      </c>
      <c r="Q1948" s="1">
        <v>968</v>
      </c>
      <c r="R1948" s="1" t="str">
        <f t="shared" si="154"/>
        <v>2</v>
      </c>
      <c r="S1948" s="1">
        <v>111</v>
      </c>
      <c r="T1948" s="1" t="str">
        <f t="shared" si="152"/>
        <v>3</v>
      </c>
      <c r="U1948" s="1">
        <v>-33.430390000000003</v>
      </c>
      <c r="V1948" s="3">
        <v>151.296076</v>
      </c>
    </row>
    <row r="1949" spans="1:22" x14ac:dyDescent="0.35">
      <c r="A1949" s="22" t="s">
        <v>5479</v>
      </c>
      <c r="B1949" s="1" t="s">
        <v>5480</v>
      </c>
      <c r="C1949" s="1" t="s">
        <v>927</v>
      </c>
      <c r="D1949" s="1" t="s">
        <v>529</v>
      </c>
      <c r="E1949" s="1" t="s">
        <v>96</v>
      </c>
      <c r="F1949" s="1" t="s">
        <v>57</v>
      </c>
      <c r="G1949" s="1">
        <f t="shared" si="150"/>
        <v>2</v>
      </c>
      <c r="H1949" s="1" t="s">
        <v>70</v>
      </c>
      <c r="I1949" s="1" t="s">
        <v>4583</v>
      </c>
      <c r="J1949" s="23" t="s">
        <v>50</v>
      </c>
      <c r="K1949" s="2" t="s">
        <v>51</v>
      </c>
      <c r="L1949" s="1">
        <v>290.60000000000002</v>
      </c>
      <c r="M1949" s="1">
        <v>4</v>
      </c>
      <c r="N1949" s="1" t="str">
        <f t="shared" si="153"/>
        <v>Published</v>
      </c>
      <c r="O1949" s="1">
        <f t="shared" si="151"/>
        <v>11.624000000000001</v>
      </c>
      <c r="P1949" s="1">
        <v>8</v>
      </c>
      <c r="Q1949" s="1">
        <v>975</v>
      </c>
      <c r="R1949" s="1" t="str">
        <f t="shared" si="154"/>
        <v>2</v>
      </c>
      <c r="S1949" s="1">
        <v>110</v>
      </c>
      <c r="T1949" s="1" t="str">
        <f t="shared" si="152"/>
        <v>2</v>
      </c>
      <c r="U1949" s="1">
        <v>-35.993008000000003</v>
      </c>
      <c r="V1949" s="3">
        <v>146.38157699999999</v>
      </c>
    </row>
    <row r="1950" spans="1:22" x14ac:dyDescent="0.35">
      <c r="A1950" s="22" t="s">
        <v>5481</v>
      </c>
      <c r="B1950" s="1" t="s">
        <v>5482</v>
      </c>
      <c r="C1950" s="1" t="s">
        <v>5483</v>
      </c>
      <c r="D1950" s="1" t="s">
        <v>720</v>
      </c>
      <c r="E1950" s="1" t="s">
        <v>261</v>
      </c>
      <c r="F1950" s="1" t="s">
        <v>69</v>
      </c>
      <c r="G1950" s="1">
        <f t="shared" si="150"/>
        <v>3</v>
      </c>
      <c r="H1950" s="1" t="s">
        <v>70</v>
      </c>
      <c r="I1950" s="1" t="s">
        <v>4583</v>
      </c>
      <c r="J1950" s="23" t="s">
        <v>50</v>
      </c>
      <c r="K1950" s="2" t="s">
        <v>51</v>
      </c>
      <c r="L1950" s="1">
        <v>178</v>
      </c>
      <c r="M1950" s="1">
        <v>13</v>
      </c>
      <c r="N1950" s="1" t="str">
        <f t="shared" si="153"/>
        <v>Published</v>
      </c>
      <c r="O1950" s="1">
        <f t="shared" si="151"/>
        <v>23.14</v>
      </c>
      <c r="P1950" s="1"/>
      <c r="Q1950" s="1">
        <v>946</v>
      </c>
      <c r="R1950" s="1" t="str">
        <f t="shared" si="154"/>
        <v>2</v>
      </c>
      <c r="S1950" s="1">
        <v>114</v>
      </c>
      <c r="T1950" s="1" t="str">
        <f t="shared" si="152"/>
        <v>2</v>
      </c>
      <c r="U1950" s="1">
        <v>-33.902721999999997</v>
      </c>
      <c r="V1950" s="3">
        <v>148.16344900000001</v>
      </c>
    </row>
    <row r="1951" spans="1:22" x14ac:dyDescent="0.35">
      <c r="A1951" s="22" t="s">
        <v>5484</v>
      </c>
      <c r="B1951" s="1" t="s">
        <v>5485</v>
      </c>
      <c r="C1951" s="1" t="s">
        <v>1596</v>
      </c>
      <c r="D1951" s="1" t="s">
        <v>1399</v>
      </c>
      <c r="E1951" s="1" t="s">
        <v>261</v>
      </c>
      <c r="F1951" s="1" t="s">
        <v>57</v>
      </c>
      <c r="G1951" s="1">
        <f t="shared" si="150"/>
        <v>2</v>
      </c>
      <c r="H1951" s="1" t="s">
        <v>58</v>
      </c>
      <c r="I1951" s="1" t="s">
        <v>4583</v>
      </c>
      <c r="J1951" s="23" t="s">
        <v>50</v>
      </c>
      <c r="K1951" s="2" t="s">
        <v>51</v>
      </c>
      <c r="L1951" s="1">
        <v>162.5</v>
      </c>
      <c r="M1951" s="1">
        <v>19</v>
      </c>
      <c r="N1951" s="1" t="str">
        <f t="shared" si="153"/>
        <v>Published</v>
      </c>
      <c r="O1951" s="1">
        <f t="shared" si="151"/>
        <v>30.875</v>
      </c>
      <c r="P1951" s="1">
        <v>6</v>
      </c>
      <c r="Q1951" s="1">
        <v>902</v>
      </c>
      <c r="R1951" s="1" t="str">
        <f t="shared" si="154"/>
        <v>2</v>
      </c>
      <c r="S1951" s="1">
        <v>147</v>
      </c>
      <c r="T1951" s="1" t="str">
        <f t="shared" si="152"/>
        <v>2</v>
      </c>
      <c r="U1951" s="1">
        <v>-32.855738000000002</v>
      </c>
      <c r="V1951" s="3">
        <v>149.97458800000001</v>
      </c>
    </row>
    <row r="1952" spans="1:22" x14ac:dyDescent="0.35">
      <c r="A1952" s="22" t="s">
        <v>5486</v>
      </c>
      <c r="B1952" s="1" t="s">
        <v>5487</v>
      </c>
      <c r="C1952" s="1" t="s">
        <v>1676</v>
      </c>
      <c r="D1952" s="1" t="s">
        <v>386</v>
      </c>
      <c r="E1952" s="1" t="s">
        <v>229</v>
      </c>
      <c r="F1952" s="1" t="s">
        <v>47</v>
      </c>
      <c r="G1952" s="1">
        <f t="shared" si="150"/>
        <v>1</v>
      </c>
      <c r="H1952" s="1" t="s">
        <v>48</v>
      </c>
      <c r="I1952" s="1" t="s">
        <v>4583</v>
      </c>
      <c r="J1952" s="23" t="s">
        <v>50</v>
      </c>
      <c r="K1952" s="2" t="s">
        <v>51</v>
      </c>
      <c r="L1952" s="1">
        <v>787</v>
      </c>
      <c r="M1952" s="1"/>
      <c r="N1952" s="1" t="str">
        <f t="shared" si="153"/>
        <v>Suppressed</v>
      </c>
      <c r="O1952" s="1" t="str">
        <f t="shared" si="151"/>
        <v/>
      </c>
      <c r="P1952" s="1">
        <v>91</v>
      </c>
      <c r="Q1952" s="1">
        <v>993</v>
      </c>
      <c r="R1952" s="1" t="str">
        <f t="shared" si="154"/>
        <v>2</v>
      </c>
      <c r="S1952" s="1">
        <v>108</v>
      </c>
      <c r="T1952" s="1" t="str">
        <f t="shared" si="152"/>
        <v>4</v>
      </c>
      <c r="U1952" s="1">
        <v>-33.961160999999997</v>
      </c>
      <c r="V1952" s="3">
        <v>151.13422700000001</v>
      </c>
    </row>
    <row r="1953" spans="1:22" x14ac:dyDescent="0.35">
      <c r="A1953" s="22" t="s">
        <v>5488</v>
      </c>
      <c r="B1953" s="1" t="s">
        <v>5489</v>
      </c>
      <c r="C1953" s="1" t="s">
        <v>1998</v>
      </c>
      <c r="D1953" s="1" t="s">
        <v>482</v>
      </c>
      <c r="E1953" s="1" t="s">
        <v>91</v>
      </c>
      <c r="F1953" s="1" t="s">
        <v>69</v>
      </c>
      <c r="G1953" s="1">
        <f t="shared" si="150"/>
        <v>3</v>
      </c>
      <c r="H1953" s="1" t="s">
        <v>86</v>
      </c>
      <c r="I1953" s="1" t="s">
        <v>4583</v>
      </c>
      <c r="J1953" s="23" t="s">
        <v>50</v>
      </c>
      <c r="K1953" s="2" t="s">
        <v>51</v>
      </c>
      <c r="L1953" s="1">
        <v>359.3</v>
      </c>
      <c r="M1953" s="1">
        <v>61</v>
      </c>
      <c r="N1953" s="1" t="str">
        <f t="shared" si="153"/>
        <v>Published</v>
      </c>
      <c r="O1953" s="1">
        <f t="shared" si="151"/>
        <v>219.173</v>
      </c>
      <c r="P1953" s="1">
        <v>5</v>
      </c>
      <c r="Q1953" s="1">
        <v>771</v>
      </c>
      <c r="R1953" s="1" t="str">
        <f t="shared" si="154"/>
        <v>1</v>
      </c>
      <c r="S1953" s="1">
        <v>172</v>
      </c>
      <c r="T1953" s="1" t="str">
        <f t="shared" si="152"/>
        <v>3</v>
      </c>
      <c r="U1953" s="1">
        <v>-29.466449999999998</v>
      </c>
      <c r="V1953" s="3">
        <v>149.842344</v>
      </c>
    </row>
    <row r="1954" spans="1:22" x14ac:dyDescent="0.35">
      <c r="A1954" s="22" t="s">
        <v>5490</v>
      </c>
      <c r="B1954" s="1" t="s">
        <v>5491</v>
      </c>
      <c r="C1954" s="1" t="s">
        <v>5492</v>
      </c>
      <c r="D1954" s="1" t="s">
        <v>1939</v>
      </c>
      <c r="E1954" s="1" t="s">
        <v>147</v>
      </c>
      <c r="F1954" s="1" t="s">
        <v>47</v>
      </c>
      <c r="G1954" s="1">
        <f t="shared" si="150"/>
        <v>1</v>
      </c>
      <c r="H1954" s="1" t="s">
        <v>148</v>
      </c>
      <c r="I1954" s="1" t="s">
        <v>4583</v>
      </c>
      <c r="J1954" s="23" t="s">
        <v>50</v>
      </c>
      <c r="K1954" s="2" t="s">
        <v>51</v>
      </c>
      <c r="L1954" s="1">
        <v>1085.5999999999999</v>
      </c>
      <c r="M1954" s="1"/>
      <c r="N1954" s="1" t="str">
        <f t="shared" si="153"/>
        <v>Suppressed</v>
      </c>
      <c r="O1954" s="1" t="str">
        <f t="shared" si="151"/>
        <v/>
      </c>
      <c r="P1954" s="1">
        <v>42</v>
      </c>
      <c r="Q1954" s="1">
        <v>1126</v>
      </c>
      <c r="R1954" s="1" t="str">
        <f t="shared" si="154"/>
        <v>4</v>
      </c>
      <c r="S1954" s="1">
        <v>24</v>
      </c>
      <c r="T1954" s="1" t="str">
        <f t="shared" si="152"/>
        <v>5</v>
      </c>
      <c r="U1954" s="1">
        <v>-33.829676999999997</v>
      </c>
      <c r="V1954" s="3">
        <v>151.243425</v>
      </c>
    </row>
    <row r="1955" spans="1:22" x14ac:dyDescent="0.35">
      <c r="A1955" s="22" t="s">
        <v>5493</v>
      </c>
      <c r="B1955" s="1" t="s">
        <v>5494</v>
      </c>
      <c r="C1955" s="1" t="s">
        <v>5495</v>
      </c>
      <c r="D1955" s="1" t="s">
        <v>525</v>
      </c>
      <c r="E1955" s="1" t="s">
        <v>68</v>
      </c>
      <c r="F1955" s="1" t="s">
        <v>57</v>
      </c>
      <c r="G1955" s="1">
        <f t="shared" si="150"/>
        <v>2</v>
      </c>
      <c r="H1955" s="1" t="s">
        <v>86</v>
      </c>
      <c r="I1955" s="1" t="s">
        <v>4583</v>
      </c>
      <c r="J1955" s="23" t="s">
        <v>50</v>
      </c>
      <c r="K1955" s="2" t="s">
        <v>51</v>
      </c>
      <c r="L1955" s="1">
        <v>148</v>
      </c>
      <c r="M1955" s="1">
        <v>22</v>
      </c>
      <c r="N1955" s="1" t="str">
        <f t="shared" si="153"/>
        <v>Published</v>
      </c>
      <c r="O1955" s="1">
        <f t="shared" si="151"/>
        <v>32.56</v>
      </c>
      <c r="P1955" s="1">
        <v>4</v>
      </c>
      <c r="Q1955" s="1">
        <v>915</v>
      </c>
      <c r="R1955" s="1" t="str">
        <f t="shared" si="154"/>
        <v>2</v>
      </c>
      <c r="S1955" s="1">
        <v>128</v>
      </c>
      <c r="T1955" s="1" t="str">
        <f t="shared" si="152"/>
        <v>2</v>
      </c>
      <c r="U1955" s="1">
        <v>-34.559162000000001</v>
      </c>
      <c r="V1955" s="3">
        <v>148.36980800000001</v>
      </c>
    </row>
    <row r="1956" spans="1:22" x14ac:dyDescent="0.35">
      <c r="A1956" s="22" t="s">
        <v>5496</v>
      </c>
      <c r="B1956" s="1" t="s">
        <v>5497</v>
      </c>
      <c r="C1956" s="1" t="s">
        <v>3039</v>
      </c>
      <c r="D1956" s="1" t="s">
        <v>408</v>
      </c>
      <c r="E1956" s="1" t="s">
        <v>68</v>
      </c>
      <c r="F1956" s="1" t="s">
        <v>57</v>
      </c>
      <c r="G1956" s="1">
        <f t="shared" si="150"/>
        <v>2</v>
      </c>
      <c r="H1956" s="1" t="s">
        <v>86</v>
      </c>
      <c r="I1956" s="1" t="s">
        <v>4583</v>
      </c>
      <c r="J1956" s="23" t="s">
        <v>50</v>
      </c>
      <c r="K1956" s="2" t="s">
        <v>51</v>
      </c>
      <c r="L1956" s="1">
        <v>556.6</v>
      </c>
      <c r="M1956" s="1">
        <v>10</v>
      </c>
      <c r="N1956" s="1" t="str">
        <f t="shared" si="153"/>
        <v>Published</v>
      </c>
      <c r="O1956" s="1">
        <f t="shared" si="151"/>
        <v>55.660000000000004</v>
      </c>
      <c r="P1956" s="1">
        <v>4</v>
      </c>
      <c r="Q1956" s="1">
        <v>990</v>
      </c>
      <c r="R1956" s="1" t="str">
        <f t="shared" si="154"/>
        <v>2</v>
      </c>
      <c r="S1956" s="1">
        <v>98</v>
      </c>
      <c r="T1956" s="1" t="str">
        <f t="shared" si="152"/>
        <v>3</v>
      </c>
      <c r="U1956" s="1">
        <v>-34.835473999999998</v>
      </c>
      <c r="V1956" s="3">
        <v>148.91106600000001</v>
      </c>
    </row>
    <row r="1957" spans="1:22" x14ac:dyDescent="0.35">
      <c r="A1957" s="22" t="s">
        <v>5498</v>
      </c>
      <c r="B1957" s="1" t="s">
        <v>5499</v>
      </c>
      <c r="C1957" s="1" t="s">
        <v>2762</v>
      </c>
      <c r="D1957" s="1" t="s">
        <v>79</v>
      </c>
      <c r="E1957" s="1" t="s">
        <v>80</v>
      </c>
      <c r="F1957" s="1" t="s">
        <v>57</v>
      </c>
      <c r="G1957" s="1">
        <f t="shared" si="150"/>
        <v>2</v>
      </c>
      <c r="H1957" s="1" t="s">
        <v>70</v>
      </c>
      <c r="I1957" s="1" t="s">
        <v>4583</v>
      </c>
      <c r="J1957" s="23" t="s">
        <v>50</v>
      </c>
      <c r="K1957" s="2" t="s">
        <v>51</v>
      </c>
      <c r="L1957" s="1">
        <v>382.8</v>
      </c>
      <c r="M1957" s="1">
        <v>24</v>
      </c>
      <c r="N1957" s="1" t="str">
        <f t="shared" si="153"/>
        <v>Published</v>
      </c>
      <c r="O1957" s="1">
        <f t="shared" si="151"/>
        <v>91.872</v>
      </c>
      <c r="P1957" s="1">
        <v>4</v>
      </c>
      <c r="Q1957" s="1">
        <v>919</v>
      </c>
      <c r="R1957" s="1" t="str">
        <f t="shared" si="154"/>
        <v>2</v>
      </c>
      <c r="S1957" s="1">
        <v>127</v>
      </c>
      <c r="T1957" s="1" t="str">
        <f t="shared" si="152"/>
        <v>3</v>
      </c>
      <c r="U1957" s="1">
        <v>-35.312212000000002</v>
      </c>
      <c r="V1957" s="3">
        <v>148.219291</v>
      </c>
    </row>
    <row r="1958" spans="1:22" x14ac:dyDescent="0.35">
      <c r="A1958" s="22" t="s">
        <v>5500</v>
      </c>
      <c r="B1958" s="1" t="s">
        <v>5501</v>
      </c>
      <c r="C1958" s="1" t="s">
        <v>859</v>
      </c>
      <c r="D1958" s="1" t="s">
        <v>860</v>
      </c>
      <c r="E1958" s="1" t="s">
        <v>261</v>
      </c>
      <c r="F1958" s="1" t="s">
        <v>69</v>
      </c>
      <c r="G1958" s="1">
        <f t="shared" si="150"/>
        <v>3</v>
      </c>
      <c r="H1958" s="1" t="s">
        <v>70</v>
      </c>
      <c r="I1958" s="1" t="s">
        <v>4583</v>
      </c>
      <c r="J1958" s="23" t="s">
        <v>50</v>
      </c>
      <c r="K1958" s="2" t="s">
        <v>51</v>
      </c>
      <c r="L1958" s="1">
        <v>205</v>
      </c>
      <c r="M1958" s="1">
        <v>52</v>
      </c>
      <c r="N1958" s="1" t="str">
        <f t="shared" si="153"/>
        <v>Published</v>
      </c>
      <c r="O1958" s="1">
        <f t="shared" si="151"/>
        <v>106.60000000000001</v>
      </c>
      <c r="P1958" s="1">
        <v>6</v>
      </c>
      <c r="Q1958" s="1">
        <v>834</v>
      </c>
      <c r="R1958" s="1" t="str">
        <f t="shared" si="154"/>
        <v>1</v>
      </c>
      <c r="S1958" s="1">
        <v>140</v>
      </c>
      <c r="T1958" s="1" t="str">
        <f t="shared" si="152"/>
        <v>2</v>
      </c>
      <c r="U1958" s="1">
        <v>-33.091828</v>
      </c>
      <c r="V1958" s="3">
        <v>147.14319499999999</v>
      </c>
    </row>
    <row r="1959" spans="1:22" x14ac:dyDescent="0.35">
      <c r="A1959" s="22" t="s">
        <v>5502</v>
      </c>
      <c r="B1959" s="1" t="s">
        <v>5503</v>
      </c>
      <c r="C1959" s="1" t="s">
        <v>893</v>
      </c>
      <c r="D1959" s="1" t="s">
        <v>240</v>
      </c>
      <c r="E1959" s="1" t="s">
        <v>102</v>
      </c>
      <c r="F1959" s="1" t="s">
        <v>69</v>
      </c>
      <c r="G1959" s="1">
        <f t="shared" si="150"/>
        <v>3</v>
      </c>
      <c r="H1959" s="1" t="s">
        <v>92</v>
      </c>
      <c r="I1959" s="1" t="s">
        <v>4583</v>
      </c>
      <c r="J1959" s="23" t="s">
        <v>50</v>
      </c>
      <c r="K1959" s="2" t="s">
        <v>51</v>
      </c>
      <c r="L1959" s="1">
        <v>298</v>
      </c>
      <c r="M1959" s="1">
        <v>31</v>
      </c>
      <c r="N1959" s="1" t="str">
        <f t="shared" si="153"/>
        <v>Published</v>
      </c>
      <c r="O1959" s="1">
        <f t="shared" si="151"/>
        <v>92.38</v>
      </c>
      <c r="P1959" s="1">
        <v>6</v>
      </c>
      <c r="Q1959" s="1">
        <v>898</v>
      </c>
      <c r="R1959" s="1" t="str">
        <f t="shared" si="154"/>
        <v>1</v>
      </c>
      <c r="S1959" s="1">
        <v>122</v>
      </c>
      <c r="T1959" s="1" t="str">
        <f t="shared" si="152"/>
        <v>2</v>
      </c>
      <c r="U1959" s="1">
        <v>-31.283104000000002</v>
      </c>
      <c r="V1959" s="3">
        <v>149.28511700000001</v>
      </c>
    </row>
    <row r="1960" spans="1:22" x14ac:dyDescent="0.35">
      <c r="A1960" s="22" t="s">
        <v>5504</v>
      </c>
      <c r="B1960" s="1" t="s">
        <v>5505</v>
      </c>
      <c r="C1960" s="1" t="s">
        <v>5506</v>
      </c>
      <c r="D1960" s="1" t="s">
        <v>1267</v>
      </c>
      <c r="E1960" s="1" t="s">
        <v>102</v>
      </c>
      <c r="F1960" s="1" t="s">
        <v>69</v>
      </c>
      <c r="G1960" s="1">
        <f t="shared" si="150"/>
        <v>3</v>
      </c>
      <c r="H1960" s="1" t="s">
        <v>58</v>
      </c>
      <c r="I1960" s="1" t="s">
        <v>4583</v>
      </c>
      <c r="J1960" s="23" t="s">
        <v>50</v>
      </c>
      <c r="K1960" s="2" t="s">
        <v>51</v>
      </c>
      <c r="L1960" s="1">
        <v>184.2</v>
      </c>
      <c r="M1960" s="1">
        <v>44</v>
      </c>
      <c r="N1960" s="1" t="str">
        <f t="shared" si="153"/>
        <v>Published</v>
      </c>
      <c r="O1960" s="1">
        <f t="shared" si="151"/>
        <v>81.048000000000002</v>
      </c>
      <c r="P1960" s="1">
        <v>4</v>
      </c>
      <c r="Q1960" s="1">
        <v>849</v>
      </c>
      <c r="R1960" s="1" t="str">
        <f t="shared" si="154"/>
        <v>1</v>
      </c>
      <c r="S1960" s="1">
        <v>146</v>
      </c>
      <c r="T1960" s="1" t="str">
        <f t="shared" si="152"/>
        <v>2</v>
      </c>
      <c r="U1960" s="1">
        <v>-31.703430999999998</v>
      </c>
      <c r="V1960" s="3">
        <v>148.666529</v>
      </c>
    </row>
    <row r="1961" spans="1:22" x14ac:dyDescent="0.35">
      <c r="A1961" s="22" t="s">
        <v>5507</v>
      </c>
      <c r="B1961" s="1" t="s">
        <v>5508</v>
      </c>
      <c r="C1961" s="1" t="s">
        <v>2200</v>
      </c>
      <c r="D1961" s="1" t="s">
        <v>1274</v>
      </c>
      <c r="E1961" s="1" t="s">
        <v>102</v>
      </c>
      <c r="F1961" s="1" t="s">
        <v>241</v>
      </c>
      <c r="G1961" s="1">
        <f t="shared" si="150"/>
        <v>4</v>
      </c>
      <c r="H1961" s="1" t="s">
        <v>70</v>
      </c>
      <c r="I1961" s="1" t="s">
        <v>4583</v>
      </c>
      <c r="J1961" s="23" t="s">
        <v>50</v>
      </c>
      <c r="K1961" s="2" t="s">
        <v>51</v>
      </c>
      <c r="L1961" s="1">
        <v>140.80000000000001</v>
      </c>
      <c r="M1961" s="1">
        <v>49</v>
      </c>
      <c r="N1961" s="1" t="str">
        <f t="shared" si="153"/>
        <v>Published</v>
      </c>
      <c r="O1961" s="1">
        <f t="shared" si="151"/>
        <v>68.992000000000004</v>
      </c>
      <c r="P1961" s="1">
        <v>6</v>
      </c>
      <c r="Q1961" s="1">
        <v>845</v>
      </c>
      <c r="R1961" s="1" t="str">
        <f t="shared" si="154"/>
        <v>1</v>
      </c>
      <c r="S1961" s="1">
        <v>144</v>
      </c>
      <c r="T1961" s="1" t="str">
        <f t="shared" si="152"/>
        <v>2</v>
      </c>
      <c r="U1961" s="1">
        <v>-31.561368000000002</v>
      </c>
      <c r="V1961" s="3">
        <v>147.18888200000001</v>
      </c>
    </row>
    <row r="1962" spans="1:22" x14ac:dyDescent="0.35">
      <c r="A1962" s="22" t="s">
        <v>5509</v>
      </c>
      <c r="B1962" s="1" t="s">
        <v>5510</v>
      </c>
      <c r="C1962" s="1" t="s">
        <v>543</v>
      </c>
      <c r="D1962" s="1" t="s">
        <v>543</v>
      </c>
      <c r="E1962" s="1" t="s">
        <v>102</v>
      </c>
      <c r="F1962" s="1" t="s">
        <v>544</v>
      </c>
      <c r="G1962" s="1">
        <f t="shared" si="150"/>
        <v>5</v>
      </c>
      <c r="H1962" s="1" t="s">
        <v>86</v>
      </c>
      <c r="I1962" s="1" t="s">
        <v>4583</v>
      </c>
      <c r="J1962" s="23" t="s">
        <v>50</v>
      </c>
      <c r="K1962" s="2" t="s">
        <v>51</v>
      </c>
      <c r="L1962" s="1">
        <v>134</v>
      </c>
      <c r="M1962" s="1">
        <v>81</v>
      </c>
      <c r="N1962" s="1" t="str">
        <f t="shared" si="153"/>
        <v>Published</v>
      </c>
      <c r="O1962" s="1">
        <f t="shared" si="151"/>
        <v>108.54</v>
      </c>
      <c r="P1962" s="1"/>
      <c r="Q1962" s="1">
        <v>714</v>
      </c>
      <c r="R1962" s="1" t="str">
        <f t="shared" si="154"/>
        <v>1</v>
      </c>
      <c r="S1962" s="1">
        <v>196</v>
      </c>
      <c r="T1962" s="1" t="str">
        <f t="shared" si="152"/>
        <v>2</v>
      </c>
      <c r="U1962" s="1">
        <v>-30.091467000000002</v>
      </c>
      <c r="V1962" s="3">
        <v>145.94876099999999</v>
      </c>
    </row>
    <row r="1963" spans="1:22" x14ac:dyDescent="0.35">
      <c r="A1963" s="22" t="s">
        <v>5511</v>
      </c>
      <c r="B1963" s="1" t="s">
        <v>5512</v>
      </c>
      <c r="C1963" s="1" t="s">
        <v>809</v>
      </c>
      <c r="D1963" s="1" t="s">
        <v>809</v>
      </c>
      <c r="E1963" s="1" t="s">
        <v>102</v>
      </c>
      <c r="F1963" s="1" t="s">
        <v>241</v>
      </c>
      <c r="G1963" s="1">
        <f t="shared" si="150"/>
        <v>4</v>
      </c>
      <c r="H1963" s="1" t="s">
        <v>70</v>
      </c>
      <c r="I1963" s="1" t="s">
        <v>4583</v>
      </c>
      <c r="J1963" s="23" t="s">
        <v>50</v>
      </c>
      <c r="K1963" s="2" t="s">
        <v>51</v>
      </c>
      <c r="L1963" s="1">
        <v>212.6</v>
      </c>
      <c r="M1963" s="1">
        <v>32</v>
      </c>
      <c r="N1963" s="1" t="str">
        <f t="shared" si="153"/>
        <v>Published</v>
      </c>
      <c r="O1963" s="1">
        <f t="shared" si="151"/>
        <v>68.031999999999996</v>
      </c>
      <c r="P1963" s="1">
        <v>5</v>
      </c>
      <c r="Q1963" s="1">
        <v>865</v>
      </c>
      <c r="R1963" s="1" t="str">
        <f t="shared" si="154"/>
        <v>1</v>
      </c>
      <c r="S1963" s="1">
        <v>136</v>
      </c>
      <c r="T1963" s="1" t="str">
        <f t="shared" si="152"/>
        <v>2</v>
      </c>
      <c r="U1963" s="1">
        <v>-31.501643000000001</v>
      </c>
      <c r="V1963" s="3">
        <v>145.82788099999999</v>
      </c>
    </row>
    <row r="1964" spans="1:22" x14ac:dyDescent="0.35">
      <c r="A1964" s="22" t="s">
        <v>5513</v>
      </c>
      <c r="B1964" s="1" t="s">
        <v>5514</v>
      </c>
      <c r="C1964" s="1" t="s">
        <v>457</v>
      </c>
      <c r="D1964" s="1" t="s">
        <v>457</v>
      </c>
      <c r="E1964" s="1" t="s">
        <v>261</v>
      </c>
      <c r="F1964" s="1" t="s">
        <v>57</v>
      </c>
      <c r="G1964" s="1">
        <f t="shared" si="150"/>
        <v>2</v>
      </c>
      <c r="H1964" s="1" t="s">
        <v>58</v>
      </c>
      <c r="I1964" s="1" t="s">
        <v>4583</v>
      </c>
      <c r="J1964" s="23" t="s">
        <v>50</v>
      </c>
      <c r="K1964" s="2" t="s">
        <v>51</v>
      </c>
      <c r="L1964" s="1">
        <v>295.8</v>
      </c>
      <c r="M1964" s="1">
        <v>20</v>
      </c>
      <c r="N1964" s="1" t="str">
        <f t="shared" si="153"/>
        <v>Published</v>
      </c>
      <c r="O1964" s="1">
        <f t="shared" si="151"/>
        <v>59.160000000000004</v>
      </c>
      <c r="P1964" s="1">
        <v>6</v>
      </c>
      <c r="Q1964" s="1">
        <v>917</v>
      </c>
      <c r="R1964" s="1" t="str">
        <f t="shared" si="154"/>
        <v>2</v>
      </c>
      <c r="S1964" s="1">
        <v>127</v>
      </c>
      <c r="T1964" s="1" t="str">
        <f t="shared" si="152"/>
        <v>2</v>
      </c>
      <c r="U1964" s="1">
        <v>-33.531047999999998</v>
      </c>
      <c r="V1964" s="3">
        <v>149.251081</v>
      </c>
    </row>
    <row r="1965" spans="1:22" x14ac:dyDescent="0.35">
      <c r="A1965" s="22" t="s">
        <v>5515</v>
      </c>
      <c r="B1965" s="1" t="s">
        <v>5516</v>
      </c>
      <c r="C1965" s="1" t="s">
        <v>2649</v>
      </c>
      <c r="D1965" s="1" t="s">
        <v>1043</v>
      </c>
      <c r="E1965" s="1" t="s">
        <v>91</v>
      </c>
      <c r="F1965" s="1" t="s">
        <v>69</v>
      </c>
      <c r="G1965" s="1">
        <f t="shared" si="150"/>
        <v>3</v>
      </c>
      <c r="H1965" s="1" t="s">
        <v>92</v>
      </c>
      <c r="I1965" s="1" t="s">
        <v>4583</v>
      </c>
      <c r="J1965" s="23" t="s">
        <v>50</v>
      </c>
      <c r="K1965" s="2" t="s">
        <v>51</v>
      </c>
      <c r="L1965" s="1">
        <v>267</v>
      </c>
      <c r="M1965" s="1">
        <v>19</v>
      </c>
      <c r="N1965" s="1" t="str">
        <f t="shared" si="153"/>
        <v>Published</v>
      </c>
      <c r="O1965" s="1">
        <f t="shared" si="151"/>
        <v>50.730000000000004</v>
      </c>
      <c r="P1965" s="1">
        <v>3</v>
      </c>
      <c r="Q1965" s="1">
        <v>914</v>
      </c>
      <c r="R1965" s="1" t="str">
        <f t="shared" si="154"/>
        <v>2</v>
      </c>
      <c r="S1965" s="1">
        <v>133</v>
      </c>
      <c r="T1965" s="1" t="str">
        <f t="shared" si="152"/>
        <v>2</v>
      </c>
      <c r="U1965" s="1">
        <v>-29.053726999999999</v>
      </c>
      <c r="V1965" s="3">
        <v>152.016829</v>
      </c>
    </row>
    <row r="1966" spans="1:22" x14ac:dyDescent="0.35">
      <c r="A1966" s="22" t="s">
        <v>5517</v>
      </c>
      <c r="B1966" s="1" t="s">
        <v>5518</v>
      </c>
      <c r="C1966" s="1" t="s">
        <v>3339</v>
      </c>
      <c r="D1966" s="1" t="s">
        <v>268</v>
      </c>
      <c r="E1966" s="1" t="s">
        <v>96</v>
      </c>
      <c r="F1966" s="1" t="s">
        <v>57</v>
      </c>
      <c r="G1966" s="1">
        <f t="shared" si="150"/>
        <v>2</v>
      </c>
      <c r="H1966" s="1" t="s">
        <v>70</v>
      </c>
      <c r="I1966" s="1" t="s">
        <v>4583</v>
      </c>
      <c r="J1966" s="23" t="s">
        <v>50</v>
      </c>
      <c r="K1966" s="2" t="s">
        <v>51</v>
      </c>
      <c r="L1966" s="1">
        <v>303.39999999999998</v>
      </c>
      <c r="M1966" s="1">
        <v>13</v>
      </c>
      <c r="N1966" s="1" t="str">
        <f t="shared" si="153"/>
        <v>Published</v>
      </c>
      <c r="O1966" s="1">
        <f t="shared" si="151"/>
        <v>39.442</v>
      </c>
      <c r="P1966" s="1">
        <v>5</v>
      </c>
      <c r="Q1966" s="1">
        <v>965</v>
      </c>
      <c r="R1966" s="1" t="str">
        <f t="shared" si="154"/>
        <v>2</v>
      </c>
      <c r="S1966" s="1">
        <v>103</v>
      </c>
      <c r="T1966" s="1" t="str">
        <f t="shared" si="152"/>
        <v>3</v>
      </c>
      <c r="U1966" s="1">
        <v>-35.640413000000002</v>
      </c>
      <c r="V1966" s="3">
        <v>145.571271</v>
      </c>
    </row>
    <row r="1967" spans="1:22" x14ac:dyDescent="0.35">
      <c r="A1967" s="22" t="s">
        <v>5519</v>
      </c>
      <c r="B1967" s="1" t="s">
        <v>5520</v>
      </c>
      <c r="C1967" s="1" t="s">
        <v>3342</v>
      </c>
      <c r="D1967" s="1" t="s">
        <v>280</v>
      </c>
      <c r="E1967" s="1" t="s">
        <v>281</v>
      </c>
      <c r="F1967" s="1" t="s">
        <v>57</v>
      </c>
      <c r="G1967" s="1">
        <f t="shared" si="150"/>
        <v>2</v>
      </c>
      <c r="H1967" s="1" t="s">
        <v>92</v>
      </c>
      <c r="I1967" s="1" t="s">
        <v>4583</v>
      </c>
      <c r="J1967" s="23" t="s">
        <v>50</v>
      </c>
      <c r="K1967" s="2" t="s">
        <v>51</v>
      </c>
      <c r="L1967" s="1">
        <v>689</v>
      </c>
      <c r="M1967" s="1">
        <v>17</v>
      </c>
      <c r="N1967" s="1" t="str">
        <f t="shared" si="153"/>
        <v>Published</v>
      </c>
      <c r="O1967" s="1">
        <f t="shared" si="151"/>
        <v>117.13000000000001</v>
      </c>
      <c r="P1967" s="1">
        <v>6</v>
      </c>
      <c r="Q1967" s="1">
        <v>959</v>
      </c>
      <c r="R1967" s="1" t="str">
        <f t="shared" si="154"/>
        <v>2</v>
      </c>
      <c r="S1967" s="1">
        <v>110</v>
      </c>
      <c r="T1967" s="1" t="str">
        <f t="shared" si="152"/>
        <v>4</v>
      </c>
      <c r="U1967" s="1">
        <v>-29.466439999999999</v>
      </c>
      <c r="V1967" s="3">
        <v>153.20149000000001</v>
      </c>
    </row>
    <row r="1968" spans="1:22" x14ac:dyDescent="0.35">
      <c r="A1968" s="22" t="s">
        <v>5521</v>
      </c>
      <c r="B1968" s="1" t="s">
        <v>5522</v>
      </c>
      <c r="C1968" s="1" t="s">
        <v>2339</v>
      </c>
      <c r="D1968" s="1" t="s">
        <v>302</v>
      </c>
      <c r="E1968" s="1" t="s">
        <v>276</v>
      </c>
      <c r="F1968" s="1" t="s">
        <v>57</v>
      </c>
      <c r="G1968" s="1">
        <f t="shared" si="150"/>
        <v>2</v>
      </c>
      <c r="H1968" s="1" t="s">
        <v>58</v>
      </c>
      <c r="I1968" s="1" t="s">
        <v>4583</v>
      </c>
      <c r="J1968" s="23" t="s">
        <v>50</v>
      </c>
      <c r="K1968" s="2" t="s">
        <v>51</v>
      </c>
      <c r="L1968" s="1">
        <v>716</v>
      </c>
      <c r="M1968" s="1">
        <v>19</v>
      </c>
      <c r="N1968" s="1" t="str">
        <f t="shared" si="153"/>
        <v>Published</v>
      </c>
      <c r="O1968" s="1">
        <f t="shared" si="151"/>
        <v>136.04</v>
      </c>
      <c r="P1968" s="1">
        <v>8</v>
      </c>
      <c r="Q1968" s="1">
        <v>971</v>
      </c>
      <c r="R1968" s="1" t="str">
        <f t="shared" si="154"/>
        <v>2</v>
      </c>
      <c r="S1968" s="1">
        <v>98</v>
      </c>
      <c r="T1968" s="1" t="str">
        <f t="shared" si="152"/>
        <v>4</v>
      </c>
      <c r="U1968" s="1">
        <v>-31.433295000000001</v>
      </c>
      <c r="V1968" s="3">
        <v>152.92069000000001</v>
      </c>
    </row>
    <row r="1969" spans="1:22" x14ac:dyDescent="0.35">
      <c r="A1969" s="22" t="s">
        <v>5523</v>
      </c>
      <c r="B1969" s="1" t="s">
        <v>5524</v>
      </c>
      <c r="C1969" s="1" t="s">
        <v>5525</v>
      </c>
      <c r="D1969" s="1" t="s">
        <v>288</v>
      </c>
      <c r="E1969" s="1" t="s">
        <v>68</v>
      </c>
      <c r="F1969" s="1" t="s">
        <v>57</v>
      </c>
      <c r="G1969" s="1">
        <f t="shared" si="150"/>
        <v>2</v>
      </c>
      <c r="H1969" s="1" t="s">
        <v>86</v>
      </c>
      <c r="I1969" s="1" t="s">
        <v>4583</v>
      </c>
      <c r="J1969" s="23" t="s">
        <v>50</v>
      </c>
      <c r="K1969" s="2" t="s">
        <v>51</v>
      </c>
      <c r="L1969" s="1">
        <v>356</v>
      </c>
      <c r="M1969" s="1">
        <v>19</v>
      </c>
      <c r="N1969" s="1" t="str">
        <f t="shared" si="153"/>
        <v>Published</v>
      </c>
      <c r="O1969" s="1">
        <f t="shared" si="151"/>
        <v>67.64</v>
      </c>
      <c r="P1969" s="1">
        <v>11</v>
      </c>
      <c r="Q1969" s="1">
        <v>922</v>
      </c>
      <c r="R1969" s="1" t="str">
        <f t="shared" si="154"/>
        <v>2</v>
      </c>
      <c r="S1969" s="1">
        <v>125</v>
      </c>
      <c r="T1969" s="1" t="str">
        <f t="shared" si="152"/>
        <v>3</v>
      </c>
      <c r="U1969" s="1">
        <v>-35.920195</v>
      </c>
      <c r="V1969" s="3">
        <v>150.08015</v>
      </c>
    </row>
    <row r="1970" spans="1:22" x14ac:dyDescent="0.35">
      <c r="A1970" s="22" t="s">
        <v>5526</v>
      </c>
      <c r="B1970" s="1" t="s">
        <v>5527</v>
      </c>
      <c r="C1970" s="1" t="s">
        <v>4821</v>
      </c>
      <c r="D1970" s="1" t="s">
        <v>236</v>
      </c>
      <c r="E1970" s="1" t="s">
        <v>107</v>
      </c>
      <c r="F1970" s="1" t="s">
        <v>47</v>
      </c>
      <c r="G1970" s="1">
        <f t="shared" si="150"/>
        <v>1</v>
      </c>
      <c r="H1970" s="1" t="s">
        <v>92</v>
      </c>
      <c r="I1970" s="1" t="s">
        <v>4583</v>
      </c>
      <c r="J1970" s="23" t="s">
        <v>50</v>
      </c>
      <c r="K1970" s="2" t="s">
        <v>51</v>
      </c>
      <c r="L1970" s="1">
        <v>589.6</v>
      </c>
      <c r="M1970" s="1">
        <v>24</v>
      </c>
      <c r="N1970" s="1" t="str">
        <f t="shared" si="153"/>
        <v>Published</v>
      </c>
      <c r="O1970" s="1">
        <f t="shared" si="151"/>
        <v>141.50399999999999</v>
      </c>
      <c r="P1970" s="1">
        <v>13</v>
      </c>
      <c r="Q1970" s="1">
        <v>940</v>
      </c>
      <c r="R1970" s="1" t="str">
        <f t="shared" si="154"/>
        <v>2</v>
      </c>
      <c r="S1970" s="1">
        <v>120</v>
      </c>
      <c r="T1970" s="1" t="str">
        <f t="shared" si="152"/>
        <v>3</v>
      </c>
      <c r="U1970" s="1">
        <v>-28.195651000000002</v>
      </c>
      <c r="V1970" s="3">
        <v>153.54101199999999</v>
      </c>
    </row>
    <row r="1971" spans="1:22" x14ac:dyDescent="0.35">
      <c r="A1971" s="22" t="s">
        <v>5528</v>
      </c>
      <c r="B1971" s="1" t="s">
        <v>5529</v>
      </c>
      <c r="C1971" s="1" t="s">
        <v>5061</v>
      </c>
      <c r="D1971" s="1" t="s">
        <v>275</v>
      </c>
      <c r="E1971" s="1" t="s">
        <v>276</v>
      </c>
      <c r="F1971" s="1" t="s">
        <v>57</v>
      </c>
      <c r="G1971" s="1">
        <f t="shared" si="150"/>
        <v>2</v>
      </c>
      <c r="H1971" s="1" t="s">
        <v>58</v>
      </c>
      <c r="I1971" s="1" t="s">
        <v>4583</v>
      </c>
      <c r="J1971" s="23" t="s">
        <v>50</v>
      </c>
      <c r="K1971" s="2" t="s">
        <v>51</v>
      </c>
      <c r="L1971" s="1">
        <v>308.60000000000002</v>
      </c>
      <c r="M1971" s="1">
        <v>19</v>
      </c>
      <c r="N1971" s="1" t="str">
        <f t="shared" si="153"/>
        <v>Published</v>
      </c>
      <c r="O1971" s="1">
        <f t="shared" si="151"/>
        <v>58.634000000000007</v>
      </c>
      <c r="P1971" s="1">
        <v>2</v>
      </c>
      <c r="Q1971" s="1">
        <v>950</v>
      </c>
      <c r="R1971" s="1" t="str">
        <f t="shared" si="154"/>
        <v>2</v>
      </c>
      <c r="S1971" s="1">
        <v>116</v>
      </c>
      <c r="T1971" s="1" t="str">
        <f t="shared" si="152"/>
        <v>3</v>
      </c>
      <c r="U1971" s="1">
        <v>-32.016660999999999</v>
      </c>
      <c r="V1971" s="3">
        <v>151.95955599999999</v>
      </c>
    </row>
    <row r="1972" spans="1:22" x14ac:dyDescent="0.35">
      <c r="A1972" s="22" t="s">
        <v>5530</v>
      </c>
      <c r="B1972" s="1" t="s">
        <v>5531</v>
      </c>
      <c r="C1972" s="1" t="s">
        <v>5532</v>
      </c>
      <c r="D1972" s="1" t="s">
        <v>203</v>
      </c>
      <c r="E1972" s="1" t="s">
        <v>204</v>
      </c>
      <c r="F1972" s="1" t="s">
        <v>47</v>
      </c>
      <c r="G1972" s="1">
        <f t="shared" si="150"/>
        <v>1</v>
      </c>
      <c r="H1972" s="1" t="s">
        <v>148</v>
      </c>
      <c r="I1972" s="1" t="s">
        <v>4583</v>
      </c>
      <c r="J1972" s="23" t="s">
        <v>50</v>
      </c>
      <c r="K1972" s="2" t="s">
        <v>51</v>
      </c>
      <c r="L1972" s="1">
        <v>767.8</v>
      </c>
      <c r="M1972" s="1">
        <v>3</v>
      </c>
      <c r="N1972" s="1" t="str">
        <f t="shared" si="153"/>
        <v>Published</v>
      </c>
      <c r="O1972" s="1">
        <f t="shared" si="151"/>
        <v>23.033999999999999</v>
      </c>
      <c r="P1972" s="1">
        <v>33</v>
      </c>
      <c r="Q1972" s="1">
        <v>1062</v>
      </c>
      <c r="R1972" s="1" t="str">
        <f t="shared" si="154"/>
        <v>3</v>
      </c>
      <c r="S1972" s="1">
        <v>58</v>
      </c>
      <c r="T1972" s="1" t="str">
        <f t="shared" si="152"/>
        <v>4</v>
      </c>
      <c r="U1972" s="1">
        <v>-33.756509999999999</v>
      </c>
      <c r="V1972" s="3">
        <v>151.24444</v>
      </c>
    </row>
    <row r="1973" spans="1:22" x14ac:dyDescent="0.35">
      <c r="A1973" s="22" t="s">
        <v>5533</v>
      </c>
      <c r="B1973" s="1" t="s">
        <v>5534</v>
      </c>
      <c r="C1973" s="1" t="s">
        <v>2333</v>
      </c>
      <c r="D1973" s="1" t="s">
        <v>176</v>
      </c>
      <c r="E1973" s="1" t="s">
        <v>85</v>
      </c>
      <c r="F1973" s="1" t="s">
        <v>47</v>
      </c>
      <c r="G1973" s="1">
        <f t="shared" si="150"/>
        <v>1</v>
      </c>
      <c r="H1973" s="1" t="s">
        <v>86</v>
      </c>
      <c r="I1973" s="1" t="s">
        <v>4583</v>
      </c>
      <c r="J1973" s="23" t="s">
        <v>50</v>
      </c>
      <c r="K1973" s="2" t="s">
        <v>51</v>
      </c>
      <c r="L1973" s="1">
        <v>271.60000000000002</v>
      </c>
      <c r="M1973" s="1">
        <v>6</v>
      </c>
      <c r="N1973" s="1" t="str">
        <f t="shared" si="153"/>
        <v>Published</v>
      </c>
      <c r="O1973" s="1">
        <f t="shared" si="151"/>
        <v>16.295999999999999</v>
      </c>
      <c r="P1973" s="1">
        <v>12</v>
      </c>
      <c r="Q1973" s="1">
        <v>983</v>
      </c>
      <c r="R1973" s="1" t="str">
        <f t="shared" si="154"/>
        <v>2</v>
      </c>
      <c r="S1973" s="1">
        <v>107</v>
      </c>
      <c r="T1973" s="1" t="str">
        <f t="shared" si="152"/>
        <v>2</v>
      </c>
      <c r="U1973" s="1">
        <v>-34.489274000000002</v>
      </c>
      <c r="V1973" s="3">
        <v>150.91354100000001</v>
      </c>
    </row>
    <row r="1974" spans="1:22" x14ac:dyDescent="0.35">
      <c r="A1974" s="22" t="s">
        <v>5535</v>
      </c>
      <c r="B1974" s="1" t="s">
        <v>5536</v>
      </c>
      <c r="C1974" s="1" t="s">
        <v>5537</v>
      </c>
      <c r="D1974" s="1" t="s">
        <v>186</v>
      </c>
      <c r="E1974" s="1" t="s">
        <v>187</v>
      </c>
      <c r="F1974" s="1" t="s">
        <v>47</v>
      </c>
      <c r="G1974" s="1">
        <f t="shared" si="150"/>
        <v>1</v>
      </c>
      <c r="H1974" s="1" t="s">
        <v>63</v>
      </c>
      <c r="I1974" s="1" t="s">
        <v>4583</v>
      </c>
      <c r="J1974" s="23" t="s">
        <v>50</v>
      </c>
      <c r="K1974" s="2" t="s">
        <v>51</v>
      </c>
      <c r="L1974" s="1">
        <v>639.4</v>
      </c>
      <c r="M1974" s="1">
        <v>12</v>
      </c>
      <c r="N1974" s="1" t="str">
        <f t="shared" si="153"/>
        <v>Published</v>
      </c>
      <c r="O1974" s="1">
        <f t="shared" si="151"/>
        <v>76.727999999999994</v>
      </c>
      <c r="P1974" s="1">
        <v>13</v>
      </c>
      <c r="Q1974" s="1">
        <v>974</v>
      </c>
      <c r="R1974" s="1" t="str">
        <f t="shared" si="154"/>
        <v>2</v>
      </c>
      <c r="S1974" s="1">
        <v>115</v>
      </c>
      <c r="T1974" s="1" t="str">
        <f t="shared" si="152"/>
        <v>4</v>
      </c>
      <c r="U1974" s="1">
        <v>-33.492686999999997</v>
      </c>
      <c r="V1974" s="3">
        <v>151.32358199999999</v>
      </c>
    </row>
    <row r="1975" spans="1:22" x14ac:dyDescent="0.35">
      <c r="A1975" s="22" t="s">
        <v>5538</v>
      </c>
      <c r="B1975" s="1" t="s">
        <v>5539</v>
      </c>
      <c r="C1975" s="1" t="s">
        <v>5540</v>
      </c>
      <c r="D1975" s="1" t="s">
        <v>152</v>
      </c>
      <c r="E1975" s="1" t="s">
        <v>229</v>
      </c>
      <c r="F1975" s="1" t="s">
        <v>47</v>
      </c>
      <c r="G1975" s="1">
        <f t="shared" si="150"/>
        <v>1</v>
      </c>
      <c r="H1975" s="1" t="s">
        <v>182</v>
      </c>
      <c r="I1975" s="1" t="s">
        <v>4583</v>
      </c>
      <c r="J1975" s="23" t="s">
        <v>50</v>
      </c>
      <c r="K1975" s="2" t="s">
        <v>51</v>
      </c>
      <c r="L1975" s="1">
        <v>865</v>
      </c>
      <c r="M1975" s="1">
        <v>5</v>
      </c>
      <c r="N1975" s="1" t="str">
        <f t="shared" si="153"/>
        <v>Published</v>
      </c>
      <c r="O1975" s="1">
        <f t="shared" si="151"/>
        <v>43.25</v>
      </c>
      <c r="P1975" s="1">
        <v>37</v>
      </c>
      <c r="Q1975" s="1">
        <v>1018</v>
      </c>
      <c r="R1975" s="1" t="str">
        <f t="shared" si="154"/>
        <v>3</v>
      </c>
      <c r="S1975" s="1">
        <v>90</v>
      </c>
      <c r="T1975" s="1" t="str">
        <f t="shared" si="152"/>
        <v>4</v>
      </c>
      <c r="U1975" s="1">
        <v>-33.964343999999997</v>
      </c>
      <c r="V1975" s="3">
        <v>151.01145700000001</v>
      </c>
    </row>
    <row r="1976" spans="1:22" x14ac:dyDescent="0.35">
      <c r="A1976" s="22" t="s">
        <v>5541</v>
      </c>
      <c r="B1976" s="1" t="s">
        <v>5542</v>
      </c>
      <c r="C1976" s="1" t="s">
        <v>1986</v>
      </c>
      <c r="D1976" s="1" t="s">
        <v>203</v>
      </c>
      <c r="E1976" s="1" t="s">
        <v>204</v>
      </c>
      <c r="F1976" s="1" t="s">
        <v>47</v>
      </c>
      <c r="G1976" s="1">
        <f t="shared" si="150"/>
        <v>1</v>
      </c>
      <c r="H1976" s="1" t="s">
        <v>148</v>
      </c>
      <c r="I1976" s="1" t="s">
        <v>4583</v>
      </c>
      <c r="J1976" s="23" t="s">
        <v>50</v>
      </c>
      <c r="K1976" s="2" t="s">
        <v>51</v>
      </c>
      <c r="L1976" s="1">
        <v>875.6</v>
      </c>
      <c r="M1976" s="1">
        <v>1</v>
      </c>
      <c r="N1976" s="1" t="str">
        <f t="shared" si="153"/>
        <v>Published</v>
      </c>
      <c r="O1976" s="1">
        <f t="shared" si="151"/>
        <v>8.7560000000000002</v>
      </c>
      <c r="P1976" s="1">
        <v>20</v>
      </c>
      <c r="Q1976" s="1">
        <v>1071</v>
      </c>
      <c r="R1976" s="1" t="str">
        <f t="shared" si="154"/>
        <v>3</v>
      </c>
      <c r="S1976" s="1">
        <v>54</v>
      </c>
      <c r="T1976" s="1" t="str">
        <f t="shared" si="152"/>
        <v>4</v>
      </c>
      <c r="U1976" s="1">
        <v>-33.668258999999999</v>
      </c>
      <c r="V1976" s="3">
        <v>151.30266399999999</v>
      </c>
    </row>
    <row r="1977" spans="1:22" x14ac:dyDescent="0.35">
      <c r="A1977" s="22" t="s">
        <v>5543</v>
      </c>
      <c r="B1977" s="1" t="s">
        <v>5544</v>
      </c>
      <c r="C1977" s="1" t="s">
        <v>232</v>
      </c>
      <c r="D1977" s="1" t="s">
        <v>152</v>
      </c>
      <c r="E1977" s="1" t="s">
        <v>229</v>
      </c>
      <c r="F1977" s="1" t="s">
        <v>47</v>
      </c>
      <c r="G1977" s="1">
        <f t="shared" si="150"/>
        <v>1</v>
      </c>
      <c r="H1977" s="1" t="s">
        <v>182</v>
      </c>
      <c r="I1977" s="1" t="s">
        <v>4583</v>
      </c>
      <c r="J1977" s="23" t="s">
        <v>50</v>
      </c>
      <c r="K1977" s="2" t="s">
        <v>51</v>
      </c>
      <c r="L1977" s="1">
        <v>544.4</v>
      </c>
      <c r="M1977" s="1">
        <v>0</v>
      </c>
      <c r="N1977" s="1" t="str">
        <f t="shared" si="153"/>
        <v>Published</v>
      </c>
      <c r="O1977" s="1">
        <f t="shared" si="151"/>
        <v>0</v>
      </c>
      <c r="P1977" s="1">
        <v>100</v>
      </c>
      <c r="Q1977" s="1">
        <v>847</v>
      </c>
      <c r="R1977" s="1" t="str">
        <f t="shared" si="154"/>
        <v>1</v>
      </c>
      <c r="S1977" s="1">
        <v>250</v>
      </c>
      <c r="T1977" s="1" t="str">
        <f t="shared" si="152"/>
        <v>3</v>
      </c>
      <c r="U1977" s="1">
        <v>-33.929121000000002</v>
      </c>
      <c r="V1977" s="3">
        <v>151.022569</v>
      </c>
    </row>
    <row r="1978" spans="1:22" x14ac:dyDescent="0.35">
      <c r="A1978" s="22" t="s">
        <v>5545</v>
      </c>
      <c r="B1978" s="1" t="s">
        <v>5546</v>
      </c>
      <c r="C1978" s="1" t="s">
        <v>760</v>
      </c>
      <c r="D1978" s="1" t="s">
        <v>761</v>
      </c>
      <c r="E1978" s="1" t="s">
        <v>127</v>
      </c>
      <c r="F1978" s="1" t="s">
        <v>47</v>
      </c>
      <c r="G1978" s="1">
        <f t="shared" si="150"/>
        <v>1</v>
      </c>
      <c r="H1978" s="1" t="s">
        <v>148</v>
      </c>
      <c r="I1978" s="1" t="s">
        <v>4583</v>
      </c>
      <c r="J1978" s="23" t="s">
        <v>50</v>
      </c>
      <c r="K1978" s="2" t="s">
        <v>51</v>
      </c>
      <c r="L1978" s="1">
        <v>1842</v>
      </c>
      <c r="M1978" s="1">
        <v>0</v>
      </c>
      <c r="N1978" s="1" t="str">
        <f t="shared" si="153"/>
        <v>Published</v>
      </c>
      <c r="O1978" s="1">
        <f t="shared" si="151"/>
        <v>0</v>
      </c>
      <c r="P1978" s="1">
        <v>68</v>
      </c>
      <c r="Q1978" s="1">
        <v>1121</v>
      </c>
      <c r="R1978" s="1" t="str">
        <f t="shared" si="154"/>
        <v>4</v>
      </c>
      <c r="S1978" s="1">
        <v>21</v>
      </c>
      <c r="T1978" s="1" t="str">
        <f t="shared" si="152"/>
        <v>5</v>
      </c>
      <c r="U1978" s="1">
        <v>-33.726635000000002</v>
      </c>
      <c r="V1978" s="3">
        <v>150.99953400000001</v>
      </c>
    </row>
    <row r="1979" spans="1:22" x14ac:dyDescent="0.35">
      <c r="A1979" s="22" t="s">
        <v>5547</v>
      </c>
      <c r="B1979" s="1" t="s">
        <v>5548</v>
      </c>
      <c r="C1979" s="1" t="s">
        <v>1130</v>
      </c>
      <c r="D1979" s="1" t="s">
        <v>1131</v>
      </c>
      <c r="E1979" s="1" t="s">
        <v>429</v>
      </c>
      <c r="F1979" s="1" t="s">
        <v>47</v>
      </c>
      <c r="G1979" s="1">
        <f t="shared" si="150"/>
        <v>1</v>
      </c>
      <c r="H1979" s="1" t="s">
        <v>182</v>
      </c>
      <c r="I1979" s="1" t="s">
        <v>4583</v>
      </c>
      <c r="J1979" s="23" t="s">
        <v>50</v>
      </c>
      <c r="K1979" s="2" t="s">
        <v>51</v>
      </c>
      <c r="L1979" s="1">
        <v>802</v>
      </c>
      <c r="M1979" s="1">
        <v>10</v>
      </c>
      <c r="N1979" s="1" t="str">
        <f t="shared" si="153"/>
        <v>Published</v>
      </c>
      <c r="O1979" s="1">
        <f t="shared" si="151"/>
        <v>80.2</v>
      </c>
      <c r="P1979" s="1">
        <v>14</v>
      </c>
      <c r="Q1979" s="1">
        <v>994</v>
      </c>
      <c r="R1979" s="1" t="str">
        <f t="shared" si="154"/>
        <v>2</v>
      </c>
      <c r="S1979" s="1">
        <v>99</v>
      </c>
      <c r="T1979" s="1" t="str">
        <f t="shared" si="152"/>
        <v>4</v>
      </c>
      <c r="U1979" s="1">
        <v>-33.747745000000002</v>
      </c>
      <c r="V1979" s="3">
        <v>150.668882</v>
      </c>
    </row>
    <row r="1980" spans="1:22" x14ac:dyDescent="0.35">
      <c r="A1980" s="22" t="s">
        <v>5549</v>
      </c>
      <c r="B1980" s="1" t="s">
        <v>5550</v>
      </c>
      <c r="C1980" s="1" t="s">
        <v>5551</v>
      </c>
      <c r="D1980" s="1" t="s">
        <v>537</v>
      </c>
      <c r="E1980" s="1" t="s">
        <v>181</v>
      </c>
      <c r="F1980" s="1" t="s">
        <v>47</v>
      </c>
      <c r="G1980" s="1">
        <f t="shared" si="150"/>
        <v>1</v>
      </c>
      <c r="H1980" s="1" t="s">
        <v>182</v>
      </c>
      <c r="I1980" s="1" t="s">
        <v>4583</v>
      </c>
      <c r="J1980" s="23" t="s">
        <v>50</v>
      </c>
      <c r="K1980" s="2" t="s">
        <v>51</v>
      </c>
      <c r="L1980" s="1">
        <v>1537.8</v>
      </c>
      <c r="M1980" s="1">
        <v>4</v>
      </c>
      <c r="N1980" s="1" t="str">
        <f t="shared" si="153"/>
        <v>Published</v>
      </c>
      <c r="O1980" s="1">
        <f t="shared" si="151"/>
        <v>61.512</v>
      </c>
      <c r="P1980" s="1">
        <v>64</v>
      </c>
      <c r="Q1980" s="1">
        <v>967</v>
      </c>
      <c r="R1980" s="1" t="str">
        <f t="shared" si="154"/>
        <v>2</v>
      </c>
      <c r="S1980" s="1">
        <v>128</v>
      </c>
      <c r="T1980" s="1" t="str">
        <f t="shared" si="152"/>
        <v>5</v>
      </c>
      <c r="U1980" s="1">
        <v>-33.866933000000003</v>
      </c>
      <c r="V1980" s="3">
        <v>150.92043200000001</v>
      </c>
    </row>
    <row r="1981" spans="1:22" x14ac:dyDescent="0.35">
      <c r="A1981" s="22" t="s">
        <v>5552</v>
      </c>
      <c r="B1981" s="1" t="s">
        <v>5553</v>
      </c>
      <c r="C1981" s="1" t="s">
        <v>1388</v>
      </c>
      <c r="D1981" s="1" t="s">
        <v>169</v>
      </c>
      <c r="E1981" s="1" t="s">
        <v>170</v>
      </c>
      <c r="F1981" s="1" t="s">
        <v>47</v>
      </c>
      <c r="G1981" s="1">
        <f t="shared" si="150"/>
        <v>1</v>
      </c>
      <c r="H1981" s="1" t="s">
        <v>48</v>
      </c>
      <c r="I1981" s="1" t="s">
        <v>4583</v>
      </c>
      <c r="J1981" s="23" t="s">
        <v>50</v>
      </c>
      <c r="K1981" s="2" t="s">
        <v>51</v>
      </c>
      <c r="L1981" s="1">
        <v>1090</v>
      </c>
      <c r="M1981" s="1">
        <v>3</v>
      </c>
      <c r="N1981" s="1" t="str">
        <f t="shared" si="153"/>
        <v>Published</v>
      </c>
      <c r="O1981" s="1">
        <f t="shared" si="151"/>
        <v>32.699999999999996</v>
      </c>
      <c r="P1981" s="1">
        <v>62</v>
      </c>
      <c r="Q1981" s="1">
        <v>1003</v>
      </c>
      <c r="R1981" s="1" t="str">
        <f t="shared" si="154"/>
        <v>3</v>
      </c>
      <c r="S1981" s="1">
        <v>103</v>
      </c>
      <c r="T1981" s="1" t="str">
        <f t="shared" si="152"/>
        <v>5</v>
      </c>
      <c r="U1981" s="1">
        <v>-33.812494999999998</v>
      </c>
      <c r="V1981" s="3">
        <v>150.94035199999999</v>
      </c>
    </row>
    <row r="1982" spans="1:22" x14ac:dyDescent="0.35">
      <c r="A1982" s="22" t="s">
        <v>5554</v>
      </c>
      <c r="B1982" s="1" t="s">
        <v>5555</v>
      </c>
      <c r="C1982" s="1" t="s">
        <v>3972</v>
      </c>
      <c r="D1982" s="1" t="s">
        <v>737</v>
      </c>
      <c r="E1982" s="1" t="s">
        <v>738</v>
      </c>
      <c r="F1982" s="1" t="s">
        <v>47</v>
      </c>
      <c r="G1982" s="1">
        <f t="shared" si="150"/>
        <v>1</v>
      </c>
      <c r="H1982" s="1" t="s">
        <v>182</v>
      </c>
      <c r="I1982" s="1" t="s">
        <v>4583</v>
      </c>
      <c r="J1982" s="23" t="s">
        <v>50</v>
      </c>
      <c r="K1982" s="2" t="s">
        <v>51</v>
      </c>
      <c r="L1982" s="1">
        <v>552.79999999999995</v>
      </c>
      <c r="M1982" s="1">
        <v>4</v>
      </c>
      <c r="N1982" s="1" t="str">
        <f t="shared" si="153"/>
        <v>Published</v>
      </c>
      <c r="O1982" s="1">
        <f t="shared" si="151"/>
        <v>22.111999999999998</v>
      </c>
      <c r="P1982" s="1">
        <v>31</v>
      </c>
      <c r="Q1982" s="1">
        <v>1048</v>
      </c>
      <c r="R1982" s="1" t="str">
        <f t="shared" si="154"/>
        <v>3</v>
      </c>
      <c r="S1982" s="1">
        <v>66</v>
      </c>
      <c r="T1982" s="1" t="str">
        <f t="shared" si="152"/>
        <v>3</v>
      </c>
      <c r="U1982" s="1">
        <v>-34.029985000000003</v>
      </c>
      <c r="V1982" s="3">
        <v>151.08338000000001</v>
      </c>
    </row>
    <row r="1983" spans="1:22" x14ac:dyDescent="0.35">
      <c r="A1983" s="22" t="s">
        <v>5556</v>
      </c>
      <c r="B1983" s="1" t="s">
        <v>5557</v>
      </c>
      <c r="C1983" s="1" t="s">
        <v>2015</v>
      </c>
      <c r="D1983" s="1" t="s">
        <v>195</v>
      </c>
      <c r="E1983" s="1" t="s">
        <v>196</v>
      </c>
      <c r="F1983" s="1" t="s">
        <v>57</v>
      </c>
      <c r="G1983" s="1">
        <f t="shared" si="150"/>
        <v>2</v>
      </c>
      <c r="H1983" s="1" t="s">
        <v>86</v>
      </c>
      <c r="I1983" s="1" t="s">
        <v>4583</v>
      </c>
      <c r="J1983" s="23" t="s">
        <v>50</v>
      </c>
      <c r="K1983" s="2" t="s">
        <v>51</v>
      </c>
      <c r="L1983" s="1">
        <v>789.8</v>
      </c>
      <c r="M1983" s="1">
        <v>6</v>
      </c>
      <c r="N1983" s="1" t="str">
        <f t="shared" si="153"/>
        <v>Published</v>
      </c>
      <c r="O1983" s="1">
        <f t="shared" si="151"/>
        <v>47.387999999999998</v>
      </c>
      <c r="P1983" s="1">
        <v>13</v>
      </c>
      <c r="Q1983" s="1">
        <v>1015</v>
      </c>
      <c r="R1983" s="1" t="str">
        <f t="shared" si="154"/>
        <v>3</v>
      </c>
      <c r="S1983" s="1">
        <v>81</v>
      </c>
      <c r="T1983" s="1" t="str">
        <f t="shared" si="152"/>
        <v>4</v>
      </c>
      <c r="U1983" s="1">
        <v>-34.551482999999998</v>
      </c>
      <c r="V1983" s="3">
        <v>150.38529399999999</v>
      </c>
    </row>
    <row r="1984" spans="1:22" x14ac:dyDescent="0.35">
      <c r="A1984" s="22" t="s">
        <v>5558</v>
      </c>
      <c r="B1984" s="1" t="s">
        <v>5559</v>
      </c>
      <c r="C1984" s="1" t="s">
        <v>3932</v>
      </c>
      <c r="D1984" s="1" t="s">
        <v>191</v>
      </c>
      <c r="E1984" s="1" t="s">
        <v>75</v>
      </c>
      <c r="F1984" s="1" t="s">
        <v>47</v>
      </c>
      <c r="G1984" s="1">
        <f t="shared" si="150"/>
        <v>1</v>
      </c>
      <c r="H1984" s="1" t="s">
        <v>63</v>
      </c>
      <c r="I1984" s="1" t="s">
        <v>4583</v>
      </c>
      <c r="J1984" s="23" t="s">
        <v>50</v>
      </c>
      <c r="K1984" s="2" t="s">
        <v>51</v>
      </c>
      <c r="L1984" s="1">
        <v>710</v>
      </c>
      <c r="M1984" s="1">
        <v>16</v>
      </c>
      <c r="N1984" s="1" t="str">
        <f t="shared" si="153"/>
        <v>Published</v>
      </c>
      <c r="O1984" s="1">
        <f t="shared" si="151"/>
        <v>113.60000000000001</v>
      </c>
      <c r="P1984" s="1">
        <v>4</v>
      </c>
      <c r="Q1984" s="1">
        <v>972</v>
      </c>
      <c r="R1984" s="1" t="str">
        <f t="shared" si="154"/>
        <v>2</v>
      </c>
      <c r="S1984" s="1">
        <v>111</v>
      </c>
      <c r="T1984" s="1" t="str">
        <f t="shared" si="152"/>
        <v>4</v>
      </c>
      <c r="U1984" s="1">
        <v>-33.104232000000003</v>
      </c>
      <c r="V1984" s="3">
        <v>151.63982300000001</v>
      </c>
    </row>
    <row r="1985" spans="1:22" x14ac:dyDescent="0.35">
      <c r="A1985" s="22" t="s">
        <v>5560</v>
      </c>
      <c r="B1985" s="1" t="s">
        <v>5561</v>
      </c>
      <c r="C1985" s="1" t="s">
        <v>5562</v>
      </c>
      <c r="D1985" s="1" t="s">
        <v>191</v>
      </c>
      <c r="E1985" s="1" t="s">
        <v>75</v>
      </c>
      <c r="F1985" s="1" t="s">
        <v>47</v>
      </c>
      <c r="G1985" s="1">
        <f t="shared" si="150"/>
        <v>1</v>
      </c>
      <c r="H1985" s="1" t="s">
        <v>63</v>
      </c>
      <c r="I1985" s="1" t="s">
        <v>4583</v>
      </c>
      <c r="J1985" s="23" t="s">
        <v>50</v>
      </c>
      <c r="K1985" s="2" t="s">
        <v>51</v>
      </c>
      <c r="L1985" s="1">
        <v>907.8</v>
      </c>
      <c r="M1985" s="1">
        <v>11</v>
      </c>
      <c r="N1985" s="1" t="str">
        <f t="shared" si="153"/>
        <v>Published</v>
      </c>
      <c r="O1985" s="1">
        <f t="shared" si="151"/>
        <v>99.85799999999999</v>
      </c>
      <c r="P1985" s="1">
        <v>8</v>
      </c>
      <c r="Q1985" s="1">
        <v>1022</v>
      </c>
      <c r="R1985" s="1" t="str">
        <f t="shared" si="154"/>
        <v>3</v>
      </c>
      <c r="S1985" s="1">
        <v>79</v>
      </c>
      <c r="T1985" s="1" t="str">
        <f t="shared" si="152"/>
        <v>4</v>
      </c>
      <c r="U1985" s="1">
        <v>-32.972025000000002</v>
      </c>
      <c r="V1985" s="3">
        <v>151.712234</v>
      </c>
    </row>
    <row r="1986" spans="1:22" x14ac:dyDescent="0.35">
      <c r="A1986" s="22" t="s">
        <v>5563</v>
      </c>
      <c r="B1986" s="1" t="s">
        <v>5564</v>
      </c>
      <c r="C1986" s="1" t="s">
        <v>5565</v>
      </c>
      <c r="D1986" s="1" t="s">
        <v>275</v>
      </c>
      <c r="E1986" s="1" t="s">
        <v>276</v>
      </c>
      <c r="F1986" s="1" t="s">
        <v>57</v>
      </c>
      <c r="G1986" s="1">
        <f t="shared" ref="G1986:G2049" si="155">IF(F1986="Major Cities of Australia",1,IF(F1986="Inner Regional Australia",2,IF(F1986="Outer Regional Australia",3,IF(F1986="Remote Australia",4,IF(F1986="Very Remote Australia",5,6)))))</f>
        <v>2</v>
      </c>
      <c r="H1986" s="1" t="s">
        <v>58</v>
      </c>
      <c r="I1986" s="1" t="s">
        <v>4583</v>
      </c>
      <c r="J1986" s="23" t="s">
        <v>50</v>
      </c>
      <c r="K1986" s="2" t="s">
        <v>51</v>
      </c>
      <c r="L1986" s="1">
        <v>519.20000000000005</v>
      </c>
      <c r="M1986" s="1">
        <v>16</v>
      </c>
      <c r="N1986" s="1" t="str">
        <f t="shared" si="153"/>
        <v>Published</v>
      </c>
      <c r="O1986" s="1">
        <f t="shared" ref="O1986:O2049" si="156">IF(OR(M1986="",L1986=""),"",M1986/100*L1986)</f>
        <v>83.072000000000003</v>
      </c>
      <c r="P1986" s="1">
        <v>3</v>
      </c>
      <c r="Q1986" s="1">
        <v>932</v>
      </c>
      <c r="R1986" s="1" t="str">
        <f t="shared" si="154"/>
        <v>2</v>
      </c>
      <c r="S1986" s="1">
        <v>126</v>
      </c>
      <c r="T1986" s="1" t="str">
        <f t="shared" ref="T1986:T2049" si="157">IF(L1986="","No enrolment",IF(L1986&lt;100,"1",IF(L1986&lt;300,"2",IF(L1986&lt;600,"3",IF(L1986&lt;1000,"4","5")))))</f>
        <v>3</v>
      </c>
      <c r="U1986" s="1">
        <v>-31.867397</v>
      </c>
      <c r="V1986" s="3">
        <v>152.382261</v>
      </c>
    </row>
    <row r="1987" spans="1:22" x14ac:dyDescent="0.35">
      <c r="A1987" s="22" t="s">
        <v>5566</v>
      </c>
      <c r="B1987" s="1" t="s">
        <v>5567</v>
      </c>
      <c r="C1987" s="1" t="s">
        <v>3007</v>
      </c>
      <c r="D1987" s="1" t="s">
        <v>260</v>
      </c>
      <c r="E1987" s="1" t="s">
        <v>261</v>
      </c>
      <c r="F1987" s="1" t="s">
        <v>69</v>
      </c>
      <c r="G1987" s="1">
        <f t="shared" si="155"/>
        <v>3</v>
      </c>
      <c r="H1987" s="1" t="s">
        <v>70</v>
      </c>
      <c r="I1987" s="1" t="s">
        <v>4583</v>
      </c>
      <c r="J1987" s="23" t="s">
        <v>50</v>
      </c>
      <c r="K1987" s="2" t="s">
        <v>51</v>
      </c>
      <c r="L1987" s="1">
        <v>263</v>
      </c>
      <c r="M1987" s="1">
        <v>22</v>
      </c>
      <c r="N1987" s="1" t="str">
        <f t="shared" ref="N1987:N2050" si="158">IF(M1987="","Suppressed","Published")</f>
        <v>Published</v>
      </c>
      <c r="O1987" s="1">
        <f t="shared" si="156"/>
        <v>57.86</v>
      </c>
      <c r="P1987" s="1">
        <v>4</v>
      </c>
      <c r="Q1987" s="1">
        <v>926</v>
      </c>
      <c r="R1987" s="1" t="str">
        <f t="shared" ref="R1987:R2050" si="159">IF(Q1987="","No ICSEA",IF(Q1987&lt;900,"1",IF(Q1987&lt;1000,"2",IF(Q1987&lt;1100,"3","4"))))</f>
        <v>2</v>
      </c>
      <c r="S1987" s="1">
        <v>116</v>
      </c>
      <c r="T1987" s="1" t="str">
        <f t="shared" si="157"/>
        <v>2</v>
      </c>
      <c r="U1987" s="1">
        <v>-33.915793000000001</v>
      </c>
      <c r="V1987" s="3">
        <v>147.20201399999999</v>
      </c>
    </row>
    <row r="1988" spans="1:22" x14ac:dyDescent="0.35">
      <c r="A1988" s="22" t="s">
        <v>5568</v>
      </c>
      <c r="B1988" s="1" t="s">
        <v>5569</v>
      </c>
      <c r="C1988" s="1" t="s">
        <v>700</v>
      </c>
      <c r="D1988" s="1" t="s">
        <v>537</v>
      </c>
      <c r="E1988" s="1" t="s">
        <v>181</v>
      </c>
      <c r="F1988" s="1" t="s">
        <v>47</v>
      </c>
      <c r="G1988" s="1">
        <f t="shared" si="155"/>
        <v>1</v>
      </c>
      <c r="H1988" s="1" t="s">
        <v>182</v>
      </c>
      <c r="I1988" s="1" t="s">
        <v>4583</v>
      </c>
      <c r="J1988" s="23" t="s">
        <v>50</v>
      </c>
      <c r="K1988" s="2" t="s">
        <v>51</v>
      </c>
      <c r="L1988" s="1">
        <v>1651</v>
      </c>
      <c r="M1988" s="1"/>
      <c r="N1988" s="1" t="str">
        <f t="shared" si="158"/>
        <v>Suppressed</v>
      </c>
      <c r="O1988" s="1" t="str">
        <f t="shared" si="156"/>
        <v/>
      </c>
      <c r="P1988" s="1">
        <v>96</v>
      </c>
      <c r="Q1988" s="1">
        <v>954</v>
      </c>
      <c r="R1988" s="1" t="str">
        <f t="shared" si="159"/>
        <v>2</v>
      </c>
      <c r="S1988" s="1">
        <v>139</v>
      </c>
      <c r="T1988" s="1" t="str">
        <f t="shared" si="157"/>
        <v>5</v>
      </c>
      <c r="U1988" s="1">
        <v>-33.884644000000002</v>
      </c>
      <c r="V1988" s="3">
        <v>150.95165800000001</v>
      </c>
    </row>
    <row r="1989" spans="1:22" x14ac:dyDescent="0.35">
      <c r="A1989" s="22" t="s">
        <v>5570</v>
      </c>
      <c r="B1989" s="1" t="s">
        <v>5571</v>
      </c>
      <c r="C1989" s="1" t="s">
        <v>5572</v>
      </c>
      <c r="D1989" s="1" t="s">
        <v>180</v>
      </c>
      <c r="E1989" s="1" t="s">
        <v>181</v>
      </c>
      <c r="F1989" s="1" t="s">
        <v>47</v>
      </c>
      <c r="G1989" s="1">
        <f t="shared" si="155"/>
        <v>1</v>
      </c>
      <c r="H1989" s="1" t="s">
        <v>182</v>
      </c>
      <c r="I1989" s="1" t="s">
        <v>4583</v>
      </c>
      <c r="J1989" s="23" t="s">
        <v>50</v>
      </c>
      <c r="K1989" s="2" t="s">
        <v>51</v>
      </c>
      <c r="L1989" s="1">
        <v>816</v>
      </c>
      <c r="M1989" s="1">
        <v>9</v>
      </c>
      <c r="N1989" s="1" t="str">
        <f t="shared" si="158"/>
        <v>Published</v>
      </c>
      <c r="O1989" s="1">
        <f t="shared" si="156"/>
        <v>73.44</v>
      </c>
      <c r="P1989" s="1">
        <v>83</v>
      </c>
      <c r="Q1989" s="1">
        <v>878</v>
      </c>
      <c r="R1989" s="1" t="str">
        <f t="shared" si="159"/>
        <v>1</v>
      </c>
      <c r="S1989" s="1">
        <v>186</v>
      </c>
      <c r="T1989" s="1" t="str">
        <f t="shared" si="157"/>
        <v>4</v>
      </c>
      <c r="U1989" s="1">
        <v>-33.923589</v>
      </c>
      <c r="V1989" s="3">
        <v>150.88113899999999</v>
      </c>
    </row>
    <row r="1990" spans="1:22" x14ac:dyDescent="0.35">
      <c r="A1990" s="22" t="s">
        <v>5573</v>
      </c>
      <c r="B1990" s="1" t="s">
        <v>5574</v>
      </c>
      <c r="C1990" s="1" t="s">
        <v>3426</v>
      </c>
      <c r="D1990" s="1" t="s">
        <v>642</v>
      </c>
      <c r="E1990" s="1" t="s">
        <v>170</v>
      </c>
      <c r="F1990" s="1" t="s">
        <v>47</v>
      </c>
      <c r="G1990" s="1">
        <f t="shared" si="155"/>
        <v>1</v>
      </c>
      <c r="H1990" s="1" t="s">
        <v>48</v>
      </c>
      <c r="I1990" s="1" t="s">
        <v>4583</v>
      </c>
      <c r="J1990" s="23" t="s">
        <v>50</v>
      </c>
      <c r="K1990" s="2" t="s">
        <v>51</v>
      </c>
      <c r="L1990" s="1">
        <v>692</v>
      </c>
      <c r="M1990" s="1">
        <v>5</v>
      </c>
      <c r="N1990" s="1" t="str">
        <f t="shared" si="158"/>
        <v>Published</v>
      </c>
      <c r="O1990" s="1">
        <f t="shared" si="156"/>
        <v>34.6</v>
      </c>
      <c r="P1990" s="1">
        <v>71</v>
      </c>
      <c r="Q1990" s="1">
        <v>1001</v>
      </c>
      <c r="R1990" s="1" t="str">
        <f t="shared" si="159"/>
        <v>3</v>
      </c>
      <c r="S1990" s="1">
        <v>96</v>
      </c>
      <c r="T1990" s="1" t="str">
        <f t="shared" si="157"/>
        <v>4</v>
      </c>
      <c r="U1990" s="1">
        <v>-33.793877000000002</v>
      </c>
      <c r="V1990" s="3">
        <v>150.96219400000001</v>
      </c>
    </row>
    <row r="1991" spans="1:22" x14ac:dyDescent="0.35">
      <c r="A1991" s="22" t="s">
        <v>5575</v>
      </c>
      <c r="B1991" s="1" t="s">
        <v>5576</v>
      </c>
      <c r="C1991" s="1" t="s">
        <v>5577</v>
      </c>
      <c r="D1991" s="1" t="s">
        <v>404</v>
      </c>
      <c r="E1991" s="1" t="s">
        <v>127</v>
      </c>
      <c r="F1991" s="1" t="s">
        <v>47</v>
      </c>
      <c r="G1991" s="1">
        <f t="shared" si="155"/>
        <v>1</v>
      </c>
      <c r="H1991" s="1" t="s">
        <v>63</v>
      </c>
      <c r="I1991" s="1" t="s">
        <v>4583</v>
      </c>
      <c r="J1991" s="23" t="s">
        <v>50</v>
      </c>
      <c r="K1991" s="2" t="s">
        <v>51</v>
      </c>
      <c r="L1991" s="1">
        <v>640.6</v>
      </c>
      <c r="M1991" s="1">
        <v>21</v>
      </c>
      <c r="N1991" s="1" t="str">
        <f t="shared" si="158"/>
        <v>Published</v>
      </c>
      <c r="O1991" s="1">
        <f t="shared" si="156"/>
        <v>134.52600000000001</v>
      </c>
      <c r="P1991" s="1">
        <v>13</v>
      </c>
      <c r="Q1991" s="1">
        <v>923</v>
      </c>
      <c r="R1991" s="1" t="str">
        <f t="shared" si="159"/>
        <v>2</v>
      </c>
      <c r="S1991" s="1">
        <v>132</v>
      </c>
      <c r="T1991" s="1" t="str">
        <f t="shared" si="157"/>
        <v>4</v>
      </c>
      <c r="U1991" s="1">
        <v>-33.618653000000002</v>
      </c>
      <c r="V1991" s="3">
        <v>150.83355399999999</v>
      </c>
    </row>
    <row r="1992" spans="1:22" x14ac:dyDescent="0.35">
      <c r="A1992" s="22" t="s">
        <v>5578</v>
      </c>
      <c r="B1992" s="1" t="s">
        <v>5579</v>
      </c>
      <c r="C1992" s="1" t="s">
        <v>3902</v>
      </c>
      <c r="D1992" s="1" t="s">
        <v>180</v>
      </c>
      <c r="E1992" s="1" t="s">
        <v>181</v>
      </c>
      <c r="F1992" s="1" t="s">
        <v>47</v>
      </c>
      <c r="G1992" s="1">
        <f t="shared" si="155"/>
        <v>1</v>
      </c>
      <c r="H1992" s="1" t="s">
        <v>182</v>
      </c>
      <c r="I1992" s="1" t="s">
        <v>4583</v>
      </c>
      <c r="J1992" s="23" t="s">
        <v>50</v>
      </c>
      <c r="K1992" s="2" t="s">
        <v>51</v>
      </c>
      <c r="L1992" s="1">
        <v>701</v>
      </c>
      <c r="M1992" s="1">
        <v>16</v>
      </c>
      <c r="N1992" s="1" t="str">
        <f t="shared" si="158"/>
        <v>Published</v>
      </c>
      <c r="O1992" s="1">
        <f t="shared" si="156"/>
        <v>112.16</v>
      </c>
      <c r="P1992" s="1">
        <v>69</v>
      </c>
      <c r="Q1992" s="1">
        <v>877</v>
      </c>
      <c r="R1992" s="1" t="str">
        <f t="shared" si="159"/>
        <v>1</v>
      </c>
      <c r="S1992" s="1">
        <v>177</v>
      </c>
      <c r="T1992" s="1" t="str">
        <f t="shared" si="157"/>
        <v>4</v>
      </c>
      <c r="U1992" s="1">
        <v>-33.920414000000001</v>
      </c>
      <c r="V1992" s="3">
        <v>150.89727199999999</v>
      </c>
    </row>
    <row r="1993" spans="1:22" x14ac:dyDescent="0.35">
      <c r="A1993" s="22" t="s">
        <v>5580</v>
      </c>
      <c r="B1993" s="1" t="s">
        <v>5581</v>
      </c>
      <c r="C1993" s="1" t="s">
        <v>5582</v>
      </c>
      <c r="D1993" s="1" t="s">
        <v>152</v>
      </c>
      <c r="E1993" s="1" t="s">
        <v>229</v>
      </c>
      <c r="F1993" s="1" t="s">
        <v>47</v>
      </c>
      <c r="G1993" s="1">
        <f t="shared" si="155"/>
        <v>1</v>
      </c>
      <c r="H1993" s="1" t="s">
        <v>182</v>
      </c>
      <c r="I1993" s="1" t="s">
        <v>4583</v>
      </c>
      <c r="J1993" s="23" t="s">
        <v>50</v>
      </c>
      <c r="K1993" s="2" t="s">
        <v>51</v>
      </c>
      <c r="L1993" s="1">
        <v>876</v>
      </c>
      <c r="M1993" s="1"/>
      <c r="N1993" s="1" t="str">
        <f t="shared" si="158"/>
        <v>Suppressed</v>
      </c>
      <c r="O1993" s="1" t="str">
        <f t="shared" si="156"/>
        <v/>
      </c>
      <c r="P1993" s="1">
        <v>92</v>
      </c>
      <c r="Q1993" s="1">
        <v>936</v>
      </c>
      <c r="R1993" s="1" t="str">
        <f t="shared" si="159"/>
        <v>2</v>
      </c>
      <c r="S1993" s="1">
        <v>157</v>
      </c>
      <c r="T1993" s="1" t="str">
        <f t="shared" si="157"/>
        <v>4</v>
      </c>
      <c r="U1993" s="1">
        <v>-33.923578999999997</v>
      </c>
      <c r="V1993" s="3">
        <v>151.001755</v>
      </c>
    </row>
    <row r="1994" spans="1:22" x14ac:dyDescent="0.35">
      <c r="A1994" s="22" t="s">
        <v>5583</v>
      </c>
      <c r="B1994" s="1" t="s">
        <v>5584</v>
      </c>
      <c r="C1994" s="1" t="s">
        <v>4214</v>
      </c>
      <c r="D1994" s="1" t="s">
        <v>837</v>
      </c>
      <c r="E1994" s="1" t="s">
        <v>838</v>
      </c>
      <c r="F1994" s="1" t="s">
        <v>47</v>
      </c>
      <c r="G1994" s="1">
        <f t="shared" si="155"/>
        <v>1</v>
      </c>
      <c r="H1994" s="1" t="s">
        <v>148</v>
      </c>
      <c r="I1994" s="1" t="s">
        <v>4583</v>
      </c>
      <c r="J1994" s="23" t="s">
        <v>50</v>
      </c>
      <c r="K1994" s="2" t="s">
        <v>51</v>
      </c>
      <c r="L1994" s="1">
        <v>715</v>
      </c>
      <c r="M1994" s="1">
        <v>16</v>
      </c>
      <c r="N1994" s="1" t="str">
        <f t="shared" si="158"/>
        <v>Published</v>
      </c>
      <c r="O1994" s="1">
        <f t="shared" si="156"/>
        <v>114.4</v>
      </c>
      <c r="P1994" s="1">
        <v>53</v>
      </c>
      <c r="Q1994" s="1">
        <v>917</v>
      </c>
      <c r="R1994" s="1" t="str">
        <f t="shared" si="159"/>
        <v>2</v>
      </c>
      <c r="S1994" s="1">
        <v>144</v>
      </c>
      <c r="T1994" s="1" t="str">
        <f t="shared" si="157"/>
        <v>4</v>
      </c>
      <c r="U1994" s="1">
        <v>-33.754708000000001</v>
      </c>
      <c r="V1994" s="3">
        <v>150.87418600000001</v>
      </c>
    </row>
    <row r="1995" spans="1:22" x14ac:dyDescent="0.35">
      <c r="A1995" s="22" t="s">
        <v>5585</v>
      </c>
      <c r="B1995" s="1" t="s">
        <v>5586</v>
      </c>
      <c r="C1995" s="1" t="s">
        <v>3834</v>
      </c>
      <c r="D1995" s="1" t="s">
        <v>1776</v>
      </c>
      <c r="E1995" s="1" t="s">
        <v>147</v>
      </c>
      <c r="F1995" s="1" t="s">
        <v>47</v>
      </c>
      <c r="G1995" s="1">
        <f t="shared" si="155"/>
        <v>1</v>
      </c>
      <c r="H1995" s="1" t="s">
        <v>148</v>
      </c>
      <c r="I1995" s="1" t="s">
        <v>4583</v>
      </c>
      <c r="J1995" s="23" t="s">
        <v>50</v>
      </c>
      <c r="K1995" s="2" t="s">
        <v>51</v>
      </c>
      <c r="L1995" s="1">
        <v>1750.1</v>
      </c>
      <c r="M1995" s="1"/>
      <c r="N1995" s="1" t="str">
        <f t="shared" si="158"/>
        <v>Suppressed</v>
      </c>
      <c r="O1995" s="1" t="str">
        <f t="shared" si="156"/>
        <v/>
      </c>
      <c r="P1995" s="1">
        <v>58</v>
      </c>
      <c r="Q1995" s="1">
        <v>1125</v>
      </c>
      <c r="R1995" s="1" t="str">
        <f t="shared" si="159"/>
        <v>4</v>
      </c>
      <c r="S1995" s="1">
        <v>17</v>
      </c>
      <c r="T1995" s="1" t="str">
        <f t="shared" si="157"/>
        <v>5</v>
      </c>
      <c r="U1995" s="1">
        <v>-33.740147</v>
      </c>
      <c r="V1995" s="3">
        <v>151.167078</v>
      </c>
    </row>
    <row r="1996" spans="1:22" x14ac:dyDescent="0.35">
      <c r="A1996" s="22" t="s">
        <v>5587</v>
      </c>
      <c r="B1996" s="1" t="s">
        <v>5588</v>
      </c>
      <c r="C1996" s="1" t="s">
        <v>5589</v>
      </c>
      <c r="D1996" s="1" t="s">
        <v>180</v>
      </c>
      <c r="E1996" s="1" t="s">
        <v>181</v>
      </c>
      <c r="F1996" s="1" t="s">
        <v>47</v>
      </c>
      <c r="G1996" s="1">
        <f t="shared" si="155"/>
        <v>1</v>
      </c>
      <c r="H1996" s="1" t="s">
        <v>182</v>
      </c>
      <c r="I1996" s="1" t="s">
        <v>4583</v>
      </c>
      <c r="J1996" s="23" t="s">
        <v>50</v>
      </c>
      <c r="K1996" s="2" t="s">
        <v>51</v>
      </c>
      <c r="L1996" s="1">
        <v>694.6</v>
      </c>
      <c r="M1996" s="1">
        <v>4</v>
      </c>
      <c r="N1996" s="1" t="str">
        <f t="shared" si="158"/>
        <v>Published</v>
      </c>
      <c r="O1996" s="1">
        <f t="shared" si="156"/>
        <v>27.784000000000002</v>
      </c>
      <c r="P1996" s="1">
        <v>87</v>
      </c>
      <c r="Q1996" s="1">
        <v>902</v>
      </c>
      <c r="R1996" s="1" t="str">
        <f t="shared" si="159"/>
        <v>2</v>
      </c>
      <c r="S1996" s="1">
        <v>174</v>
      </c>
      <c r="T1996" s="1" t="str">
        <f t="shared" si="157"/>
        <v>4</v>
      </c>
      <c r="U1996" s="1">
        <v>-33.941743000000002</v>
      </c>
      <c r="V1996" s="3">
        <v>150.89604299999999</v>
      </c>
    </row>
    <row r="1997" spans="1:22" x14ac:dyDescent="0.35">
      <c r="A1997" s="22" t="s">
        <v>5590</v>
      </c>
      <c r="B1997" s="1" t="s">
        <v>5591</v>
      </c>
      <c r="C1997" s="1" t="s">
        <v>3776</v>
      </c>
      <c r="D1997" s="1" t="s">
        <v>837</v>
      </c>
      <c r="E1997" s="1" t="s">
        <v>838</v>
      </c>
      <c r="F1997" s="1" t="s">
        <v>47</v>
      </c>
      <c r="G1997" s="1">
        <f t="shared" si="155"/>
        <v>1</v>
      </c>
      <c r="H1997" s="1" t="s">
        <v>182</v>
      </c>
      <c r="I1997" s="1" t="s">
        <v>4583</v>
      </c>
      <c r="J1997" s="23" t="s">
        <v>50</v>
      </c>
      <c r="K1997" s="2" t="s">
        <v>51</v>
      </c>
      <c r="L1997" s="1">
        <v>875</v>
      </c>
      <c r="M1997" s="1">
        <v>5</v>
      </c>
      <c r="N1997" s="1" t="str">
        <f t="shared" si="158"/>
        <v>Published</v>
      </c>
      <c r="O1997" s="1">
        <f t="shared" si="156"/>
        <v>43.75</v>
      </c>
      <c r="P1997" s="1">
        <v>61</v>
      </c>
      <c r="Q1997" s="1">
        <v>978</v>
      </c>
      <c r="R1997" s="1" t="str">
        <f t="shared" si="159"/>
        <v>2</v>
      </c>
      <c r="S1997" s="1">
        <v>112</v>
      </c>
      <c r="T1997" s="1" t="str">
        <f t="shared" si="157"/>
        <v>4</v>
      </c>
      <c r="U1997" s="1">
        <v>-33.784795000000003</v>
      </c>
      <c r="V1997" s="3">
        <v>150.91597100000001</v>
      </c>
    </row>
    <row r="1998" spans="1:22" x14ac:dyDescent="0.35">
      <c r="A1998" s="22" t="s">
        <v>5592</v>
      </c>
      <c r="B1998" s="1" t="s">
        <v>5593</v>
      </c>
      <c r="C1998" s="1" t="s">
        <v>736</v>
      </c>
      <c r="D1998" s="1" t="s">
        <v>737</v>
      </c>
      <c r="E1998" s="1" t="s">
        <v>738</v>
      </c>
      <c r="F1998" s="1" t="s">
        <v>47</v>
      </c>
      <c r="G1998" s="1">
        <f t="shared" si="155"/>
        <v>1</v>
      </c>
      <c r="H1998" s="1" t="s">
        <v>182</v>
      </c>
      <c r="I1998" s="1" t="s">
        <v>4583</v>
      </c>
      <c r="J1998" s="23" t="s">
        <v>50</v>
      </c>
      <c r="K1998" s="2" t="s">
        <v>51</v>
      </c>
      <c r="L1998" s="1">
        <v>1377.6</v>
      </c>
      <c r="M1998" s="1">
        <v>5</v>
      </c>
      <c r="N1998" s="1" t="str">
        <f t="shared" si="158"/>
        <v>Published</v>
      </c>
      <c r="O1998" s="1">
        <f t="shared" si="156"/>
        <v>68.88</v>
      </c>
      <c r="P1998" s="1">
        <v>28</v>
      </c>
      <c r="Q1998" s="1">
        <v>1040</v>
      </c>
      <c r="R1998" s="1" t="str">
        <f t="shared" si="159"/>
        <v>3</v>
      </c>
      <c r="S1998" s="1">
        <v>74</v>
      </c>
      <c r="T1998" s="1" t="str">
        <f t="shared" si="157"/>
        <v>5</v>
      </c>
      <c r="U1998" s="1">
        <v>-34.030082999999998</v>
      </c>
      <c r="V1998" s="3">
        <v>151.11725100000001</v>
      </c>
    </row>
    <row r="1999" spans="1:22" x14ac:dyDescent="0.35">
      <c r="A1999" s="22" t="s">
        <v>5594</v>
      </c>
      <c r="B1999" s="1" t="s">
        <v>5595</v>
      </c>
      <c r="C1999" s="1" t="s">
        <v>1151</v>
      </c>
      <c r="D1999" s="1" t="s">
        <v>186</v>
      </c>
      <c r="E1999" s="1" t="s">
        <v>187</v>
      </c>
      <c r="F1999" s="1" t="s">
        <v>47</v>
      </c>
      <c r="G1999" s="1">
        <f t="shared" si="155"/>
        <v>1</v>
      </c>
      <c r="H1999" s="1" t="s">
        <v>63</v>
      </c>
      <c r="I1999" s="1" t="s">
        <v>4583</v>
      </c>
      <c r="J1999" s="23" t="s">
        <v>50</v>
      </c>
      <c r="K1999" s="2" t="s">
        <v>51</v>
      </c>
      <c r="L1999" s="1">
        <v>780.6</v>
      </c>
      <c r="M1999" s="1">
        <v>8</v>
      </c>
      <c r="N1999" s="1" t="str">
        <f t="shared" si="158"/>
        <v>Published</v>
      </c>
      <c r="O1999" s="1">
        <f t="shared" si="156"/>
        <v>62.448</v>
      </c>
      <c r="P1999" s="1">
        <v>11</v>
      </c>
      <c r="Q1999" s="1">
        <v>996</v>
      </c>
      <c r="R1999" s="1" t="str">
        <f t="shared" si="159"/>
        <v>2</v>
      </c>
      <c r="S1999" s="1">
        <v>100</v>
      </c>
      <c r="T1999" s="1" t="str">
        <f t="shared" si="157"/>
        <v>4</v>
      </c>
      <c r="U1999" s="1">
        <v>-33.440278999999997</v>
      </c>
      <c r="V1999" s="3">
        <v>151.38150300000001</v>
      </c>
    </row>
    <row r="2000" spans="1:22" x14ac:dyDescent="0.35">
      <c r="A2000" s="22" t="s">
        <v>5596</v>
      </c>
      <c r="B2000" s="1" t="s">
        <v>5597</v>
      </c>
      <c r="C2000" s="1" t="s">
        <v>1355</v>
      </c>
      <c r="D2000" s="1" t="s">
        <v>280</v>
      </c>
      <c r="E2000" s="1" t="s">
        <v>281</v>
      </c>
      <c r="F2000" s="1" t="s">
        <v>57</v>
      </c>
      <c r="G2000" s="1">
        <f t="shared" si="155"/>
        <v>2</v>
      </c>
      <c r="H2000" s="1" t="s">
        <v>92</v>
      </c>
      <c r="I2000" s="1" t="s">
        <v>4583</v>
      </c>
      <c r="J2000" s="23" t="s">
        <v>50</v>
      </c>
      <c r="K2000" s="2" t="s">
        <v>51</v>
      </c>
      <c r="L2000" s="1">
        <v>639</v>
      </c>
      <c r="M2000" s="1">
        <v>34</v>
      </c>
      <c r="N2000" s="1" t="str">
        <f t="shared" si="158"/>
        <v>Published</v>
      </c>
      <c r="O2000" s="1">
        <f t="shared" si="156"/>
        <v>217.26000000000002</v>
      </c>
      <c r="P2000" s="1">
        <v>3</v>
      </c>
      <c r="Q2000" s="1">
        <v>875</v>
      </c>
      <c r="R2000" s="1" t="str">
        <f t="shared" si="159"/>
        <v>1</v>
      </c>
      <c r="S2000" s="1">
        <v>149</v>
      </c>
      <c r="T2000" s="1" t="str">
        <f t="shared" si="157"/>
        <v>4</v>
      </c>
      <c r="U2000" s="1">
        <v>-29.714229</v>
      </c>
      <c r="V2000" s="3">
        <v>152.929362</v>
      </c>
    </row>
    <row r="2001" spans="1:22" x14ac:dyDescent="0.35">
      <c r="A2001" s="22" t="s">
        <v>5598</v>
      </c>
      <c r="B2001" s="1" t="s">
        <v>5599</v>
      </c>
      <c r="C2001" s="1" t="s">
        <v>713</v>
      </c>
      <c r="D2001" s="1" t="s">
        <v>713</v>
      </c>
      <c r="E2001" s="1" t="s">
        <v>80</v>
      </c>
      <c r="F2001" s="1" t="s">
        <v>57</v>
      </c>
      <c r="G2001" s="1">
        <f t="shared" si="155"/>
        <v>2</v>
      </c>
      <c r="H2001" s="1" t="s">
        <v>70</v>
      </c>
      <c r="I2001" s="1" t="s">
        <v>4583</v>
      </c>
      <c r="J2001" s="23" t="s">
        <v>50</v>
      </c>
      <c r="K2001" s="2" t="s">
        <v>51</v>
      </c>
      <c r="L2001" s="1">
        <v>522</v>
      </c>
      <c r="M2001" s="1">
        <v>42</v>
      </c>
      <c r="N2001" s="1" t="str">
        <f t="shared" si="158"/>
        <v>Published</v>
      </c>
      <c r="O2001" s="1">
        <f t="shared" si="156"/>
        <v>219.23999999999998</v>
      </c>
      <c r="P2001" s="1">
        <v>19</v>
      </c>
      <c r="Q2001" s="1">
        <v>822</v>
      </c>
      <c r="R2001" s="1" t="str">
        <f t="shared" si="159"/>
        <v>1</v>
      </c>
      <c r="S2001" s="1">
        <v>180</v>
      </c>
      <c r="T2001" s="1" t="str">
        <f t="shared" si="157"/>
        <v>3</v>
      </c>
      <c r="U2001" s="1">
        <v>-35.141908000000001</v>
      </c>
      <c r="V2001" s="3">
        <v>147.35386500000001</v>
      </c>
    </row>
    <row r="2002" spans="1:22" x14ac:dyDescent="0.35">
      <c r="A2002" s="22" t="s">
        <v>5600</v>
      </c>
      <c r="B2002" s="1" t="s">
        <v>5601</v>
      </c>
      <c r="C2002" s="1" t="s">
        <v>3456</v>
      </c>
      <c r="D2002" s="1" t="s">
        <v>386</v>
      </c>
      <c r="E2002" s="1" t="s">
        <v>229</v>
      </c>
      <c r="F2002" s="1" t="s">
        <v>47</v>
      </c>
      <c r="G2002" s="1">
        <f t="shared" si="155"/>
        <v>1</v>
      </c>
      <c r="H2002" s="1" t="s">
        <v>48</v>
      </c>
      <c r="I2002" s="1" t="s">
        <v>4583</v>
      </c>
      <c r="J2002" s="23" t="s">
        <v>50</v>
      </c>
      <c r="K2002" s="2" t="s">
        <v>51</v>
      </c>
      <c r="L2002" s="1">
        <v>758</v>
      </c>
      <c r="M2002" s="1">
        <v>4</v>
      </c>
      <c r="N2002" s="1" t="str">
        <f t="shared" si="158"/>
        <v>Published</v>
      </c>
      <c r="O2002" s="1">
        <f t="shared" si="156"/>
        <v>30.32</v>
      </c>
      <c r="P2002" s="1">
        <v>58</v>
      </c>
      <c r="Q2002" s="1">
        <v>1008</v>
      </c>
      <c r="R2002" s="1" t="str">
        <f t="shared" si="159"/>
        <v>3</v>
      </c>
      <c r="S2002" s="1">
        <v>93</v>
      </c>
      <c r="T2002" s="1" t="str">
        <f t="shared" si="157"/>
        <v>4</v>
      </c>
      <c r="U2002" s="1">
        <v>-33.966881999999998</v>
      </c>
      <c r="V2002" s="3">
        <v>151.05601300000001</v>
      </c>
    </row>
    <row r="2003" spans="1:22" x14ac:dyDescent="0.35">
      <c r="A2003" s="22" t="s">
        <v>5602</v>
      </c>
      <c r="B2003" s="1" t="s">
        <v>5603</v>
      </c>
      <c r="C2003" s="1" t="s">
        <v>5071</v>
      </c>
      <c r="D2003" s="1" t="s">
        <v>55</v>
      </c>
      <c r="E2003" s="1" t="s">
        <v>56</v>
      </c>
      <c r="F2003" s="1" t="s">
        <v>57</v>
      </c>
      <c r="G2003" s="1">
        <f t="shared" si="155"/>
        <v>2</v>
      </c>
      <c r="H2003" s="1" t="s">
        <v>58</v>
      </c>
      <c r="I2003" s="1" t="s">
        <v>4583</v>
      </c>
      <c r="J2003" s="23" t="s">
        <v>50</v>
      </c>
      <c r="K2003" s="2" t="s">
        <v>51</v>
      </c>
      <c r="L2003" s="1">
        <v>315.2</v>
      </c>
      <c r="M2003" s="1">
        <v>28</v>
      </c>
      <c r="N2003" s="1" t="str">
        <f t="shared" si="158"/>
        <v>Published</v>
      </c>
      <c r="O2003" s="1">
        <f t="shared" si="156"/>
        <v>88.256</v>
      </c>
      <c r="P2003" s="1">
        <v>5</v>
      </c>
      <c r="Q2003" s="1">
        <v>894</v>
      </c>
      <c r="R2003" s="1" t="str">
        <f t="shared" si="159"/>
        <v>1</v>
      </c>
      <c r="S2003" s="1">
        <v>132</v>
      </c>
      <c r="T2003" s="1" t="str">
        <f t="shared" si="157"/>
        <v>3</v>
      </c>
      <c r="U2003" s="1">
        <v>-32.058129999999998</v>
      </c>
      <c r="V2003" s="3">
        <v>150.87311099999999</v>
      </c>
    </row>
    <row r="2004" spans="1:22" x14ac:dyDescent="0.35">
      <c r="A2004" s="22" t="s">
        <v>5604</v>
      </c>
      <c r="B2004" s="1" t="s">
        <v>5605</v>
      </c>
      <c r="C2004" s="1" t="s">
        <v>3001</v>
      </c>
      <c r="D2004" s="1" t="s">
        <v>176</v>
      </c>
      <c r="E2004" s="1" t="s">
        <v>85</v>
      </c>
      <c r="F2004" s="1" t="s">
        <v>47</v>
      </c>
      <c r="G2004" s="1">
        <f t="shared" si="155"/>
        <v>1</v>
      </c>
      <c r="H2004" s="1" t="s">
        <v>86</v>
      </c>
      <c r="I2004" s="1" t="s">
        <v>4583</v>
      </c>
      <c r="J2004" s="23" t="s">
        <v>50</v>
      </c>
      <c r="K2004" s="2" t="s">
        <v>51</v>
      </c>
      <c r="L2004" s="1">
        <v>766.3</v>
      </c>
      <c r="M2004" s="1">
        <v>6</v>
      </c>
      <c r="N2004" s="1" t="str">
        <f t="shared" si="158"/>
        <v>Published</v>
      </c>
      <c r="O2004" s="1">
        <f t="shared" si="156"/>
        <v>45.977999999999994</v>
      </c>
      <c r="P2004" s="1">
        <v>7</v>
      </c>
      <c r="Q2004" s="1">
        <v>1030</v>
      </c>
      <c r="R2004" s="1" t="str">
        <f t="shared" si="159"/>
        <v>3</v>
      </c>
      <c r="S2004" s="1">
        <v>79</v>
      </c>
      <c r="T2004" s="1" t="str">
        <f t="shared" si="157"/>
        <v>4</v>
      </c>
      <c r="U2004" s="1">
        <v>-34.345036999999998</v>
      </c>
      <c r="V2004" s="3">
        <v>150.91010199999999</v>
      </c>
    </row>
    <row r="2005" spans="1:22" x14ac:dyDescent="0.35">
      <c r="A2005" s="22" t="s">
        <v>5606</v>
      </c>
      <c r="B2005" s="1" t="s">
        <v>5607</v>
      </c>
      <c r="C2005" s="1" t="s">
        <v>5608</v>
      </c>
      <c r="D2005" s="1" t="s">
        <v>191</v>
      </c>
      <c r="E2005" s="1" t="s">
        <v>75</v>
      </c>
      <c r="F2005" s="1" t="s">
        <v>47</v>
      </c>
      <c r="G2005" s="1">
        <f t="shared" si="155"/>
        <v>1</v>
      </c>
      <c r="H2005" s="1" t="s">
        <v>63</v>
      </c>
      <c r="I2005" s="1" t="s">
        <v>4583</v>
      </c>
      <c r="J2005" s="23" t="s">
        <v>50</v>
      </c>
      <c r="K2005" s="2" t="s">
        <v>51</v>
      </c>
      <c r="L2005" s="1">
        <v>631</v>
      </c>
      <c r="M2005" s="1">
        <v>17</v>
      </c>
      <c r="N2005" s="1" t="str">
        <f t="shared" si="158"/>
        <v>Published</v>
      </c>
      <c r="O2005" s="1">
        <f t="shared" si="156"/>
        <v>107.27000000000001</v>
      </c>
      <c r="P2005" s="1">
        <v>5</v>
      </c>
      <c r="Q2005" s="1">
        <v>940</v>
      </c>
      <c r="R2005" s="1" t="str">
        <f t="shared" si="159"/>
        <v>2</v>
      </c>
      <c r="S2005" s="1">
        <v>122</v>
      </c>
      <c r="T2005" s="1" t="str">
        <f t="shared" si="157"/>
        <v>4</v>
      </c>
      <c r="U2005" s="1">
        <v>-32.910564999999998</v>
      </c>
      <c r="V2005" s="3">
        <v>151.58108300000001</v>
      </c>
    </row>
    <row r="2006" spans="1:22" x14ac:dyDescent="0.35">
      <c r="A2006" s="22" t="s">
        <v>5609</v>
      </c>
      <c r="B2006" s="1" t="s">
        <v>5610</v>
      </c>
      <c r="C2006" s="1" t="s">
        <v>1897</v>
      </c>
      <c r="D2006" s="1" t="s">
        <v>837</v>
      </c>
      <c r="E2006" s="1" t="s">
        <v>838</v>
      </c>
      <c r="F2006" s="1" t="s">
        <v>47</v>
      </c>
      <c r="G2006" s="1">
        <f t="shared" si="155"/>
        <v>1</v>
      </c>
      <c r="H2006" s="1" t="s">
        <v>182</v>
      </c>
      <c r="I2006" s="1" t="s">
        <v>4583</v>
      </c>
      <c r="J2006" s="23" t="s">
        <v>50</v>
      </c>
      <c r="K2006" s="2" t="s">
        <v>51</v>
      </c>
      <c r="L2006" s="1">
        <v>913</v>
      </c>
      <c r="M2006" s="1">
        <v>9</v>
      </c>
      <c r="N2006" s="1" t="str">
        <f t="shared" si="158"/>
        <v>Published</v>
      </c>
      <c r="O2006" s="1">
        <f t="shared" si="156"/>
        <v>82.17</v>
      </c>
      <c r="P2006" s="1">
        <v>46</v>
      </c>
      <c r="Q2006" s="1">
        <v>967</v>
      </c>
      <c r="R2006" s="1" t="str">
        <f t="shared" si="159"/>
        <v>2</v>
      </c>
      <c r="S2006" s="1">
        <v>114</v>
      </c>
      <c r="T2006" s="1" t="str">
        <f t="shared" si="157"/>
        <v>4</v>
      </c>
      <c r="U2006" s="1">
        <v>-33.782184000000001</v>
      </c>
      <c r="V2006" s="3">
        <v>150.93883400000001</v>
      </c>
    </row>
    <row r="2007" spans="1:22" x14ac:dyDescent="0.35">
      <c r="A2007" s="22" t="s">
        <v>5611</v>
      </c>
      <c r="B2007" s="1" t="s">
        <v>5612</v>
      </c>
      <c r="C2007" s="1" t="s">
        <v>5613</v>
      </c>
      <c r="D2007" s="1" t="s">
        <v>191</v>
      </c>
      <c r="E2007" s="1" t="s">
        <v>75</v>
      </c>
      <c r="F2007" s="1" t="s">
        <v>47</v>
      </c>
      <c r="G2007" s="1">
        <f t="shared" si="155"/>
        <v>1</v>
      </c>
      <c r="H2007" s="1" t="s">
        <v>63</v>
      </c>
      <c r="I2007" s="1" t="s">
        <v>4583</v>
      </c>
      <c r="J2007" s="23" t="s">
        <v>50</v>
      </c>
      <c r="K2007" s="2" t="s">
        <v>51</v>
      </c>
      <c r="L2007" s="1">
        <v>686.9</v>
      </c>
      <c r="M2007" s="1">
        <v>20</v>
      </c>
      <c r="N2007" s="1" t="str">
        <f t="shared" si="158"/>
        <v>Published</v>
      </c>
      <c r="O2007" s="1">
        <f t="shared" si="156"/>
        <v>137.38</v>
      </c>
      <c r="P2007" s="1">
        <v>7</v>
      </c>
      <c r="Q2007" s="1">
        <v>929</v>
      </c>
      <c r="R2007" s="1" t="str">
        <f t="shared" si="159"/>
        <v>2</v>
      </c>
      <c r="S2007" s="1">
        <v>126</v>
      </c>
      <c r="T2007" s="1" t="str">
        <f t="shared" si="157"/>
        <v>4</v>
      </c>
      <c r="U2007" s="1">
        <v>-33.104657000000003</v>
      </c>
      <c r="V2007" s="3">
        <v>151.48662899999999</v>
      </c>
    </row>
    <row r="2008" spans="1:22" x14ac:dyDescent="0.35">
      <c r="A2008" s="22" t="s">
        <v>5614</v>
      </c>
      <c r="B2008" s="1" t="s">
        <v>5615</v>
      </c>
      <c r="C2008" s="1" t="s">
        <v>2628</v>
      </c>
      <c r="D2008" s="1" t="s">
        <v>275</v>
      </c>
      <c r="E2008" s="1" t="s">
        <v>276</v>
      </c>
      <c r="F2008" s="1" t="s">
        <v>57</v>
      </c>
      <c r="G2008" s="1">
        <f t="shared" si="155"/>
        <v>2</v>
      </c>
      <c r="H2008" s="1" t="s">
        <v>58</v>
      </c>
      <c r="I2008" s="1" t="s">
        <v>4583</v>
      </c>
      <c r="J2008" s="23" t="s">
        <v>50</v>
      </c>
      <c r="K2008" s="2" t="s">
        <v>51</v>
      </c>
      <c r="L2008" s="1">
        <v>491.6</v>
      </c>
      <c r="M2008" s="1">
        <v>47</v>
      </c>
      <c r="N2008" s="1" t="str">
        <f t="shared" si="158"/>
        <v>Published</v>
      </c>
      <c r="O2008" s="1">
        <f t="shared" si="156"/>
        <v>231.05199999999999</v>
      </c>
      <c r="P2008" s="1">
        <v>5</v>
      </c>
      <c r="Q2008" s="1">
        <v>814</v>
      </c>
      <c r="R2008" s="1" t="str">
        <f t="shared" si="159"/>
        <v>1</v>
      </c>
      <c r="S2008" s="1">
        <v>170</v>
      </c>
      <c r="T2008" s="1" t="str">
        <f t="shared" si="157"/>
        <v>3</v>
      </c>
      <c r="U2008" s="1">
        <v>-31.895769999999999</v>
      </c>
      <c r="V2008" s="3">
        <v>152.480875</v>
      </c>
    </row>
    <row r="2009" spans="1:22" x14ac:dyDescent="0.35">
      <c r="A2009" s="22" t="s">
        <v>5616</v>
      </c>
      <c r="B2009" s="1" t="s">
        <v>5617</v>
      </c>
      <c r="C2009" s="1" t="s">
        <v>1155</v>
      </c>
      <c r="D2009" s="1" t="s">
        <v>1155</v>
      </c>
      <c r="E2009" s="1" t="s">
        <v>306</v>
      </c>
      <c r="F2009" s="1" t="s">
        <v>47</v>
      </c>
      <c r="G2009" s="1">
        <f t="shared" si="155"/>
        <v>1</v>
      </c>
      <c r="H2009" s="1" t="s">
        <v>148</v>
      </c>
      <c r="I2009" s="1" t="s">
        <v>4583</v>
      </c>
      <c r="J2009" s="23" t="s">
        <v>5177</v>
      </c>
      <c r="K2009" s="2" t="s">
        <v>51</v>
      </c>
      <c r="L2009" s="1">
        <v>1486.3</v>
      </c>
      <c r="M2009" s="1">
        <v>1</v>
      </c>
      <c r="N2009" s="1" t="str">
        <f t="shared" si="158"/>
        <v>Published</v>
      </c>
      <c r="O2009" s="1">
        <f t="shared" si="156"/>
        <v>14.863</v>
      </c>
      <c r="P2009" s="1">
        <v>67</v>
      </c>
      <c r="Q2009" s="1">
        <v>1102</v>
      </c>
      <c r="R2009" s="1" t="str">
        <f t="shared" si="159"/>
        <v>4</v>
      </c>
      <c r="S2009" s="1">
        <v>34</v>
      </c>
      <c r="T2009" s="1" t="str">
        <f t="shared" si="157"/>
        <v>5</v>
      </c>
      <c r="U2009" s="1">
        <v>-33.813316</v>
      </c>
      <c r="V2009" s="3">
        <v>151.11917600000001</v>
      </c>
    </row>
    <row r="2010" spans="1:22" x14ac:dyDescent="0.35">
      <c r="A2010" s="22" t="s">
        <v>5618</v>
      </c>
      <c r="B2010" s="1" t="s">
        <v>5619</v>
      </c>
      <c r="C2010" s="1" t="s">
        <v>5620</v>
      </c>
      <c r="D2010" s="1" t="s">
        <v>1776</v>
      </c>
      <c r="E2010" s="1" t="s">
        <v>147</v>
      </c>
      <c r="F2010" s="1" t="s">
        <v>47</v>
      </c>
      <c r="G2010" s="1">
        <f t="shared" si="155"/>
        <v>1</v>
      </c>
      <c r="H2010" s="1" t="s">
        <v>148</v>
      </c>
      <c r="I2010" s="1" t="s">
        <v>4583</v>
      </c>
      <c r="J2010" s="23" t="s">
        <v>50</v>
      </c>
      <c r="K2010" s="2" t="s">
        <v>51</v>
      </c>
      <c r="L2010" s="1">
        <v>535.6</v>
      </c>
      <c r="M2010" s="1">
        <v>2</v>
      </c>
      <c r="N2010" s="1" t="str">
        <f t="shared" si="158"/>
        <v>Published</v>
      </c>
      <c r="O2010" s="1">
        <f t="shared" si="156"/>
        <v>10.712000000000002</v>
      </c>
      <c r="P2010" s="1">
        <v>38</v>
      </c>
      <c r="Q2010" s="1">
        <v>1088</v>
      </c>
      <c r="R2010" s="1" t="str">
        <f t="shared" si="159"/>
        <v>3</v>
      </c>
      <c r="S2010" s="1">
        <v>43</v>
      </c>
      <c r="T2010" s="1" t="str">
        <f t="shared" si="157"/>
        <v>3</v>
      </c>
      <c r="U2010" s="1">
        <v>-33.690973</v>
      </c>
      <c r="V2010" s="3">
        <v>151.153809</v>
      </c>
    </row>
    <row r="2011" spans="1:22" x14ac:dyDescent="0.35">
      <c r="A2011" s="22" t="s">
        <v>5621</v>
      </c>
      <c r="B2011" s="1" t="s">
        <v>5622</v>
      </c>
      <c r="C2011" s="1" t="s">
        <v>211</v>
      </c>
      <c r="D2011" s="1" t="s">
        <v>211</v>
      </c>
      <c r="E2011" s="1" t="s">
        <v>102</v>
      </c>
      <c r="F2011" s="1" t="s">
        <v>57</v>
      </c>
      <c r="G2011" s="1">
        <f t="shared" si="155"/>
        <v>2</v>
      </c>
      <c r="H2011" s="1" t="s">
        <v>58</v>
      </c>
      <c r="I2011" s="1" t="s">
        <v>4583</v>
      </c>
      <c r="J2011" s="23" t="s">
        <v>50</v>
      </c>
      <c r="K2011" s="2" t="s">
        <v>51</v>
      </c>
      <c r="L2011" s="1">
        <v>687</v>
      </c>
      <c r="M2011" s="1">
        <v>46</v>
      </c>
      <c r="N2011" s="1" t="str">
        <f t="shared" si="158"/>
        <v>Published</v>
      </c>
      <c r="O2011" s="1">
        <f t="shared" si="156"/>
        <v>316.02000000000004</v>
      </c>
      <c r="P2011" s="1">
        <v>6</v>
      </c>
      <c r="Q2011" s="1">
        <v>864</v>
      </c>
      <c r="R2011" s="1" t="str">
        <f t="shared" si="159"/>
        <v>1</v>
      </c>
      <c r="S2011" s="1">
        <v>134</v>
      </c>
      <c r="T2011" s="1" t="str">
        <f t="shared" si="157"/>
        <v>4</v>
      </c>
      <c r="U2011" s="1">
        <v>-32.270837</v>
      </c>
      <c r="V2011" s="3">
        <v>148.61068700000001</v>
      </c>
    </row>
    <row r="2012" spans="1:22" x14ac:dyDescent="0.35">
      <c r="A2012" s="22" t="s">
        <v>5623</v>
      </c>
      <c r="B2012" s="1" t="s">
        <v>5624</v>
      </c>
      <c r="C2012" s="1" t="s">
        <v>5625</v>
      </c>
      <c r="D2012" s="1" t="s">
        <v>84</v>
      </c>
      <c r="E2012" s="1" t="s">
        <v>85</v>
      </c>
      <c r="F2012" s="1" t="s">
        <v>47</v>
      </c>
      <c r="G2012" s="1">
        <f t="shared" si="155"/>
        <v>1</v>
      </c>
      <c r="H2012" s="1" t="s">
        <v>86</v>
      </c>
      <c r="I2012" s="1" t="s">
        <v>4583</v>
      </c>
      <c r="J2012" s="23" t="s">
        <v>50</v>
      </c>
      <c r="K2012" s="2" t="s">
        <v>51</v>
      </c>
      <c r="L2012" s="1">
        <v>1019.8</v>
      </c>
      <c r="M2012" s="1">
        <v>10</v>
      </c>
      <c r="N2012" s="1" t="str">
        <f t="shared" si="158"/>
        <v>Published</v>
      </c>
      <c r="O2012" s="1">
        <f t="shared" si="156"/>
        <v>101.98</v>
      </c>
      <c r="P2012" s="1">
        <v>17</v>
      </c>
      <c r="Q2012" s="1">
        <v>968</v>
      </c>
      <c r="R2012" s="1" t="str">
        <f t="shared" si="159"/>
        <v>2</v>
      </c>
      <c r="S2012" s="1">
        <v>116</v>
      </c>
      <c r="T2012" s="1" t="str">
        <f t="shared" si="157"/>
        <v>5</v>
      </c>
      <c r="U2012" s="1">
        <v>-34.563813000000003</v>
      </c>
      <c r="V2012" s="3">
        <v>150.857991</v>
      </c>
    </row>
    <row r="2013" spans="1:22" x14ac:dyDescent="0.35">
      <c r="A2013" s="22" t="s">
        <v>5626</v>
      </c>
      <c r="B2013" s="1" t="s">
        <v>5627</v>
      </c>
      <c r="C2013" s="1" t="s">
        <v>3776</v>
      </c>
      <c r="D2013" s="1" t="s">
        <v>837</v>
      </c>
      <c r="E2013" s="1" t="s">
        <v>838</v>
      </c>
      <c r="F2013" s="1" t="s">
        <v>47</v>
      </c>
      <c r="G2013" s="1">
        <f t="shared" si="155"/>
        <v>1</v>
      </c>
      <c r="H2013" s="1" t="s">
        <v>182</v>
      </c>
      <c r="I2013" s="1" t="s">
        <v>4583</v>
      </c>
      <c r="J2013" s="23" t="s">
        <v>50</v>
      </c>
      <c r="K2013" s="2" t="s">
        <v>51</v>
      </c>
      <c r="L2013" s="1">
        <v>815</v>
      </c>
      <c r="M2013" s="1">
        <v>4</v>
      </c>
      <c r="N2013" s="1" t="str">
        <f t="shared" si="158"/>
        <v>Published</v>
      </c>
      <c r="O2013" s="1">
        <f t="shared" si="156"/>
        <v>32.6</v>
      </c>
      <c r="P2013" s="1">
        <v>77</v>
      </c>
      <c r="Q2013" s="1">
        <v>935</v>
      </c>
      <c r="R2013" s="1" t="str">
        <f t="shared" si="159"/>
        <v>2</v>
      </c>
      <c r="S2013" s="1">
        <v>155</v>
      </c>
      <c r="T2013" s="1" t="str">
        <f t="shared" si="157"/>
        <v>4</v>
      </c>
      <c r="U2013" s="1">
        <v>-33.786512000000002</v>
      </c>
      <c r="V2013" s="3">
        <v>150.889725</v>
      </c>
    </row>
    <row r="2014" spans="1:22" x14ac:dyDescent="0.35">
      <c r="A2014" s="22" t="s">
        <v>5628</v>
      </c>
      <c r="B2014" s="1" t="s">
        <v>5629</v>
      </c>
      <c r="C2014" s="1" t="s">
        <v>5630</v>
      </c>
      <c r="D2014" s="1" t="s">
        <v>203</v>
      </c>
      <c r="E2014" s="1" t="s">
        <v>204</v>
      </c>
      <c r="F2014" s="1" t="s">
        <v>47</v>
      </c>
      <c r="G2014" s="1">
        <f t="shared" si="155"/>
        <v>1</v>
      </c>
      <c r="H2014" s="1" t="s">
        <v>148</v>
      </c>
      <c r="I2014" s="1" t="s">
        <v>4583</v>
      </c>
      <c r="J2014" s="23" t="s">
        <v>50</v>
      </c>
      <c r="K2014" s="2" t="s">
        <v>51</v>
      </c>
      <c r="L2014" s="1">
        <v>968.6</v>
      </c>
      <c r="M2014" s="1">
        <v>0</v>
      </c>
      <c r="N2014" s="1" t="str">
        <f t="shared" si="158"/>
        <v>Published</v>
      </c>
      <c r="O2014" s="1">
        <f t="shared" si="156"/>
        <v>0</v>
      </c>
      <c r="P2014" s="1">
        <v>45</v>
      </c>
      <c r="Q2014" s="1">
        <v>1132</v>
      </c>
      <c r="R2014" s="1" t="str">
        <f t="shared" si="159"/>
        <v>4</v>
      </c>
      <c r="S2014" s="1">
        <v>22</v>
      </c>
      <c r="T2014" s="1" t="str">
        <f t="shared" si="157"/>
        <v>4</v>
      </c>
      <c r="U2014" s="1">
        <v>-33.771925000000003</v>
      </c>
      <c r="V2014" s="3">
        <v>151.215215</v>
      </c>
    </row>
    <row r="2015" spans="1:22" x14ac:dyDescent="0.35">
      <c r="A2015" s="22" t="s">
        <v>5631</v>
      </c>
      <c r="B2015" s="1" t="s">
        <v>5632</v>
      </c>
      <c r="C2015" s="1" t="s">
        <v>73</v>
      </c>
      <c r="D2015" s="1" t="s">
        <v>74</v>
      </c>
      <c r="E2015" s="1" t="s">
        <v>75</v>
      </c>
      <c r="F2015" s="1" t="s">
        <v>47</v>
      </c>
      <c r="G2015" s="1">
        <f t="shared" si="155"/>
        <v>1</v>
      </c>
      <c r="H2015" s="1" t="s">
        <v>63</v>
      </c>
      <c r="I2015" s="1" t="s">
        <v>4583</v>
      </c>
      <c r="J2015" s="23" t="s">
        <v>50</v>
      </c>
      <c r="K2015" s="2" t="s">
        <v>51</v>
      </c>
      <c r="L2015" s="1">
        <v>1125.8</v>
      </c>
      <c r="M2015" s="1">
        <v>5</v>
      </c>
      <c r="N2015" s="1" t="str">
        <f t="shared" si="158"/>
        <v>Published</v>
      </c>
      <c r="O2015" s="1">
        <f t="shared" si="156"/>
        <v>56.29</v>
      </c>
      <c r="P2015" s="1">
        <v>12</v>
      </c>
      <c r="Q2015" s="1">
        <v>1066</v>
      </c>
      <c r="R2015" s="1" t="str">
        <f t="shared" si="159"/>
        <v>3</v>
      </c>
      <c r="S2015" s="1">
        <v>54</v>
      </c>
      <c r="T2015" s="1" t="str">
        <f t="shared" si="157"/>
        <v>5</v>
      </c>
      <c r="U2015" s="1">
        <v>-32.947136999999998</v>
      </c>
      <c r="V2015" s="3">
        <v>151.70686799999999</v>
      </c>
    </row>
    <row r="2016" spans="1:22" x14ac:dyDescent="0.35">
      <c r="A2016" s="22" t="s">
        <v>5633</v>
      </c>
      <c r="B2016" s="1" t="s">
        <v>5634</v>
      </c>
      <c r="C2016" s="1" t="s">
        <v>1388</v>
      </c>
      <c r="D2016" s="1" t="s">
        <v>169</v>
      </c>
      <c r="E2016" s="1" t="s">
        <v>170</v>
      </c>
      <c r="F2016" s="1" t="s">
        <v>47</v>
      </c>
      <c r="G2016" s="1">
        <f t="shared" si="155"/>
        <v>1</v>
      </c>
      <c r="H2016" s="1" t="s">
        <v>48</v>
      </c>
      <c r="I2016" s="1" t="s">
        <v>4583</v>
      </c>
      <c r="J2016" s="23" t="s">
        <v>50</v>
      </c>
      <c r="K2016" s="2" t="s">
        <v>51</v>
      </c>
      <c r="L2016" s="1">
        <v>547</v>
      </c>
      <c r="M2016" s="1">
        <v>1</v>
      </c>
      <c r="N2016" s="1" t="str">
        <f t="shared" si="158"/>
        <v>Published</v>
      </c>
      <c r="O2016" s="1">
        <f t="shared" si="156"/>
        <v>5.47</v>
      </c>
      <c r="P2016" s="1">
        <v>90</v>
      </c>
      <c r="Q2016" s="1">
        <v>919</v>
      </c>
      <c r="R2016" s="1" t="str">
        <f t="shared" si="159"/>
        <v>2</v>
      </c>
      <c r="S2016" s="1">
        <v>160</v>
      </c>
      <c r="T2016" s="1" t="str">
        <f t="shared" si="157"/>
        <v>3</v>
      </c>
      <c r="U2016" s="1">
        <v>-33.832906000000001</v>
      </c>
      <c r="V2016" s="3">
        <v>150.95113699999999</v>
      </c>
    </row>
    <row r="2017" spans="1:22" x14ac:dyDescent="0.35">
      <c r="A2017" s="22" t="s">
        <v>5635</v>
      </c>
      <c r="B2017" s="1" t="s">
        <v>5636</v>
      </c>
      <c r="C2017" s="1" t="s">
        <v>1137</v>
      </c>
      <c r="D2017" s="1" t="s">
        <v>737</v>
      </c>
      <c r="E2017" s="1" t="s">
        <v>738</v>
      </c>
      <c r="F2017" s="1" t="s">
        <v>47</v>
      </c>
      <c r="G2017" s="1">
        <f t="shared" si="155"/>
        <v>1</v>
      </c>
      <c r="H2017" s="1" t="s">
        <v>182</v>
      </c>
      <c r="I2017" s="1" t="s">
        <v>4583</v>
      </c>
      <c r="J2017" s="23" t="s">
        <v>50</v>
      </c>
      <c r="K2017" s="2" t="s">
        <v>51</v>
      </c>
      <c r="L2017" s="1">
        <v>1062.5999999999999</v>
      </c>
      <c r="M2017" s="1">
        <v>3</v>
      </c>
      <c r="N2017" s="1" t="str">
        <f t="shared" si="158"/>
        <v>Published</v>
      </c>
      <c r="O2017" s="1">
        <f t="shared" si="156"/>
        <v>31.877999999999997</v>
      </c>
      <c r="P2017" s="1">
        <v>9</v>
      </c>
      <c r="Q2017" s="1">
        <v>1051</v>
      </c>
      <c r="R2017" s="1" t="str">
        <f t="shared" si="159"/>
        <v>3</v>
      </c>
      <c r="S2017" s="1">
        <v>71</v>
      </c>
      <c r="T2017" s="1" t="str">
        <f t="shared" si="157"/>
        <v>5</v>
      </c>
      <c r="U2017" s="1">
        <v>-34.062140999999997</v>
      </c>
      <c r="V2017" s="3">
        <v>151.019341</v>
      </c>
    </row>
    <row r="2018" spans="1:22" x14ac:dyDescent="0.35">
      <c r="A2018" s="22" t="s">
        <v>5637</v>
      </c>
      <c r="B2018" s="1" t="s">
        <v>5638</v>
      </c>
      <c r="C2018" s="1" t="s">
        <v>5639</v>
      </c>
      <c r="D2018" s="1" t="s">
        <v>737</v>
      </c>
      <c r="E2018" s="1" t="s">
        <v>738</v>
      </c>
      <c r="F2018" s="1" t="s">
        <v>47</v>
      </c>
      <c r="G2018" s="1">
        <f t="shared" si="155"/>
        <v>1</v>
      </c>
      <c r="H2018" s="1" t="s">
        <v>182</v>
      </c>
      <c r="I2018" s="1" t="s">
        <v>4583</v>
      </c>
      <c r="J2018" s="23" t="s">
        <v>50</v>
      </c>
      <c r="K2018" s="2" t="s">
        <v>51</v>
      </c>
      <c r="L2018" s="1">
        <v>788</v>
      </c>
      <c r="M2018" s="1">
        <v>2</v>
      </c>
      <c r="N2018" s="1" t="str">
        <f t="shared" si="158"/>
        <v>Published</v>
      </c>
      <c r="O2018" s="1">
        <f t="shared" si="156"/>
        <v>15.76</v>
      </c>
      <c r="P2018" s="1">
        <v>19</v>
      </c>
      <c r="Q2018" s="1">
        <v>1063</v>
      </c>
      <c r="R2018" s="1" t="str">
        <f t="shared" si="159"/>
        <v>3</v>
      </c>
      <c r="S2018" s="1">
        <v>59</v>
      </c>
      <c r="T2018" s="1" t="str">
        <f t="shared" si="157"/>
        <v>4</v>
      </c>
      <c r="U2018" s="1">
        <v>-34.039811</v>
      </c>
      <c r="V2018" s="3">
        <v>151.14559499999999</v>
      </c>
    </row>
    <row r="2019" spans="1:22" x14ac:dyDescent="0.35">
      <c r="A2019" s="22" t="s">
        <v>5640</v>
      </c>
      <c r="B2019" s="1" t="s">
        <v>5641</v>
      </c>
      <c r="C2019" s="1" t="s">
        <v>5642</v>
      </c>
      <c r="D2019" s="1" t="s">
        <v>1776</v>
      </c>
      <c r="E2019" s="1" t="s">
        <v>147</v>
      </c>
      <c r="F2019" s="1" t="s">
        <v>47</v>
      </c>
      <c r="G2019" s="1">
        <f t="shared" si="155"/>
        <v>1</v>
      </c>
      <c r="H2019" s="1" t="s">
        <v>148</v>
      </c>
      <c r="I2019" s="1" t="s">
        <v>4583</v>
      </c>
      <c r="J2019" s="23" t="s">
        <v>50</v>
      </c>
      <c r="K2019" s="2" t="s">
        <v>51</v>
      </c>
      <c r="L2019" s="1">
        <v>985.8</v>
      </c>
      <c r="M2019" s="1"/>
      <c r="N2019" s="1" t="str">
        <f t="shared" si="158"/>
        <v>Suppressed</v>
      </c>
      <c r="O2019" s="1" t="str">
        <f t="shared" si="156"/>
        <v/>
      </c>
      <c r="P2019" s="1">
        <v>39</v>
      </c>
      <c r="Q2019" s="1">
        <v>1118</v>
      </c>
      <c r="R2019" s="1" t="str">
        <f t="shared" si="159"/>
        <v>4</v>
      </c>
      <c r="S2019" s="1">
        <v>19</v>
      </c>
      <c r="T2019" s="1" t="str">
        <f t="shared" si="157"/>
        <v>4</v>
      </c>
      <c r="U2019" s="1">
        <v>-33.757306999999997</v>
      </c>
      <c r="V2019" s="3">
        <v>151.11478600000001</v>
      </c>
    </row>
    <row r="2020" spans="1:22" x14ac:dyDescent="0.35">
      <c r="A2020" s="22" t="s">
        <v>5643</v>
      </c>
      <c r="B2020" s="1" t="s">
        <v>5644</v>
      </c>
      <c r="C2020" s="1" t="s">
        <v>1360</v>
      </c>
      <c r="D2020" s="1" t="s">
        <v>169</v>
      </c>
      <c r="E2020" s="1" t="s">
        <v>170</v>
      </c>
      <c r="F2020" s="1" t="s">
        <v>47</v>
      </c>
      <c r="G2020" s="1">
        <f t="shared" si="155"/>
        <v>1</v>
      </c>
      <c r="H2020" s="1" t="s">
        <v>48</v>
      </c>
      <c r="I2020" s="1" t="s">
        <v>4583</v>
      </c>
      <c r="J2020" s="23" t="s">
        <v>50</v>
      </c>
      <c r="K2020" s="2" t="s">
        <v>51</v>
      </c>
      <c r="L2020" s="1">
        <v>733</v>
      </c>
      <c r="M2020" s="1">
        <v>1</v>
      </c>
      <c r="N2020" s="1" t="str">
        <f t="shared" si="158"/>
        <v>Published</v>
      </c>
      <c r="O2020" s="1">
        <f t="shared" si="156"/>
        <v>7.33</v>
      </c>
      <c r="P2020" s="1">
        <v>96</v>
      </c>
      <c r="Q2020" s="1">
        <v>855</v>
      </c>
      <c r="R2020" s="1" t="str">
        <f t="shared" si="159"/>
        <v>1</v>
      </c>
      <c r="S2020" s="1">
        <v>205</v>
      </c>
      <c r="T2020" s="1" t="str">
        <f t="shared" si="157"/>
        <v>4</v>
      </c>
      <c r="U2020" s="1">
        <v>-33.860626000000003</v>
      </c>
      <c r="V2020" s="3">
        <v>150.99759800000001</v>
      </c>
    </row>
    <row r="2021" spans="1:22" x14ac:dyDescent="0.35">
      <c r="A2021" s="22" t="s">
        <v>5645</v>
      </c>
      <c r="B2021" s="1" t="s">
        <v>5646</v>
      </c>
      <c r="C2021" s="1" t="s">
        <v>5647</v>
      </c>
      <c r="D2021" s="1" t="s">
        <v>737</v>
      </c>
      <c r="E2021" s="1" t="s">
        <v>738</v>
      </c>
      <c r="F2021" s="1" t="s">
        <v>47</v>
      </c>
      <c r="G2021" s="1">
        <f t="shared" si="155"/>
        <v>1</v>
      </c>
      <c r="H2021" s="1" t="s">
        <v>182</v>
      </c>
      <c r="I2021" s="1" t="s">
        <v>4583</v>
      </c>
      <c r="J2021" s="23" t="s">
        <v>50</v>
      </c>
      <c r="K2021" s="2" t="s">
        <v>51</v>
      </c>
      <c r="L2021" s="1">
        <v>1185</v>
      </c>
      <c r="M2021" s="1">
        <v>2</v>
      </c>
      <c r="N2021" s="1" t="str">
        <f t="shared" si="158"/>
        <v>Published</v>
      </c>
      <c r="O2021" s="1">
        <f t="shared" si="156"/>
        <v>23.7</v>
      </c>
      <c r="P2021" s="1">
        <v>18</v>
      </c>
      <c r="Q2021" s="1">
        <v>1092</v>
      </c>
      <c r="R2021" s="1" t="str">
        <f t="shared" si="159"/>
        <v>3</v>
      </c>
      <c r="S2021" s="1">
        <v>45</v>
      </c>
      <c r="T2021" s="1" t="str">
        <f t="shared" si="157"/>
        <v>5</v>
      </c>
      <c r="U2021" s="1">
        <v>-34.043480000000002</v>
      </c>
      <c r="V2021" s="3">
        <v>151.073475</v>
      </c>
    </row>
    <row r="2022" spans="1:22" x14ac:dyDescent="0.35">
      <c r="A2022" s="22" t="s">
        <v>5648</v>
      </c>
      <c r="B2022" s="1" t="s">
        <v>5649</v>
      </c>
      <c r="C2022" s="1" t="s">
        <v>2295</v>
      </c>
      <c r="D2022" s="1" t="s">
        <v>126</v>
      </c>
      <c r="E2022" s="1" t="s">
        <v>306</v>
      </c>
      <c r="F2022" s="1" t="s">
        <v>47</v>
      </c>
      <c r="G2022" s="1">
        <f t="shared" si="155"/>
        <v>1</v>
      </c>
      <c r="H2022" s="1" t="s">
        <v>148</v>
      </c>
      <c r="I2022" s="1" t="s">
        <v>4583</v>
      </c>
      <c r="J2022" s="23" t="s">
        <v>50</v>
      </c>
      <c r="K2022" s="2" t="s">
        <v>51</v>
      </c>
      <c r="L2022" s="1">
        <v>1130.3</v>
      </c>
      <c r="M2022" s="1">
        <v>1</v>
      </c>
      <c r="N2022" s="1" t="str">
        <f t="shared" si="158"/>
        <v>Published</v>
      </c>
      <c r="O2022" s="1">
        <f t="shared" si="156"/>
        <v>11.302999999999999</v>
      </c>
      <c r="P2022" s="1">
        <v>36</v>
      </c>
      <c r="Q2022" s="1">
        <v>1109</v>
      </c>
      <c r="R2022" s="1" t="str">
        <f t="shared" si="159"/>
        <v>4</v>
      </c>
      <c r="S2022" s="1">
        <v>28</v>
      </c>
      <c r="T2022" s="1" t="str">
        <f t="shared" si="157"/>
        <v>5</v>
      </c>
      <c r="U2022" s="1">
        <v>-33.733691999999998</v>
      </c>
      <c r="V2022" s="3">
        <v>151.06108699999999</v>
      </c>
    </row>
    <row r="2023" spans="1:22" x14ac:dyDescent="0.35">
      <c r="A2023" s="22" t="s">
        <v>5650</v>
      </c>
      <c r="B2023" s="1" t="s">
        <v>5651</v>
      </c>
      <c r="C2023" s="1" t="s">
        <v>4109</v>
      </c>
      <c r="D2023" s="1" t="s">
        <v>489</v>
      </c>
      <c r="E2023" s="1" t="s">
        <v>75</v>
      </c>
      <c r="F2023" s="1" t="s">
        <v>47</v>
      </c>
      <c r="G2023" s="1">
        <f t="shared" si="155"/>
        <v>1</v>
      </c>
      <c r="H2023" s="1" t="s">
        <v>58</v>
      </c>
      <c r="I2023" s="1" t="s">
        <v>4583</v>
      </c>
      <c r="J2023" s="23" t="s">
        <v>50</v>
      </c>
      <c r="K2023" s="2" t="s">
        <v>51</v>
      </c>
      <c r="L2023" s="1">
        <v>741.8</v>
      </c>
      <c r="M2023" s="1">
        <v>21</v>
      </c>
      <c r="N2023" s="1" t="str">
        <f t="shared" si="158"/>
        <v>Published</v>
      </c>
      <c r="O2023" s="1">
        <f t="shared" si="156"/>
        <v>155.77799999999999</v>
      </c>
      <c r="P2023" s="1">
        <v>6</v>
      </c>
      <c r="Q2023" s="1">
        <v>912</v>
      </c>
      <c r="R2023" s="1" t="str">
        <f t="shared" si="159"/>
        <v>2</v>
      </c>
      <c r="S2023" s="1">
        <v>144</v>
      </c>
      <c r="T2023" s="1" t="str">
        <f t="shared" si="157"/>
        <v>4</v>
      </c>
      <c r="U2023" s="1">
        <v>-32.796979999999998</v>
      </c>
      <c r="V2023" s="3">
        <v>151.66077000000001</v>
      </c>
    </row>
    <row r="2024" spans="1:22" x14ac:dyDescent="0.35">
      <c r="A2024" s="22" t="s">
        <v>5652</v>
      </c>
      <c r="B2024" s="1" t="s">
        <v>5653</v>
      </c>
      <c r="C2024" s="1" t="s">
        <v>3715</v>
      </c>
      <c r="D2024" s="1" t="s">
        <v>191</v>
      </c>
      <c r="E2024" s="1" t="s">
        <v>75</v>
      </c>
      <c r="F2024" s="1" t="s">
        <v>47</v>
      </c>
      <c r="G2024" s="1">
        <f t="shared" si="155"/>
        <v>1</v>
      </c>
      <c r="H2024" s="1" t="s">
        <v>63</v>
      </c>
      <c r="I2024" s="1" t="s">
        <v>4583</v>
      </c>
      <c r="J2024" s="23" t="s">
        <v>50</v>
      </c>
      <c r="K2024" s="2" t="s">
        <v>51</v>
      </c>
      <c r="L2024" s="1">
        <v>1159.2</v>
      </c>
      <c r="M2024" s="1">
        <v>4</v>
      </c>
      <c r="N2024" s="1" t="str">
        <f t="shared" si="158"/>
        <v>Published</v>
      </c>
      <c r="O2024" s="1">
        <f t="shared" si="156"/>
        <v>46.368000000000002</v>
      </c>
      <c r="P2024" s="1">
        <v>7</v>
      </c>
      <c r="Q2024" s="1">
        <v>1056</v>
      </c>
      <c r="R2024" s="1" t="str">
        <f t="shared" si="159"/>
        <v>3</v>
      </c>
      <c r="S2024" s="1">
        <v>65</v>
      </c>
      <c r="T2024" s="1" t="str">
        <f t="shared" si="157"/>
        <v>5</v>
      </c>
      <c r="U2024" s="1">
        <v>-32.967703</v>
      </c>
      <c r="V2024" s="3">
        <v>151.65369100000001</v>
      </c>
    </row>
    <row r="2025" spans="1:22" x14ac:dyDescent="0.35">
      <c r="A2025" s="22" t="s">
        <v>5654</v>
      </c>
      <c r="B2025" s="1" t="s">
        <v>5655</v>
      </c>
      <c r="C2025" s="1" t="s">
        <v>1408</v>
      </c>
      <c r="D2025" s="1" t="s">
        <v>506</v>
      </c>
      <c r="E2025" s="1" t="s">
        <v>80</v>
      </c>
      <c r="F2025" s="1" t="s">
        <v>57</v>
      </c>
      <c r="G2025" s="1">
        <f t="shared" si="155"/>
        <v>2</v>
      </c>
      <c r="H2025" s="1" t="s">
        <v>70</v>
      </c>
      <c r="I2025" s="1" t="s">
        <v>4583</v>
      </c>
      <c r="J2025" s="23" t="s">
        <v>50</v>
      </c>
      <c r="K2025" s="2" t="s">
        <v>51</v>
      </c>
      <c r="L2025" s="1">
        <v>153.6</v>
      </c>
      <c r="M2025" s="1">
        <v>11</v>
      </c>
      <c r="N2025" s="1" t="str">
        <f t="shared" si="158"/>
        <v>Published</v>
      </c>
      <c r="O2025" s="1">
        <f t="shared" si="156"/>
        <v>16.896000000000001</v>
      </c>
      <c r="P2025" s="1"/>
      <c r="Q2025" s="1">
        <v>923</v>
      </c>
      <c r="R2025" s="1" t="str">
        <f t="shared" si="159"/>
        <v>2</v>
      </c>
      <c r="S2025" s="1">
        <v>132</v>
      </c>
      <c r="T2025" s="1" t="str">
        <f t="shared" si="157"/>
        <v>2</v>
      </c>
      <c r="U2025" s="1">
        <v>-35.057144000000001</v>
      </c>
      <c r="V2025" s="3">
        <v>148.09942100000001</v>
      </c>
    </row>
    <row r="2026" spans="1:22" x14ac:dyDescent="0.35">
      <c r="A2026" s="22" t="s">
        <v>5656</v>
      </c>
      <c r="B2026" s="1" t="s">
        <v>5657</v>
      </c>
      <c r="C2026" s="1" t="s">
        <v>2483</v>
      </c>
      <c r="D2026" s="1" t="s">
        <v>1131</v>
      </c>
      <c r="E2026" s="1" t="s">
        <v>429</v>
      </c>
      <c r="F2026" s="1" t="s">
        <v>47</v>
      </c>
      <c r="G2026" s="1">
        <f t="shared" si="155"/>
        <v>1</v>
      </c>
      <c r="H2026" s="1" t="s">
        <v>182</v>
      </c>
      <c r="I2026" s="1" t="s">
        <v>4583</v>
      </c>
      <c r="J2026" s="23" t="s">
        <v>50</v>
      </c>
      <c r="K2026" s="2" t="s">
        <v>51</v>
      </c>
      <c r="L2026" s="1">
        <v>764.9</v>
      </c>
      <c r="M2026" s="1">
        <v>11</v>
      </c>
      <c r="N2026" s="1" t="str">
        <f t="shared" si="158"/>
        <v>Published</v>
      </c>
      <c r="O2026" s="1">
        <f t="shared" si="156"/>
        <v>84.138999999999996</v>
      </c>
      <c r="P2026" s="1">
        <v>41</v>
      </c>
      <c r="Q2026" s="1">
        <v>922</v>
      </c>
      <c r="R2026" s="1" t="str">
        <f t="shared" si="159"/>
        <v>2</v>
      </c>
      <c r="S2026" s="1">
        <v>147</v>
      </c>
      <c r="T2026" s="1" t="str">
        <f t="shared" si="157"/>
        <v>4</v>
      </c>
      <c r="U2026" s="1">
        <v>-33.777602000000002</v>
      </c>
      <c r="V2026" s="3">
        <v>150.797336</v>
      </c>
    </row>
    <row r="2027" spans="1:22" x14ac:dyDescent="0.35">
      <c r="A2027" s="22" t="s">
        <v>5658</v>
      </c>
      <c r="B2027" s="1" t="s">
        <v>5659</v>
      </c>
      <c r="C2027" s="1" t="s">
        <v>3960</v>
      </c>
      <c r="D2027" s="1" t="s">
        <v>703</v>
      </c>
      <c r="E2027" s="1" t="s">
        <v>261</v>
      </c>
      <c r="F2027" s="1" t="s">
        <v>57</v>
      </c>
      <c r="G2027" s="1">
        <f t="shared" si="155"/>
        <v>2</v>
      </c>
      <c r="H2027" s="1" t="s">
        <v>70</v>
      </c>
      <c r="I2027" s="1" t="s">
        <v>4583</v>
      </c>
      <c r="J2027" s="23" t="s">
        <v>50</v>
      </c>
      <c r="K2027" s="2" t="s">
        <v>51</v>
      </c>
      <c r="L2027" s="1">
        <v>545.79999999999995</v>
      </c>
      <c r="M2027" s="1">
        <v>44</v>
      </c>
      <c r="N2027" s="1" t="str">
        <f t="shared" si="158"/>
        <v>Published</v>
      </c>
      <c r="O2027" s="1">
        <f t="shared" si="156"/>
        <v>240.15199999999999</v>
      </c>
      <c r="P2027" s="1">
        <v>6</v>
      </c>
      <c r="Q2027" s="1">
        <v>838</v>
      </c>
      <c r="R2027" s="1" t="str">
        <f t="shared" si="159"/>
        <v>1</v>
      </c>
      <c r="S2027" s="1">
        <v>156</v>
      </c>
      <c r="T2027" s="1" t="str">
        <f t="shared" si="157"/>
        <v>3</v>
      </c>
      <c r="U2027" s="1">
        <v>-33.291758999999999</v>
      </c>
      <c r="V2027" s="3">
        <v>149.12174099999999</v>
      </c>
    </row>
    <row r="2028" spans="1:22" x14ac:dyDescent="0.35">
      <c r="A2028" s="22" t="s">
        <v>5660</v>
      </c>
      <c r="B2028" s="1" t="s">
        <v>5661</v>
      </c>
      <c r="C2028" s="1" t="s">
        <v>5662</v>
      </c>
      <c r="D2028" s="1" t="s">
        <v>428</v>
      </c>
      <c r="E2028" s="1" t="s">
        <v>429</v>
      </c>
      <c r="F2028" s="1" t="s">
        <v>47</v>
      </c>
      <c r="G2028" s="1">
        <f t="shared" si="155"/>
        <v>1</v>
      </c>
      <c r="H2028" s="1" t="s">
        <v>63</v>
      </c>
      <c r="I2028" s="1" t="s">
        <v>4583</v>
      </c>
      <c r="J2028" s="23" t="s">
        <v>50</v>
      </c>
      <c r="K2028" s="2" t="s">
        <v>51</v>
      </c>
      <c r="L2028" s="1">
        <v>565.20000000000005</v>
      </c>
      <c r="M2028" s="1">
        <v>7</v>
      </c>
      <c r="N2028" s="1" t="str">
        <f t="shared" si="158"/>
        <v>Published</v>
      </c>
      <c r="O2028" s="1">
        <f t="shared" si="156"/>
        <v>39.564000000000007</v>
      </c>
      <c r="P2028" s="1">
        <v>13</v>
      </c>
      <c r="Q2028" s="1">
        <v>1027</v>
      </c>
      <c r="R2028" s="1" t="str">
        <f t="shared" si="159"/>
        <v>3</v>
      </c>
      <c r="S2028" s="1">
        <v>74</v>
      </c>
      <c r="T2028" s="1" t="str">
        <f t="shared" si="157"/>
        <v>3</v>
      </c>
      <c r="U2028" s="1">
        <v>-33.685057</v>
      </c>
      <c r="V2028" s="3">
        <v>150.55060800000001</v>
      </c>
    </row>
    <row r="2029" spans="1:22" x14ac:dyDescent="0.35">
      <c r="A2029" s="22" t="s">
        <v>5663</v>
      </c>
      <c r="B2029" s="1" t="s">
        <v>5664</v>
      </c>
      <c r="C2029" s="1" t="s">
        <v>3977</v>
      </c>
      <c r="D2029" s="1" t="s">
        <v>642</v>
      </c>
      <c r="E2029" s="1" t="s">
        <v>170</v>
      </c>
      <c r="F2029" s="1" t="s">
        <v>47</v>
      </c>
      <c r="G2029" s="1">
        <f t="shared" si="155"/>
        <v>1</v>
      </c>
      <c r="H2029" s="1" t="s">
        <v>148</v>
      </c>
      <c r="I2029" s="1" t="s">
        <v>4583</v>
      </c>
      <c r="J2029" s="23" t="s">
        <v>50</v>
      </c>
      <c r="K2029" s="2" t="s">
        <v>51</v>
      </c>
      <c r="L2029" s="1">
        <v>1771.5</v>
      </c>
      <c r="M2029" s="1">
        <v>0</v>
      </c>
      <c r="N2029" s="1" t="str">
        <f t="shared" si="158"/>
        <v>Published</v>
      </c>
      <c r="O2029" s="1">
        <f t="shared" si="156"/>
        <v>0</v>
      </c>
      <c r="P2029" s="1">
        <v>83</v>
      </c>
      <c r="Q2029" s="1">
        <v>1111</v>
      </c>
      <c r="R2029" s="1" t="str">
        <f t="shared" si="159"/>
        <v>4</v>
      </c>
      <c r="S2029" s="1">
        <v>26</v>
      </c>
      <c r="T2029" s="1" t="str">
        <f t="shared" si="157"/>
        <v>5</v>
      </c>
      <c r="U2029" s="1">
        <v>-33.765411999999998</v>
      </c>
      <c r="V2029" s="3">
        <v>151.05076399999999</v>
      </c>
    </row>
    <row r="2030" spans="1:22" x14ac:dyDescent="0.35">
      <c r="A2030" s="22" t="s">
        <v>5665</v>
      </c>
      <c r="B2030" s="1" t="s">
        <v>5666</v>
      </c>
      <c r="C2030" s="1" t="s">
        <v>492</v>
      </c>
      <c r="D2030" s="1" t="s">
        <v>382</v>
      </c>
      <c r="E2030" s="1" t="s">
        <v>196</v>
      </c>
      <c r="F2030" s="1" t="s">
        <v>57</v>
      </c>
      <c r="G2030" s="1">
        <f t="shared" si="155"/>
        <v>2</v>
      </c>
      <c r="H2030" s="1" t="s">
        <v>86</v>
      </c>
      <c r="I2030" s="1" t="s">
        <v>4583</v>
      </c>
      <c r="J2030" s="23" t="s">
        <v>50</v>
      </c>
      <c r="K2030" s="2" t="s">
        <v>51</v>
      </c>
      <c r="L2030" s="1">
        <v>707</v>
      </c>
      <c r="M2030" s="1">
        <v>19</v>
      </c>
      <c r="N2030" s="1" t="str">
        <f t="shared" si="158"/>
        <v>Published</v>
      </c>
      <c r="O2030" s="1">
        <f t="shared" si="156"/>
        <v>134.33000000000001</v>
      </c>
      <c r="P2030" s="1">
        <v>7</v>
      </c>
      <c r="Q2030" s="1">
        <v>955</v>
      </c>
      <c r="R2030" s="1" t="str">
        <f t="shared" si="159"/>
        <v>2</v>
      </c>
      <c r="S2030" s="1">
        <v>112</v>
      </c>
      <c r="T2030" s="1" t="str">
        <f t="shared" si="157"/>
        <v>4</v>
      </c>
      <c r="U2030" s="1">
        <v>-34.844037999999998</v>
      </c>
      <c r="V2030" s="3">
        <v>150.60272499999999</v>
      </c>
    </row>
    <row r="2031" spans="1:22" x14ac:dyDescent="0.35">
      <c r="A2031" s="22" t="s">
        <v>5667</v>
      </c>
      <c r="B2031" s="1" t="s">
        <v>5668</v>
      </c>
      <c r="C2031" s="1" t="s">
        <v>4116</v>
      </c>
      <c r="D2031" s="1" t="s">
        <v>176</v>
      </c>
      <c r="E2031" s="1" t="s">
        <v>85</v>
      </c>
      <c r="F2031" s="1" t="s">
        <v>47</v>
      </c>
      <c r="G2031" s="1">
        <f t="shared" si="155"/>
        <v>1</v>
      </c>
      <c r="H2031" s="1" t="s">
        <v>86</v>
      </c>
      <c r="I2031" s="1" t="s">
        <v>4583</v>
      </c>
      <c r="J2031" s="23" t="s">
        <v>50</v>
      </c>
      <c r="K2031" s="2" t="s">
        <v>51</v>
      </c>
      <c r="L2031" s="1">
        <v>879.6</v>
      </c>
      <c r="M2031" s="1">
        <v>7</v>
      </c>
      <c r="N2031" s="1" t="str">
        <f t="shared" si="158"/>
        <v>Published</v>
      </c>
      <c r="O2031" s="1">
        <f t="shared" si="156"/>
        <v>61.57200000000001</v>
      </c>
      <c r="P2031" s="1">
        <v>22</v>
      </c>
      <c r="Q2031" s="1">
        <v>1013</v>
      </c>
      <c r="R2031" s="1" t="str">
        <f t="shared" si="159"/>
        <v>3</v>
      </c>
      <c r="S2031" s="1">
        <v>92</v>
      </c>
      <c r="T2031" s="1" t="str">
        <f t="shared" si="157"/>
        <v>4</v>
      </c>
      <c r="U2031" s="1">
        <v>-34.438352000000002</v>
      </c>
      <c r="V2031" s="3">
        <v>150.855197</v>
      </c>
    </row>
    <row r="2032" spans="1:22" x14ac:dyDescent="0.35">
      <c r="A2032" s="22" t="s">
        <v>5669</v>
      </c>
      <c r="B2032" s="1" t="s">
        <v>5670</v>
      </c>
      <c r="C2032" s="1" t="s">
        <v>2756</v>
      </c>
      <c r="D2032" s="1" t="s">
        <v>79</v>
      </c>
      <c r="E2032" s="1" t="s">
        <v>80</v>
      </c>
      <c r="F2032" s="1" t="s">
        <v>69</v>
      </c>
      <c r="G2032" s="1">
        <f t="shared" si="155"/>
        <v>3</v>
      </c>
      <c r="H2032" s="1" t="s">
        <v>70</v>
      </c>
      <c r="I2032" s="1" t="s">
        <v>4583</v>
      </c>
      <c r="J2032" s="23" t="s">
        <v>50</v>
      </c>
      <c r="K2032" s="2" t="s">
        <v>51</v>
      </c>
      <c r="L2032" s="1">
        <v>147.6</v>
      </c>
      <c r="M2032" s="1">
        <v>24</v>
      </c>
      <c r="N2032" s="1" t="str">
        <f t="shared" si="158"/>
        <v>Published</v>
      </c>
      <c r="O2032" s="1">
        <f t="shared" si="156"/>
        <v>35.423999999999999</v>
      </c>
      <c r="P2032" s="1">
        <v>5</v>
      </c>
      <c r="Q2032" s="1">
        <v>910</v>
      </c>
      <c r="R2032" s="1" t="str">
        <f t="shared" si="159"/>
        <v>2</v>
      </c>
      <c r="S2032" s="1">
        <v>130</v>
      </c>
      <c r="T2032" s="1" t="str">
        <f t="shared" si="157"/>
        <v>2</v>
      </c>
      <c r="U2032" s="1">
        <v>-35.783098000000003</v>
      </c>
      <c r="V2032" s="3">
        <v>148.01824500000001</v>
      </c>
    </row>
    <row r="2033" spans="1:22" x14ac:dyDescent="0.35">
      <c r="A2033" s="22" t="s">
        <v>5671</v>
      </c>
      <c r="B2033" s="1" t="s">
        <v>5672</v>
      </c>
      <c r="C2033" s="1" t="s">
        <v>897</v>
      </c>
      <c r="D2033" s="1" t="s">
        <v>897</v>
      </c>
      <c r="E2033" s="1" t="s">
        <v>102</v>
      </c>
      <c r="F2033" s="1" t="s">
        <v>241</v>
      </c>
      <c r="G2033" s="1">
        <f t="shared" si="155"/>
        <v>4</v>
      </c>
      <c r="H2033" s="1" t="s">
        <v>86</v>
      </c>
      <c r="I2033" s="1" t="s">
        <v>4583</v>
      </c>
      <c r="J2033" s="23" t="s">
        <v>50</v>
      </c>
      <c r="K2033" s="2" t="s">
        <v>51</v>
      </c>
      <c r="L2033" s="1">
        <v>161</v>
      </c>
      <c r="M2033" s="1">
        <v>82</v>
      </c>
      <c r="N2033" s="1" t="str">
        <f t="shared" si="158"/>
        <v>Published</v>
      </c>
      <c r="O2033" s="1">
        <f t="shared" si="156"/>
        <v>132.01999999999998</v>
      </c>
      <c r="P2033" s="1">
        <v>4</v>
      </c>
      <c r="Q2033" s="1">
        <v>733</v>
      </c>
      <c r="R2033" s="1" t="str">
        <f t="shared" si="159"/>
        <v>1</v>
      </c>
      <c r="S2033" s="1">
        <v>176</v>
      </c>
      <c r="T2033" s="1" t="str">
        <f t="shared" si="157"/>
        <v>2</v>
      </c>
      <c r="U2033" s="1">
        <v>-30.955763000000001</v>
      </c>
      <c r="V2033" s="3">
        <v>148.39135099999999</v>
      </c>
    </row>
    <row r="2034" spans="1:22" x14ac:dyDescent="0.35">
      <c r="A2034" s="22" t="s">
        <v>5673</v>
      </c>
      <c r="B2034" s="1" t="s">
        <v>5674</v>
      </c>
      <c r="C2034" s="1" t="s">
        <v>5675</v>
      </c>
      <c r="D2034" s="1" t="s">
        <v>394</v>
      </c>
      <c r="E2034" s="1" t="s">
        <v>68</v>
      </c>
      <c r="F2034" s="1" t="s">
        <v>57</v>
      </c>
      <c r="G2034" s="1">
        <f t="shared" si="155"/>
        <v>2</v>
      </c>
      <c r="H2034" s="1" t="s">
        <v>86</v>
      </c>
      <c r="I2034" s="1" t="s">
        <v>4583</v>
      </c>
      <c r="J2034" s="23" t="s">
        <v>50</v>
      </c>
      <c r="K2034" s="2" t="s">
        <v>51</v>
      </c>
      <c r="L2034" s="1">
        <v>182</v>
      </c>
      <c r="M2034" s="1">
        <v>9</v>
      </c>
      <c r="N2034" s="1" t="str">
        <f t="shared" si="158"/>
        <v>Published</v>
      </c>
      <c r="O2034" s="1">
        <f t="shared" si="156"/>
        <v>16.38</v>
      </c>
      <c r="P2034" s="1">
        <v>3</v>
      </c>
      <c r="Q2034" s="1">
        <v>940</v>
      </c>
      <c r="R2034" s="1" t="str">
        <f t="shared" si="159"/>
        <v>2</v>
      </c>
      <c r="S2034" s="1">
        <v>122</v>
      </c>
      <c r="T2034" s="1" t="str">
        <f t="shared" si="157"/>
        <v>2</v>
      </c>
      <c r="U2034" s="1">
        <v>-34.452753999999999</v>
      </c>
      <c r="V2034" s="3">
        <v>149.46696700000001</v>
      </c>
    </row>
    <row r="2035" spans="1:22" x14ac:dyDescent="0.35">
      <c r="A2035" s="22" t="s">
        <v>5676</v>
      </c>
      <c r="B2035" s="1" t="s">
        <v>5677</v>
      </c>
      <c r="C2035" s="1" t="s">
        <v>1473</v>
      </c>
      <c r="D2035" s="1" t="s">
        <v>333</v>
      </c>
      <c r="E2035" s="1" t="s">
        <v>281</v>
      </c>
      <c r="F2035" s="1" t="s">
        <v>57</v>
      </c>
      <c r="G2035" s="1">
        <f t="shared" si="155"/>
        <v>2</v>
      </c>
      <c r="H2035" s="1" t="s">
        <v>58</v>
      </c>
      <c r="I2035" s="1" t="s">
        <v>4583</v>
      </c>
      <c r="J2035" s="23" t="s">
        <v>50</v>
      </c>
      <c r="K2035" s="2" t="s">
        <v>51</v>
      </c>
      <c r="L2035" s="1">
        <v>117.8</v>
      </c>
      <c r="M2035" s="1">
        <v>9</v>
      </c>
      <c r="N2035" s="1" t="str">
        <f t="shared" si="158"/>
        <v>Published</v>
      </c>
      <c r="O2035" s="1">
        <f t="shared" si="156"/>
        <v>10.601999999999999</v>
      </c>
      <c r="P2035" s="1">
        <v>16</v>
      </c>
      <c r="Q2035" s="1">
        <v>951</v>
      </c>
      <c r="R2035" s="1" t="str">
        <f t="shared" si="159"/>
        <v>2</v>
      </c>
      <c r="S2035" s="1">
        <v>116</v>
      </c>
      <c r="T2035" s="1" t="str">
        <f t="shared" si="157"/>
        <v>2</v>
      </c>
      <c r="U2035" s="1">
        <v>-30.339221999999999</v>
      </c>
      <c r="V2035" s="3">
        <v>152.70549199999999</v>
      </c>
    </row>
    <row r="2036" spans="1:22" x14ac:dyDescent="0.35">
      <c r="A2036" s="22" t="s">
        <v>5678</v>
      </c>
      <c r="B2036" s="1" t="s">
        <v>5679</v>
      </c>
      <c r="C2036" s="1" t="s">
        <v>5680</v>
      </c>
      <c r="D2036" s="1" t="s">
        <v>203</v>
      </c>
      <c r="E2036" s="1" t="s">
        <v>204</v>
      </c>
      <c r="F2036" s="1" t="s">
        <v>47</v>
      </c>
      <c r="G2036" s="1">
        <f t="shared" si="155"/>
        <v>1</v>
      </c>
      <c r="H2036" s="1" t="s">
        <v>148</v>
      </c>
      <c r="I2036" s="1" t="s">
        <v>4583</v>
      </c>
      <c r="J2036" s="23" t="s">
        <v>50</v>
      </c>
      <c r="K2036" s="2" t="s">
        <v>51</v>
      </c>
      <c r="L2036" s="1">
        <v>859.5</v>
      </c>
      <c r="M2036" s="1"/>
      <c r="N2036" s="1" t="str">
        <f t="shared" si="158"/>
        <v>Suppressed</v>
      </c>
      <c r="O2036" s="1" t="str">
        <f t="shared" si="156"/>
        <v/>
      </c>
      <c r="P2036" s="1">
        <v>13</v>
      </c>
      <c r="Q2036" s="1">
        <v>1081</v>
      </c>
      <c r="R2036" s="1" t="str">
        <f t="shared" si="159"/>
        <v>3</v>
      </c>
      <c r="S2036" s="1">
        <v>46</v>
      </c>
      <c r="T2036" s="1" t="str">
        <f t="shared" si="157"/>
        <v>4</v>
      </c>
      <c r="U2036" s="1">
        <v>-33.631169999999997</v>
      </c>
      <c r="V2036" s="3">
        <v>151.33392599999999</v>
      </c>
    </row>
    <row r="2037" spans="1:22" x14ac:dyDescent="0.35">
      <c r="A2037" s="22" t="s">
        <v>5681</v>
      </c>
      <c r="B2037" s="1" t="s">
        <v>5682</v>
      </c>
      <c r="C2037" s="1" t="s">
        <v>5683</v>
      </c>
      <c r="D2037" s="1" t="s">
        <v>90</v>
      </c>
      <c r="E2037" s="1" t="s">
        <v>91</v>
      </c>
      <c r="F2037" s="1" t="s">
        <v>57</v>
      </c>
      <c r="G2037" s="1">
        <f t="shared" si="155"/>
        <v>2</v>
      </c>
      <c r="H2037" s="1" t="s">
        <v>92</v>
      </c>
      <c r="I2037" s="1" t="s">
        <v>4583</v>
      </c>
      <c r="J2037" s="23" t="s">
        <v>50</v>
      </c>
      <c r="K2037" s="2" t="s">
        <v>51</v>
      </c>
      <c r="L2037" s="1">
        <v>1004.5</v>
      </c>
      <c r="M2037" s="1">
        <v>27</v>
      </c>
      <c r="N2037" s="1" t="str">
        <f t="shared" si="158"/>
        <v>Published</v>
      </c>
      <c r="O2037" s="1">
        <f t="shared" si="156"/>
        <v>271.21500000000003</v>
      </c>
      <c r="P2037" s="1">
        <v>8</v>
      </c>
      <c r="Q2037" s="1">
        <v>936</v>
      </c>
      <c r="R2037" s="1" t="str">
        <f t="shared" si="159"/>
        <v>2</v>
      </c>
      <c r="S2037" s="1">
        <v>109</v>
      </c>
      <c r="T2037" s="1" t="str">
        <f t="shared" si="157"/>
        <v>5</v>
      </c>
      <c r="U2037" s="1">
        <v>-31.077902999999999</v>
      </c>
      <c r="V2037" s="3">
        <v>150.93907799999999</v>
      </c>
    </row>
    <row r="2038" spans="1:22" x14ac:dyDescent="0.35">
      <c r="A2038" s="22" t="s">
        <v>5684</v>
      </c>
      <c r="B2038" s="1" t="s">
        <v>5685</v>
      </c>
      <c r="C2038" s="1" t="s">
        <v>1196</v>
      </c>
      <c r="D2038" s="1" t="s">
        <v>537</v>
      </c>
      <c r="E2038" s="1" t="s">
        <v>181</v>
      </c>
      <c r="F2038" s="1" t="s">
        <v>47</v>
      </c>
      <c r="G2038" s="1">
        <f t="shared" si="155"/>
        <v>1</v>
      </c>
      <c r="H2038" s="1" t="s">
        <v>182</v>
      </c>
      <c r="I2038" s="1" t="s">
        <v>4583</v>
      </c>
      <c r="J2038" s="23" t="s">
        <v>50</v>
      </c>
      <c r="K2038" s="2" t="s">
        <v>51</v>
      </c>
      <c r="L2038" s="1">
        <v>1320</v>
      </c>
      <c r="M2038" s="1">
        <v>2</v>
      </c>
      <c r="N2038" s="1" t="str">
        <f t="shared" si="158"/>
        <v>Published</v>
      </c>
      <c r="O2038" s="1">
        <f t="shared" si="156"/>
        <v>26.400000000000002</v>
      </c>
      <c r="P2038" s="1">
        <v>93</v>
      </c>
      <c r="Q2038" s="1">
        <v>912</v>
      </c>
      <c r="R2038" s="1" t="str">
        <f t="shared" si="159"/>
        <v>2</v>
      </c>
      <c r="S2038" s="1">
        <v>170</v>
      </c>
      <c r="T2038" s="1" t="str">
        <f t="shared" si="157"/>
        <v>5</v>
      </c>
      <c r="U2038" s="1">
        <v>-33.873614000000003</v>
      </c>
      <c r="V2038" s="3">
        <v>150.92945900000001</v>
      </c>
    </row>
    <row r="2039" spans="1:22" x14ac:dyDescent="0.35">
      <c r="A2039" s="22" t="s">
        <v>5686</v>
      </c>
      <c r="B2039" s="1" t="s">
        <v>5687</v>
      </c>
      <c r="C2039" s="1" t="s">
        <v>3303</v>
      </c>
      <c r="D2039" s="1" t="s">
        <v>1776</v>
      </c>
      <c r="E2039" s="1" t="s">
        <v>147</v>
      </c>
      <c r="F2039" s="1" t="s">
        <v>47</v>
      </c>
      <c r="G2039" s="1">
        <f t="shared" si="155"/>
        <v>1</v>
      </c>
      <c r="H2039" s="1" t="s">
        <v>148</v>
      </c>
      <c r="I2039" s="1" t="s">
        <v>4583</v>
      </c>
      <c r="J2039" s="23" t="s">
        <v>50</v>
      </c>
      <c r="K2039" s="2" t="s">
        <v>51</v>
      </c>
      <c r="L2039" s="1">
        <v>1800.4</v>
      </c>
      <c r="M2039" s="1"/>
      <c r="N2039" s="1" t="str">
        <f t="shared" si="158"/>
        <v>Suppressed</v>
      </c>
      <c r="O2039" s="1" t="str">
        <f t="shared" si="156"/>
        <v/>
      </c>
      <c r="P2039" s="1">
        <v>64</v>
      </c>
      <c r="Q2039" s="1">
        <v>1147</v>
      </c>
      <c r="R2039" s="1" t="str">
        <f t="shared" si="159"/>
        <v>4</v>
      </c>
      <c r="S2039" s="1">
        <v>7</v>
      </c>
      <c r="T2039" s="1" t="str">
        <f t="shared" si="157"/>
        <v>5</v>
      </c>
      <c r="U2039" s="1">
        <v>-33.756574999999998</v>
      </c>
      <c r="V2039" s="3">
        <v>151.174102</v>
      </c>
    </row>
    <row r="2040" spans="1:22" x14ac:dyDescent="0.35">
      <c r="A2040" s="22" t="s">
        <v>5688</v>
      </c>
      <c r="B2040" s="1" t="s">
        <v>5689</v>
      </c>
      <c r="C2040" s="1" t="s">
        <v>1667</v>
      </c>
      <c r="D2040" s="1" t="s">
        <v>1131</v>
      </c>
      <c r="E2040" s="1" t="s">
        <v>429</v>
      </c>
      <c r="F2040" s="1" t="s">
        <v>47</v>
      </c>
      <c r="G2040" s="1">
        <f t="shared" si="155"/>
        <v>1</v>
      </c>
      <c r="H2040" s="1" t="s">
        <v>182</v>
      </c>
      <c r="I2040" s="1" t="s">
        <v>4583</v>
      </c>
      <c r="J2040" s="23" t="s">
        <v>50</v>
      </c>
      <c r="K2040" s="2" t="s">
        <v>51</v>
      </c>
      <c r="L2040" s="1">
        <v>1005</v>
      </c>
      <c r="M2040" s="1">
        <v>14</v>
      </c>
      <c r="N2040" s="1" t="str">
        <f t="shared" si="158"/>
        <v>Published</v>
      </c>
      <c r="O2040" s="1">
        <f t="shared" si="156"/>
        <v>140.70000000000002</v>
      </c>
      <c r="P2040" s="1">
        <v>31</v>
      </c>
      <c r="Q2040" s="1">
        <v>955</v>
      </c>
      <c r="R2040" s="1" t="str">
        <f t="shared" si="159"/>
        <v>2</v>
      </c>
      <c r="S2040" s="1">
        <v>118</v>
      </c>
      <c r="T2040" s="1" t="str">
        <f t="shared" si="157"/>
        <v>5</v>
      </c>
      <c r="U2040" s="1">
        <v>-33.770415999999997</v>
      </c>
      <c r="V2040" s="3">
        <v>150.71526299999999</v>
      </c>
    </row>
    <row r="2041" spans="1:22" x14ac:dyDescent="0.35">
      <c r="A2041" s="22" t="s">
        <v>5690</v>
      </c>
      <c r="B2041" s="1" t="s">
        <v>5691</v>
      </c>
      <c r="C2041" s="1" t="s">
        <v>836</v>
      </c>
      <c r="D2041" s="1" t="s">
        <v>837</v>
      </c>
      <c r="E2041" s="1" t="s">
        <v>838</v>
      </c>
      <c r="F2041" s="1" t="s">
        <v>47</v>
      </c>
      <c r="G2041" s="1">
        <f t="shared" si="155"/>
        <v>1</v>
      </c>
      <c r="H2041" s="1" t="s">
        <v>148</v>
      </c>
      <c r="I2041" s="1" t="s">
        <v>4583</v>
      </c>
      <c r="J2041" s="23" t="s">
        <v>50</v>
      </c>
      <c r="K2041" s="2" t="s">
        <v>51</v>
      </c>
      <c r="L2041" s="1">
        <v>648</v>
      </c>
      <c r="M2041" s="1">
        <v>21</v>
      </c>
      <c r="N2041" s="1" t="str">
        <f t="shared" si="158"/>
        <v>Published</v>
      </c>
      <c r="O2041" s="1">
        <f t="shared" si="156"/>
        <v>136.07999999999998</v>
      </c>
      <c r="P2041" s="1">
        <v>48</v>
      </c>
      <c r="Q2041" s="1">
        <v>864</v>
      </c>
      <c r="R2041" s="1" t="str">
        <f t="shared" si="159"/>
        <v>1</v>
      </c>
      <c r="S2041" s="1">
        <v>174</v>
      </c>
      <c r="T2041" s="1" t="str">
        <f t="shared" si="157"/>
        <v>4</v>
      </c>
      <c r="U2041" s="1">
        <v>-33.744656999999997</v>
      </c>
      <c r="V2041" s="3">
        <v>150.812884</v>
      </c>
    </row>
    <row r="2042" spans="1:22" x14ac:dyDescent="0.35">
      <c r="A2042" s="22" t="s">
        <v>5692</v>
      </c>
      <c r="B2042" s="1" t="s">
        <v>5693</v>
      </c>
      <c r="C2042" s="1" t="s">
        <v>5694</v>
      </c>
      <c r="D2042" s="1" t="s">
        <v>180</v>
      </c>
      <c r="E2042" s="1" t="s">
        <v>181</v>
      </c>
      <c r="F2042" s="1" t="s">
        <v>47</v>
      </c>
      <c r="G2042" s="1">
        <f t="shared" si="155"/>
        <v>1</v>
      </c>
      <c r="H2042" s="1" t="s">
        <v>182</v>
      </c>
      <c r="I2042" s="1" t="s">
        <v>4583</v>
      </c>
      <c r="J2042" s="23" t="s">
        <v>50</v>
      </c>
      <c r="K2042" s="2" t="s">
        <v>51</v>
      </c>
      <c r="L2042" s="1">
        <v>544</v>
      </c>
      <c r="M2042" s="1">
        <v>7</v>
      </c>
      <c r="N2042" s="1" t="str">
        <f t="shared" si="158"/>
        <v>Published</v>
      </c>
      <c r="O2042" s="1">
        <f t="shared" si="156"/>
        <v>38.080000000000005</v>
      </c>
      <c r="P2042" s="1">
        <v>81</v>
      </c>
      <c r="Q2042" s="1">
        <v>902</v>
      </c>
      <c r="R2042" s="1" t="str">
        <f t="shared" si="159"/>
        <v>2</v>
      </c>
      <c r="S2042" s="1">
        <v>172</v>
      </c>
      <c r="T2042" s="1" t="str">
        <f t="shared" si="157"/>
        <v>3</v>
      </c>
      <c r="U2042" s="1">
        <v>-33.908963999999997</v>
      </c>
      <c r="V2042" s="3">
        <v>150.87403900000001</v>
      </c>
    </row>
    <row r="2043" spans="1:22" x14ac:dyDescent="0.35">
      <c r="A2043" s="22" t="s">
        <v>5695</v>
      </c>
      <c r="B2043" s="1" t="s">
        <v>5696</v>
      </c>
      <c r="C2043" s="1" t="s">
        <v>251</v>
      </c>
      <c r="D2043" s="1" t="s">
        <v>252</v>
      </c>
      <c r="E2043" s="1" t="s">
        <v>96</v>
      </c>
      <c r="F2043" s="1" t="s">
        <v>69</v>
      </c>
      <c r="G2043" s="1">
        <f t="shared" si="155"/>
        <v>3</v>
      </c>
      <c r="H2043" s="1" t="s">
        <v>70</v>
      </c>
      <c r="I2043" s="1" t="s">
        <v>4583</v>
      </c>
      <c r="J2043" s="23" t="s">
        <v>50</v>
      </c>
      <c r="K2043" s="2" t="s">
        <v>51</v>
      </c>
      <c r="L2043" s="1">
        <v>183.2</v>
      </c>
      <c r="M2043" s="1">
        <v>10</v>
      </c>
      <c r="N2043" s="1" t="str">
        <f t="shared" si="158"/>
        <v>Published</v>
      </c>
      <c r="O2043" s="1">
        <f t="shared" si="156"/>
        <v>18.32</v>
      </c>
      <c r="P2043" s="1">
        <v>3</v>
      </c>
      <c r="Q2043" s="1">
        <v>951</v>
      </c>
      <c r="R2043" s="1" t="str">
        <f t="shared" si="159"/>
        <v>2</v>
      </c>
      <c r="S2043" s="1">
        <v>117</v>
      </c>
      <c r="T2043" s="1" t="str">
        <f t="shared" si="157"/>
        <v>2</v>
      </c>
      <c r="U2043" s="1">
        <v>-35.622999999999998</v>
      </c>
      <c r="V2043" s="3">
        <v>144.13205500000001</v>
      </c>
    </row>
    <row r="2044" spans="1:22" x14ac:dyDescent="0.35">
      <c r="A2044" s="22" t="s">
        <v>5697</v>
      </c>
      <c r="B2044" s="1" t="s">
        <v>5698</v>
      </c>
      <c r="C2044" s="1" t="s">
        <v>5699</v>
      </c>
      <c r="D2044" s="1" t="s">
        <v>2121</v>
      </c>
      <c r="E2044" s="1" t="s">
        <v>102</v>
      </c>
      <c r="F2044" s="1" t="s">
        <v>69</v>
      </c>
      <c r="G2044" s="1">
        <f t="shared" si="155"/>
        <v>3</v>
      </c>
      <c r="H2044" s="1" t="s">
        <v>58</v>
      </c>
      <c r="I2044" s="1" t="s">
        <v>4583</v>
      </c>
      <c r="J2044" s="23" t="s">
        <v>50</v>
      </c>
      <c r="K2044" s="2" t="s">
        <v>51</v>
      </c>
      <c r="L2044" s="1">
        <v>223</v>
      </c>
      <c r="M2044" s="1">
        <v>68</v>
      </c>
      <c r="N2044" s="1" t="str">
        <f t="shared" si="158"/>
        <v>Published</v>
      </c>
      <c r="O2044" s="1">
        <f t="shared" si="156"/>
        <v>151.64000000000001</v>
      </c>
      <c r="P2044" s="1">
        <v>24</v>
      </c>
      <c r="Q2044" s="1">
        <v>787</v>
      </c>
      <c r="R2044" s="1" t="str">
        <f t="shared" si="159"/>
        <v>1</v>
      </c>
      <c r="S2044" s="1">
        <v>160</v>
      </c>
      <c r="T2044" s="1" t="str">
        <f t="shared" si="157"/>
        <v>2</v>
      </c>
      <c r="U2044" s="1">
        <v>-32.229655000000001</v>
      </c>
      <c r="V2044" s="3">
        <v>148.24258499999999</v>
      </c>
    </row>
    <row r="2045" spans="1:22" x14ac:dyDescent="0.35">
      <c r="A2045" s="22" t="s">
        <v>5700</v>
      </c>
      <c r="B2045" s="1" t="s">
        <v>5701</v>
      </c>
      <c r="C2045" s="1" t="s">
        <v>5702</v>
      </c>
      <c r="D2045" s="1" t="s">
        <v>737</v>
      </c>
      <c r="E2045" s="1" t="s">
        <v>738</v>
      </c>
      <c r="F2045" s="1" t="s">
        <v>47</v>
      </c>
      <c r="G2045" s="1">
        <f t="shared" si="155"/>
        <v>1</v>
      </c>
      <c r="H2045" s="1" t="s">
        <v>182</v>
      </c>
      <c r="I2045" s="1" t="s">
        <v>4583</v>
      </c>
      <c r="J2045" s="23" t="s">
        <v>50</v>
      </c>
      <c r="K2045" s="2" t="s">
        <v>51</v>
      </c>
      <c r="L2045" s="1">
        <v>750</v>
      </c>
      <c r="M2045" s="1">
        <v>3</v>
      </c>
      <c r="N2045" s="1" t="str">
        <f t="shared" si="158"/>
        <v>Published</v>
      </c>
      <c r="O2045" s="1">
        <f t="shared" si="156"/>
        <v>22.5</v>
      </c>
      <c r="P2045" s="1">
        <v>47</v>
      </c>
      <c r="Q2045" s="1">
        <v>1039</v>
      </c>
      <c r="R2045" s="1" t="str">
        <f t="shared" si="159"/>
        <v>3</v>
      </c>
      <c r="S2045" s="1">
        <v>77</v>
      </c>
      <c r="T2045" s="1" t="str">
        <f t="shared" si="157"/>
        <v>4</v>
      </c>
      <c r="U2045" s="1">
        <v>-34.017367</v>
      </c>
      <c r="V2045" s="3">
        <v>151.10352900000001</v>
      </c>
    </row>
    <row r="2046" spans="1:22" x14ac:dyDescent="0.35">
      <c r="A2046" s="22" t="s">
        <v>5703</v>
      </c>
      <c r="B2046" s="1" t="s">
        <v>5704</v>
      </c>
      <c r="C2046" s="1" t="s">
        <v>3951</v>
      </c>
      <c r="D2046" s="1" t="s">
        <v>761</v>
      </c>
      <c r="E2046" s="1" t="s">
        <v>127</v>
      </c>
      <c r="F2046" s="1" t="s">
        <v>47</v>
      </c>
      <c r="G2046" s="1">
        <f t="shared" si="155"/>
        <v>1</v>
      </c>
      <c r="H2046" s="1" t="s">
        <v>148</v>
      </c>
      <c r="I2046" s="1" t="s">
        <v>4583</v>
      </c>
      <c r="J2046" s="23" t="s">
        <v>5167</v>
      </c>
      <c r="K2046" s="2" t="s">
        <v>51</v>
      </c>
      <c r="L2046" s="1">
        <v>1222.3</v>
      </c>
      <c r="M2046" s="1">
        <v>0</v>
      </c>
      <c r="N2046" s="1" t="str">
        <f t="shared" si="158"/>
        <v>Published</v>
      </c>
      <c r="O2046" s="1">
        <f t="shared" si="156"/>
        <v>0</v>
      </c>
      <c r="P2046" s="1">
        <v>94</v>
      </c>
      <c r="Q2046" s="1">
        <v>1203</v>
      </c>
      <c r="R2046" s="1" t="str">
        <f t="shared" si="159"/>
        <v>4</v>
      </c>
      <c r="S2046" s="1">
        <v>2</v>
      </c>
      <c r="T2046" s="1" t="str">
        <f t="shared" si="157"/>
        <v>5</v>
      </c>
      <c r="U2046" s="1">
        <v>-33.750227000000002</v>
      </c>
      <c r="V2046" s="3">
        <v>150.991499</v>
      </c>
    </row>
    <row r="2047" spans="1:22" x14ac:dyDescent="0.35">
      <c r="A2047" s="22" t="s">
        <v>5705</v>
      </c>
      <c r="B2047" s="1" t="s">
        <v>5706</v>
      </c>
      <c r="C2047" s="1" t="s">
        <v>5707</v>
      </c>
      <c r="D2047" s="1" t="s">
        <v>186</v>
      </c>
      <c r="E2047" s="1" t="s">
        <v>187</v>
      </c>
      <c r="F2047" s="1" t="s">
        <v>47</v>
      </c>
      <c r="G2047" s="1">
        <f t="shared" si="155"/>
        <v>1</v>
      </c>
      <c r="H2047" s="1" t="s">
        <v>63</v>
      </c>
      <c r="I2047" s="1" t="s">
        <v>4583</v>
      </c>
      <c r="J2047" s="23" t="s">
        <v>50</v>
      </c>
      <c r="K2047" s="2" t="s">
        <v>51</v>
      </c>
      <c r="L2047" s="1">
        <v>754</v>
      </c>
      <c r="M2047" s="1">
        <v>13</v>
      </c>
      <c r="N2047" s="1" t="str">
        <f t="shared" si="158"/>
        <v>Published</v>
      </c>
      <c r="O2047" s="1">
        <f t="shared" si="156"/>
        <v>98.02000000000001</v>
      </c>
      <c r="P2047" s="1">
        <v>7</v>
      </c>
      <c r="Q2047" s="1">
        <v>987</v>
      </c>
      <c r="R2047" s="1" t="str">
        <f t="shared" si="159"/>
        <v>2</v>
      </c>
      <c r="S2047" s="1">
        <v>100</v>
      </c>
      <c r="T2047" s="1" t="str">
        <f t="shared" si="157"/>
        <v>4</v>
      </c>
      <c r="U2047" s="1">
        <v>-33.371256000000002</v>
      </c>
      <c r="V2047" s="3">
        <v>151.47661299999999</v>
      </c>
    </row>
    <row r="2048" spans="1:22" x14ac:dyDescent="0.35">
      <c r="A2048" s="22" t="s">
        <v>5708</v>
      </c>
      <c r="B2048" s="1" t="s">
        <v>5709</v>
      </c>
      <c r="C2048" s="1" t="s">
        <v>3718</v>
      </c>
      <c r="D2048" s="1" t="s">
        <v>191</v>
      </c>
      <c r="E2048" s="1" t="s">
        <v>75</v>
      </c>
      <c r="F2048" s="1" t="s">
        <v>47</v>
      </c>
      <c r="G2048" s="1">
        <f t="shared" si="155"/>
        <v>1</v>
      </c>
      <c r="H2048" s="1" t="s">
        <v>63</v>
      </c>
      <c r="I2048" s="1" t="s">
        <v>4583</v>
      </c>
      <c r="J2048" s="23" t="s">
        <v>50</v>
      </c>
      <c r="K2048" s="2" t="s">
        <v>51</v>
      </c>
      <c r="L2048" s="1">
        <v>800.1</v>
      </c>
      <c r="M2048" s="1">
        <v>17</v>
      </c>
      <c r="N2048" s="1" t="str">
        <f t="shared" si="158"/>
        <v>Published</v>
      </c>
      <c r="O2048" s="1">
        <f t="shared" si="156"/>
        <v>136.01700000000002</v>
      </c>
      <c r="P2048" s="1">
        <v>8</v>
      </c>
      <c r="Q2048" s="1">
        <v>946</v>
      </c>
      <c r="R2048" s="1" t="str">
        <f t="shared" si="159"/>
        <v>2</v>
      </c>
      <c r="S2048" s="1">
        <v>127</v>
      </c>
      <c r="T2048" s="1" t="str">
        <f t="shared" si="157"/>
        <v>4</v>
      </c>
      <c r="U2048" s="1">
        <v>-32.925927999999999</v>
      </c>
      <c r="V2048" s="3">
        <v>151.64293799999999</v>
      </c>
    </row>
    <row r="2049" spans="1:22" x14ac:dyDescent="0.35">
      <c r="A2049" s="22" t="s">
        <v>5710</v>
      </c>
      <c r="B2049" s="1" t="s">
        <v>5711</v>
      </c>
      <c r="C2049" s="1" t="s">
        <v>2525</v>
      </c>
      <c r="D2049" s="1" t="s">
        <v>186</v>
      </c>
      <c r="E2049" s="1" t="s">
        <v>187</v>
      </c>
      <c r="F2049" s="1" t="s">
        <v>47</v>
      </c>
      <c r="G2049" s="1">
        <f t="shared" si="155"/>
        <v>1</v>
      </c>
      <c r="H2049" s="1" t="s">
        <v>63</v>
      </c>
      <c r="I2049" s="1" t="s">
        <v>4583</v>
      </c>
      <c r="J2049" s="23" t="s">
        <v>50</v>
      </c>
      <c r="K2049" s="2" t="s">
        <v>51</v>
      </c>
      <c r="L2049" s="1">
        <v>789</v>
      </c>
      <c r="M2049" s="1">
        <v>7</v>
      </c>
      <c r="N2049" s="1" t="str">
        <f t="shared" si="158"/>
        <v>Published</v>
      </c>
      <c r="O2049" s="1">
        <f t="shared" si="156"/>
        <v>55.230000000000004</v>
      </c>
      <c r="P2049" s="1">
        <v>29</v>
      </c>
      <c r="Q2049" s="1">
        <v>1030</v>
      </c>
      <c r="R2049" s="1" t="str">
        <f t="shared" si="159"/>
        <v>3</v>
      </c>
      <c r="S2049" s="1">
        <v>75</v>
      </c>
      <c r="T2049" s="1" t="str">
        <f t="shared" si="157"/>
        <v>4</v>
      </c>
      <c r="U2049" s="1">
        <v>-33.420757000000002</v>
      </c>
      <c r="V2049" s="3">
        <v>151.334496</v>
      </c>
    </row>
    <row r="2050" spans="1:22" x14ac:dyDescent="0.35">
      <c r="A2050" s="22" t="s">
        <v>5712</v>
      </c>
      <c r="B2050" s="1" t="s">
        <v>5713</v>
      </c>
      <c r="C2050" s="1" t="s">
        <v>1341</v>
      </c>
      <c r="D2050" s="1" t="s">
        <v>1342</v>
      </c>
      <c r="E2050" s="1" t="s">
        <v>68</v>
      </c>
      <c r="F2050" s="1" t="s">
        <v>57</v>
      </c>
      <c r="G2050" s="1">
        <f t="shared" ref="G2050:G2113" si="160">IF(F2050="Major Cities of Australia",1,IF(F2050="Inner Regional Australia",2,IF(F2050="Outer Regional Australia",3,IF(F2050="Remote Australia",4,IF(F2050="Very Remote Australia",5,6)))))</f>
        <v>2</v>
      </c>
      <c r="H2050" s="1" t="s">
        <v>86</v>
      </c>
      <c r="I2050" s="1" t="s">
        <v>4583</v>
      </c>
      <c r="J2050" s="23" t="s">
        <v>50</v>
      </c>
      <c r="K2050" s="2" t="s">
        <v>51</v>
      </c>
      <c r="L2050" s="1">
        <v>817.2</v>
      </c>
      <c r="M2050" s="1">
        <v>12</v>
      </c>
      <c r="N2050" s="1" t="str">
        <f t="shared" si="158"/>
        <v>Published</v>
      </c>
      <c r="O2050" s="1">
        <f t="shared" ref="O2050:O2113" si="161">IF(OR(M2050="",L2050=""),"",M2050/100*L2050)</f>
        <v>98.064000000000007</v>
      </c>
      <c r="P2050" s="1">
        <v>8</v>
      </c>
      <c r="Q2050" s="1">
        <v>951</v>
      </c>
      <c r="R2050" s="1" t="str">
        <f t="shared" si="159"/>
        <v>2</v>
      </c>
      <c r="S2050" s="1">
        <v>122</v>
      </c>
      <c r="T2050" s="1" t="str">
        <f t="shared" ref="T2050:T2113" si="162">IF(L2050="","No enrolment",IF(L2050&lt;100,"1",IF(L2050&lt;300,"2",IF(L2050&lt;600,"3",IF(L2050&lt;1000,"4","5")))))</f>
        <v>4</v>
      </c>
      <c r="U2050" s="1">
        <v>-34.728245000000001</v>
      </c>
      <c r="V2050" s="3">
        <v>149.73016899999999</v>
      </c>
    </row>
    <row r="2051" spans="1:22" x14ac:dyDescent="0.35">
      <c r="A2051" s="22" t="s">
        <v>5714</v>
      </c>
      <c r="B2051" s="1" t="s">
        <v>5715</v>
      </c>
      <c r="C2051" s="1" t="s">
        <v>465</v>
      </c>
      <c r="D2051" s="1" t="s">
        <v>465</v>
      </c>
      <c r="E2051" s="1" t="s">
        <v>281</v>
      </c>
      <c r="F2051" s="1" t="s">
        <v>57</v>
      </c>
      <c r="G2051" s="1">
        <f t="shared" si="160"/>
        <v>2</v>
      </c>
      <c r="H2051" s="1" t="s">
        <v>58</v>
      </c>
      <c r="I2051" s="1" t="s">
        <v>4583</v>
      </c>
      <c r="J2051" s="23" t="s">
        <v>50</v>
      </c>
      <c r="K2051" s="2" t="s">
        <v>51</v>
      </c>
      <c r="L2051" s="1">
        <v>856.2</v>
      </c>
      <c r="M2051" s="1">
        <v>24</v>
      </c>
      <c r="N2051" s="1" t="str">
        <f t="shared" ref="N2051:N2114" si="163">IF(M2051="","Suppressed","Published")</f>
        <v>Published</v>
      </c>
      <c r="O2051" s="1">
        <f t="shared" si="161"/>
        <v>205.488</v>
      </c>
      <c r="P2051" s="1">
        <v>20</v>
      </c>
      <c r="Q2051" s="1">
        <v>896</v>
      </c>
      <c r="R2051" s="1" t="str">
        <f t="shared" ref="R2051:R2114" si="164">IF(Q2051="","No ICSEA",IF(Q2051&lt;900,"1",IF(Q2051&lt;1000,"2",IF(Q2051&lt;1100,"3","4"))))</f>
        <v>1</v>
      </c>
      <c r="S2051" s="1">
        <v>142</v>
      </c>
      <c r="T2051" s="1" t="str">
        <f t="shared" si="162"/>
        <v>4</v>
      </c>
      <c r="U2051" s="1">
        <v>-30.282810999999999</v>
      </c>
      <c r="V2051" s="3">
        <v>153.11287899999999</v>
      </c>
    </row>
    <row r="2052" spans="1:22" x14ac:dyDescent="0.35">
      <c r="A2052" s="22" t="s">
        <v>5716</v>
      </c>
      <c r="B2052" s="1" t="s">
        <v>5717</v>
      </c>
      <c r="C2052" s="1" t="s">
        <v>310</v>
      </c>
      <c r="D2052" s="1" t="s">
        <v>310</v>
      </c>
      <c r="E2052" s="1" t="s">
        <v>80</v>
      </c>
      <c r="F2052" s="1" t="s">
        <v>69</v>
      </c>
      <c r="G2052" s="1">
        <f t="shared" si="160"/>
        <v>3</v>
      </c>
      <c r="H2052" s="1" t="s">
        <v>70</v>
      </c>
      <c r="I2052" s="1" t="s">
        <v>4583</v>
      </c>
      <c r="J2052" s="23" t="s">
        <v>50</v>
      </c>
      <c r="K2052" s="2" t="s">
        <v>51</v>
      </c>
      <c r="L2052" s="1">
        <v>461</v>
      </c>
      <c r="M2052" s="1">
        <v>20</v>
      </c>
      <c r="N2052" s="1" t="str">
        <f t="shared" si="163"/>
        <v>Published</v>
      </c>
      <c r="O2052" s="1">
        <f t="shared" si="161"/>
        <v>92.2</v>
      </c>
      <c r="P2052" s="1">
        <v>18</v>
      </c>
      <c r="Q2052" s="1">
        <v>918</v>
      </c>
      <c r="R2052" s="1" t="str">
        <f t="shared" si="164"/>
        <v>2</v>
      </c>
      <c r="S2052" s="1">
        <v>127</v>
      </c>
      <c r="T2052" s="1" t="str">
        <f t="shared" si="162"/>
        <v>3</v>
      </c>
      <c r="U2052" s="1">
        <v>-34.282314999999997</v>
      </c>
      <c r="V2052" s="3">
        <v>146.070718</v>
      </c>
    </row>
    <row r="2053" spans="1:22" x14ac:dyDescent="0.35">
      <c r="A2053" s="22" t="s">
        <v>5718</v>
      </c>
      <c r="B2053" s="1" t="s">
        <v>5719</v>
      </c>
      <c r="C2053" s="1" t="s">
        <v>5720</v>
      </c>
      <c r="D2053" s="1" t="s">
        <v>798</v>
      </c>
      <c r="E2053" s="1" t="s">
        <v>56</v>
      </c>
      <c r="F2053" s="1" t="s">
        <v>57</v>
      </c>
      <c r="G2053" s="1">
        <f t="shared" si="160"/>
        <v>2</v>
      </c>
      <c r="H2053" s="1" t="s">
        <v>58</v>
      </c>
      <c r="I2053" s="1" t="s">
        <v>4583</v>
      </c>
      <c r="J2053" s="23" t="s">
        <v>50</v>
      </c>
      <c r="K2053" s="2" t="s">
        <v>51</v>
      </c>
      <c r="L2053" s="1">
        <v>565.20000000000005</v>
      </c>
      <c r="M2053" s="1">
        <v>18</v>
      </c>
      <c r="N2053" s="1" t="str">
        <f t="shared" si="163"/>
        <v>Published</v>
      </c>
      <c r="O2053" s="1">
        <f t="shared" si="161"/>
        <v>101.736</v>
      </c>
      <c r="P2053" s="1">
        <v>2</v>
      </c>
      <c r="Q2053" s="1">
        <v>937</v>
      </c>
      <c r="R2053" s="1" t="str">
        <f t="shared" si="164"/>
        <v>2</v>
      </c>
      <c r="S2053" s="1">
        <v>120</v>
      </c>
      <c r="T2053" s="1" t="str">
        <f t="shared" si="162"/>
        <v>3</v>
      </c>
      <c r="U2053" s="1">
        <v>-32.396819000000001</v>
      </c>
      <c r="V2053" s="3">
        <v>151.750417</v>
      </c>
    </row>
    <row r="2054" spans="1:22" x14ac:dyDescent="0.35">
      <c r="A2054" s="22" t="s">
        <v>5721</v>
      </c>
      <c r="B2054" s="1" t="s">
        <v>5722</v>
      </c>
      <c r="C2054" s="1" t="s">
        <v>3827</v>
      </c>
      <c r="D2054" s="1" t="s">
        <v>837</v>
      </c>
      <c r="E2054" s="1" t="s">
        <v>838</v>
      </c>
      <c r="F2054" s="1" t="s">
        <v>47</v>
      </c>
      <c r="G2054" s="1">
        <f t="shared" si="160"/>
        <v>1</v>
      </c>
      <c r="H2054" s="1" t="s">
        <v>148</v>
      </c>
      <c r="I2054" s="1" t="s">
        <v>4583</v>
      </c>
      <c r="J2054" s="23" t="s">
        <v>50</v>
      </c>
      <c r="K2054" s="2" t="s">
        <v>51</v>
      </c>
      <c r="L2054" s="1">
        <v>499</v>
      </c>
      <c r="M2054" s="1">
        <v>23</v>
      </c>
      <c r="N2054" s="1" t="str">
        <f t="shared" si="163"/>
        <v>Published</v>
      </c>
      <c r="O2054" s="1">
        <f t="shared" si="161"/>
        <v>114.77000000000001</v>
      </c>
      <c r="P2054" s="1">
        <v>46</v>
      </c>
      <c r="Q2054" s="1">
        <v>894</v>
      </c>
      <c r="R2054" s="1" t="str">
        <f t="shared" si="164"/>
        <v>1</v>
      </c>
      <c r="S2054" s="1">
        <v>170</v>
      </c>
      <c r="T2054" s="1" t="str">
        <f t="shared" si="162"/>
        <v>3</v>
      </c>
      <c r="U2054" s="1">
        <v>-33.769305000000003</v>
      </c>
      <c r="V2054" s="3">
        <v>150.82985500000001</v>
      </c>
    </row>
    <row r="2055" spans="1:22" x14ac:dyDescent="0.35">
      <c r="A2055" s="22" t="s">
        <v>5723</v>
      </c>
      <c r="B2055" s="1" t="s">
        <v>5724</v>
      </c>
      <c r="C2055" s="1" t="s">
        <v>5725</v>
      </c>
      <c r="D2055" s="1" t="s">
        <v>84</v>
      </c>
      <c r="E2055" s="1" t="s">
        <v>85</v>
      </c>
      <c r="F2055" s="1" t="s">
        <v>47</v>
      </c>
      <c r="G2055" s="1">
        <f t="shared" si="160"/>
        <v>1</v>
      </c>
      <c r="H2055" s="1" t="s">
        <v>86</v>
      </c>
      <c r="I2055" s="1" t="s">
        <v>4583</v>
      </c>
      <c r="J2055" s="23" t="s">
        <v>50</v>
      </c>
      <c r="K2055" s="2" t="s">
        <v>51</v>
      </c>
      <c r="L2055" s="1">
        <v>541.6</v>
      </c>
      <c r="M2055" s="1">
        <v>23</v>
      </c>
      <c r="N2055" s="1" t="str">
        <f t="shared" si="163"/>
        <v>Published</v>
      </c>
      <c r="O2055" s="1">
        <f t="shared" si="161"/>
        <v>124.56800000000001</v>
      </c>
      <c r="P2055" s="1">
        <v>9</v>
      </c>
      <c r="Q2055" s="1">
        <v>894</v>
      </c>
      <c r="R2055" s="1" t="str">
        <f t="shared" si="164"/>
        <v>1</v>
      </c>
      <c r="S2055" s="1">
        <v>153</v>
      </c>
      <c r="T2055" s="1" t="str">
        <f t="shared" si="162"/>
        <v>3</v>
      </c>
      <c r="U2055" s="1">
        <v>-34.541828000000002</v>
      </c>
      <c r="V2055" s="3">
        <v>150.850426</v>
      </c>
    </row>
    <row r="2056" spans="1:22" x14ac:dyDescent="0.35">
      <c r="A2056" s="22" t="s">
        <v>5726</v>
      </c>
      <c r="B2056" s="1" t="s">
        <v>5727</v>
      </c>
      <c r="C2056" s="1" t="s">
        <v>649</v>
      </c>
      <c r="D2056" s="1" t="s">
        <v>649</v>
      </c>
      <c r="E2056" s="1" t="s">
        <v>102</v>
      </c>
      <c r="F2056" s="1" t="s">
        <v>241</v>
      </c>
      <c r="G2056" s="1">
        <f t="shared" si="160"/>
        <v>4</v>
      </c>
      <c r="H2056" s="1" t="s">
        <v>86</v>
      </c>
      <c r="I2056" s="1" t="s">
        <v>4583</v>
      </c>
      <c r="J2056" s="23" t="s">
        <v>50</v>
      </c>
      <c r="K2056" s="2" t="s">
        <v>51</v>
      </c>
      <c r="L2056" s="1">
        <v>83</v>
      </c>
      <c r="M2056" s="1">
        <v>96</v>
      </c>
      <c r="N2056" s="1" t="str">
        <f t="shared" si="163"/>
        <v>Published</v>
      </c>
      <c r="O2056" s="1">
        <f t="shared" si="161"/>
        <v>79.679999999999993</v>
      </c>
      <c r="P2056" s="1"/>
      <c r="Q2056" s="1">
        <v>677</v>
      </c>
      <c r="R2056" s="1" t="str">
        <f t="shared" si="164"/>
        <v>1</v>
      </c>
      <c r="S2056" s="1">
        <v>216</v>
      </c>
      <c r="T2056" s="1" t="str">
        <f t="shared" si="162"/>
        <v>1</v>
      </c>
      <c r="U2056" s="1">
        <v>-30.027113</v>
      </c>
      <c r="V2056" s="3">
        <v>148.118967</v>
      </c>
    </row>
    <row r="2057" spans="1:22" x14ac:dyDescent="0.35">
      <c r="A2057" s="22" t="s">
        <v>5728</v>
      </c>
      <c r="B2057" s="1" t="s">
        <v>5729</v>
      </c>
      <c r="C2057" s="1" t="s">
        <v>3698</v>
      </c>
      <c r="D2057" s="1" t="s">
        <v>180</v>
      </c>
      <c r="E2057" s="1" t="s">
        <v>181</v>
      </c>
      <c r="F2057" s="1" t="s">
        <v>47</v>
      </c>
      <c r="G2057" s="1">
        <f t="shared" si="160"/>
        <v>1</v>
      </c>
      <c r="H2057" s="1" t="s">
        <v>182</v>
      </c>
      <c r="I2057" s="1" t="s">
        <v>4583</v>
      </c>
      <c r="J2057" s="23" t="s">
        <v>50</v>
      </c>
      <c r="K2057" s="2" t="s">
        <v>51</v>
      </c>
      <c r="L2057" s="1">
        <v>1280</v>
      </c>
      <c r="M2057" s="1">
        <v>4</v>
      </c>
      <c r="N2057" s="1" t="str">
        <f t="shared" si="163"/>
        <v>Published</v>
      </c>
      <c r="O2057" s="1">
        <f t="shared" si="161"/>
        <v>51.2</v>
      </c>
      <c r="P2057" s="1">
        <v>78</v>
      </c>
      <c r="Q2057" s="1">
        <v>957</v>
      </c>
      <c r="R2057" s="1" t="str">
        <f t="shared" si="164"/>
        <v>2</v>
      </c>
      <c r="S2057" s="1">
        <v>133</v>
      </c>
      <c r="T2057" s="1" t="str">
        <f t="shared" si="162"/>
        <v>5</v>
      </c>
      <c r="U2057" s="1">
        <v>-33.951230000000002</v>
      </c>
      <c r="V2057" s="3">
        <v>150.8937</v>
      </c>
    </row>
    <row r="2058" spans="1:22" x14ac:dyDescent="0.35">
      <c r="A2058" s="22" t="s">
        <v>5730</v>
      </c>
      <c r="B2058" s="1" t="s">
        <v>5731</v>
      </c>
      <c r="C2058" s="1" t="s">
        <v>4530</v>
      </c>
      <c r="D2058" s="1" t="s">
        <v>761</v>
      </c>
      <c r="E2058" s="1" t="s">
        <v>127</v>
      </c>
      <c r="F2058" s="1" t="s">
        <v>47</v>
      </c>
      <c r="G2058" s="1">
        <f t="shared" si="160"/>
        <v>1</v>
      </c>
      <c r="H2058" s="1" t="s">
        <v>148</v>
      </c>
      <c r="I2058" s="1" t="s">
        <v>4583</v>
      </c>
      <c r="J2058" s="23" t="s">
        <v>50</v>
      </c>
      <c r="K2058" s="2" t="s">
        <v>51</v>
      </c>
      <c r="L2058" s="1">
        <v>869</v>
      </c>
      <c r="M2058" s="1">
        <v>1</v>
      </c>
      <c r="N2058" s="1" t="str">
        <f t="shared" si="163"/>
        <v>Published</v>
      </c>
      <c r="O2058" s="1">
        <f t="shared" si="161"/>
        <v>8.69</v>
      </c>
      <c r="P2058" s="1">
        <v>55</v>
      </c>
      <c r="Q2058" s="1">
        <v>1086</v>
      </c>
      <c r="R2058" s="1" t="str">
        <f t="shared" si="164"/>
        <v>3</v>
      </c>
      <c r="S2058" s="1">
        <v>44</v>
      </c>
      <c r="T2058" s="1" t="str">
        <f t="shared" si="162"/>
        <v>4</v>
      </c>
      <c r="U2058" s="1">
        <v>-33.707777</v>
      </c>
      <c r="V2058" s="3">
        <v>150.969921</v>
      </c>
    </row>
    <row r="2059" spans="1:22" x14ac:dyDescent="0.35">
      <c r="A2059" s="22" t="s">
        <v>5732</v>
      </c>
      <c r="B2059" s="1" t="s">
        <v>5733</v>
      </c>
      <c r="C2059" s="1" t="s">
        <v>1239</v>
      </c>
      <c r="D2059" s="1" t="s">
        <v>203</v>
      </c>
      <c r="E2059" s="1" t="s">
        <v>204</v>
      </c>
      <c r="F2059" s="1" t="s">
        <v>47</v>
      </c>
      <c r="G2059" s="1">
        <f t="shared" si="160"/>
        <v>1</v>
      </c>
      <c r="H2059" s="1" t="s">
        <v>148</v>
      </c>
      <c r="I2059" s="1" t="s">
        <v>4583</v>
      </c>
      <c r="J2059" s="23" t="s">
        <v>50</v>
      </c>
      <c r="K2059" s="2" t="s">
        <v>51</v>
      </c>
      <c r="L2059" s="1">
        <v>789.4</v>
      </c>
      <c r="M2059" s="1"/>
      <c r="N2059" s="1" t="str">
        <f t="shared" si="163"/>
        <v>Suppressed</v>
      </c>
      <c r="O2059" s="1" t="str">
        <f t="shared" si="161"/>
        <v/>
      </c>
      <c r="P2059" s="1">
        <v>18</v>
      </c>
      <c r="Q2059" s="1">
        <v>1089</v>
      </c>
      <c r="R2059" s="1" t="str">
        <f t="shared" si="164"/>
        <v>3</v>
      </c>
      <c r="S2059" s="1">
        <v>45</v>
      </c>
      <c r="T2059" s="1" t="str">
        <f t="shared" si="162"/>
        <v>4</v>
      </c>
      <c r="U2059" s="1">
        <v>-33.744680000000002</v>
      </c>
      <c r="V2059" s="3">
        <v>151.205465</v>
      </c>
    </row>
    <row r="2060" spans="1:22" x14ac:dyDescent="0.35">
      <c r="A2060" s="22" t="s">
        <v>5734</v>
      </c>
      <c r="B2060" s="1" t="s">
        <v>5735</v>
      </c>
      <c r="C2060" s="1" t="s">
        <v>5736</v>
      </c>
      <c r="D2060" s="1" t="s">
        <v>176</v>
      </c>
      <c r="E2060" s="1" t="s">
        <v>85</v>
      </c>
      <c r="F2060" s="1" t="s">
        <v>47</v>
      </c>
      <c r="G2060" s="1">
        <f t="shared" si="160"/>
        <v>1</v>
      </c>
      <c r="H2060" s="1" t="s">
        <v>86</v>
      </c>
      <c r="I2060" s="1" t="s">
        <v>4583</v>
      </c>
      <c r="J2060" s="23" t="s">
        <v>50</v>
      </c>
      <c r="K2060" s="2" t="s">
        <v>51</v>
      </c>
      <c r="L2060" s="1">
        <v>591</v>
      </c>
      <c r="M2060" s="1">
        <v>11</v>
      </c>
      <c r="N2060" s="1" t="str">
        <f t="shared" si="163"/>
        <v>Published</v>
      </c>
      <c r="O2060" s="1">
        <f t="shared" si="161"/>
        <v>65.010000000000005</v>
      </c>
      <c r="P2060" s="1">
        <v>42</v>
      </c>
      <c r="Q2060" s="1">
        <v>905</v>
      </c>
      <c r="R2060" s="1" t="str">
        <f t="shared" si="164"/>
        <v>2</v>
      </c>
      <c r="S2060" s="1">
        <v>166</v>
      </c>
      <c r="T2060" s="1" t="str">
        <f t="shared" si="162"/>
        <v>3</v>
      </c>
      <c r="U2060" s="1">
        <v>-34.480162999999997</v>
      </c>
      <c r="V2060" s="3">
        <v>150.87517800000001</v>
      </c>
    </row>
    <row r="2061" spans="1:22" x14ac:dyDescent="0.35">
      <c r="A2061" s="22" t="s">
        <v>5737</v>
      </c>
      <c r="B2061" s="1" t="s">
        <v>5738</v>
      </c>
      <c r="C2061" s="1" t="s">
        <v>1242</v>
      </c>
      <c r="D2061" s="1" t="s">
        <v>126</v>
      </c>
      <c r="E2061" s="1" t="s">
        <v>127</v>
      </c>
      <c r="F2061" s="1" t="s">
        <v>47</v>
      </c>
      <c r="G2061" s="1">
        <f t="shared" si="160"/>
        <v>1</v>
      </c>
      <c r="H2061" s="1" t="s">
        <v>63</v>
      </c>
      <c r="I2061" s="1" t="s">
        <v>4583</v>
      </c>
      <c r="J2061" s="23" t="s">
        <v>50</v>
      </c>
      <c r="K2061" s="2" t="s">
        <v>51</v>
      </c>
      <c r="L2061" s="1">
        <v>570</v>
      </c>
      <c r="M2061" s="1">
        <v>2</v>
      </c>
      <c r="N2061" s="1" t="str">
        <f t="shared" si="163"/>
        <v>Published</v>
      </c>
      <c r="O2061" s="1">
        <f t="shared" si="161"/>
        <v>11.4</v>
      </c>
      <c r="P2061" s="1">
        <v>19</v>
      </c>
      <c r="Q2061" s="1">
        <v>1044</v>
      </c>
      <c r="R2061" s="1" t="str">
        <f t="shared" si="164"/>
        <v>3</v>
      </c>
      <c r="S2061" s="1">
        <v>73</v>
      </c>
      <c r="T2061" s="1" t="str">
        <f t="shared" si="162"/>
        <v>3</v>
      </c>
      <c r="U2061" s="1">
        <v>-33.660930999999998</v>
      </c>
      <c r="V2061" s="3">
        <v>151.042348</v>
      </c>
    </row>
    <row r="2062" spans="1:22" x14ac:dyDescent="0.35">
      <c r="A2062" s="22" t="s">
        <v>5739</v>
      </c>
      <c r="B2062" s="1" t="s">
        <v>5740</v>
      </c>
      <c r="C2062" s="1" t="s">
        <v>5741</v>
      </c>
      <c r="D2062" s="1" t="s">
        <v>74</v>
      </c>
      <c r="E2062" s="1" t="s">
        <v>75</v>
      </c>
      <c r="F2062" s="1" t="s">
        <v>47</v>
      </c>
      <c r="G2062" s="1">
        <f t="shared" si="160"/>
        <v>1</v>
      </c>
      <c r="H2062" s="1" t="s">
        <v>63</v>
      </c>
      <c r="I2062" s="1" t="s">
        <v>4583</v>
      </c>
      <c r="J2062" s="23" t="s">
        <v>50</v>
      </c>
      <c r="K2062" s="2" t="s">
        <v>51</v>
      </c>
      <c r="L2062" s="1">
        <v>1171.5999999999999</v>
      </c>
      <c r="M2062" s="1">
        <v>8</v>
      </c>
      <c r="N2062" s="1" t="str">
        <f t="shared" si="163"/>
        <v>Published</v>
      </c>
      <c r="O2062" s="1">
        <f t="shared" si="161"/>
        <v>93.727999999999994</v>
      </c>
      <c r="P2062" s="1">
        <v>21</v>
      </c>
      <c r="Q2062" s="1">
        <v>1057</v>
      </c>
      <c r="R2062" s="1" t="str">
        <f t="shared" si="164"/>
        <v>3</v>
      </c>
      <c r="S2062" s="1">
        <v>59</v>
      </c>
      <c r="T2062" s="1" t="str">
        <f t="shared" si="162"/>
        <v>5</v>
      </c>
      <c r="U2062" s="1">
        <v>-32.917918</v>
      </c>
      <c r="V2062" s="3">
        <v>151.72203400000001</v>
      </c>
    </row>
    <row r="2063" spans="1:22" x14ac:dyDescent="0.35">
      <c r="A2063" s="22" t="s">
        <v>5742</v>
      </c>
      <c r="B2063" s="1" t="s">
        <v>5743</v>
      </c>
      <c r="C2063" s="1" t="s">
        <v>5744</v>
      </c>
      <c r="D2063" s="1" t="s">
        <v>713</v>
      </c>
      <c r="E2063" s="1" t="s">
        <v>80</v>
      </c>
      <c r="F2063" s="1" t="s">
        <v>57</v>
      </c>
      <c r="G2063" s="1">
        <f t="shared" si="160"/>
        <v>2</v>
      </c>
      <c r="H2063" s="1" t="s">
        <v>70</v>
      </c>
      <c r="I2063" s="1" t="s">
        <v>4583</v>
      </c>
      <c r="J2063" s="23" t="s">
        <v>5177</v>
      </c>
      <c r="K2063" s="2" t="s">
        <v>51</v>
      </c>
      <c r="L2063" s="1">
        <v>839</v>
      </c>
      <c r="M2063" s="1">
        <v>14</v>
      </c>
      <c r="N2063" s="1" t="str">
        <f t="shared" si="163"/>
        <v>Published</v>
      </c>
      <c r="O2063" s="1">
        <f t="shared" si="161"/>
        <v>117.46000000000001</v>
      </c>
      <c r="P2063" s="1">
        <v>15</v>
      </c>
      <c r="Q2063" s="1">
        <v>959</v>
      </c>
      <c r="R2063" s="1" t="str">
        <f t="shared" si="164"/>
        <v>2</v>
      </c>
      <c r="S2063" s="1">
        <v>111</v>
      </c>
      <c r="T2063" s="1" t="str">
        <f t="shared" si="162"/>
        <v>4</v>
      </c>
      <c r="U2063" s="1">
        <v>-35.142885999999997</v>
      </c>
      <c r="V2063" s="3">
        <v>147.381528</v>
      </c>
    </row>
    <row r="2064" spans="1:22" x14ac:dyDescent="0.35">
      <c r="A2064" s="22" t="s">
        <v>5745</v>
      </c>
      <c r="B2064" s="1" t="s">
        <v>5746</v>
      </c>
      <c r="C2064" s="1" t="s">
        <v>5135</v>
      </c>
      <c r="D2064" s="1" t="s">
        <v>115</v>
      </c>
      <c r="E2064" s="1" t="s">
        <v>46</v>
      </c>
      <c r="F2064" s="1" t="s">
        <v>47</v>
      </c>
      <c r="G2064" s="1">
        <f t="shared" si="160"/>
        <v>1</v>
      </c>
      <c r="H2064" s="1" t="s">
        <v>48</v>
      </c>
      <c r="I2064" s="1" t="s">
        <v>4583</v>
      </c>
      <c r="J2064" s="23" t="s">
        <v>5177</v>
      </c>
      <c r="K2064" s="2" t="s">
        <v>51</v>
      </c>
      <c r="L2064" s="1">
        <v>854</v>
      </c>
      <c r="M2064" s="1">
        <v>5</v>
      </c>
      <c r="N2064" s="1" t="str">
        <f t="shared" si="163"/>
        <v>Published</v>
      </c>
      <c r="O2064" s="1">
        <f t="shared" si="161"/>
        <v>42.7</v>
      </c>
      <c r="P2064" s="1">
        <v>39</v>
      </c>
      <c r="Q2064" s="1">
        <v>1112</v>
      </c>
      <c r="R2064" s="1" t="str">
        <f t="shared" si="164"/>
        <v>4</v>
      </c>
      <c r="S2064" s="1">
        <v>30</v>
      </c>
      <c r="T2064" s="1" t="str">
        <f t="shared" si="162"/>
        <v>4</v>
      </c>
      <c r="U2064" s="1">
        <v>-33.858505999999998</v>
      </c>
      <c r="V2064" s="3">
        <v>151.170052</v>
      </c>
    </row>
    <row r="2065" spans="1:22" x14ac:dyDescent="0.35">
      <c r="A2065" s="22" t="s">
        <v>5747</v>
      </c>
      <c r="B2065" s="1" t="s">
        <v>5748</v>
      </c>
      <c r="C2065" s="1" t="s">
        <v>4464</v>
      </c>
      <c r="D2065" s="1" t="s">
        <v>180</v>
      </c>
      <c r="E2065" s="1" t="s">
        <v>181</v>
      </c>
      <c r="F2065" s="1" t="s">
        <v>47</v>
      </c>
      <c r="G2065" s="1">
        <f t="shared" si="160"/>
        <v>1</v>
      </c>
      <c r="H2065" s="1" t="s">
        <v>182</v>
      </c>
      <c r="I2065" s="1" t="s">
        <v>4583</v>
      </c>
      <c r="J2065" s="23" t="s">
        <v>50</v>
      </c>
      <c r="K2065" s="2" t="s">
        <v>51</v>
      </c>
      <c r="L2065" s="1">
        <v>894.8</v>
      </c>
      <c r="M2065" s="1">
        <v>3</v>
      </c>
      <c r="N2065" s="1" t="str">
        <f t="shared" si="163"/>
        <v>Published</v>
      </c>
      <c r="O2065" s="1">
        <f t="shared" si="161"/>
        <v>26.843999999999998</v>
      </c>
      <c r="P2065" s="1">
        <v>82</v>
      </c>
      <c r="Q2065" s="1">
        <v>940</v>
      </c>
      <c r="R2065" s="1" t="str">
        <f t="shared" si="164"/>
        <v>2</v>
      </c>
      <c r="S2065" s="1">
        <v>145</v>
      </c>
      <c r="T2065" s="1" t="str">
        <f t="shared" si="162"/>
        <v>4</v>
      </c>
      <c r="U2065" s="1">
        <v>-33.92</v>
      </c>
      <c r="V2065" s="3">
        <v>150.86161999999999</v>
      </c>
    </row>
    <row r="2066" spans="1:22" x14ac:dyDescent="0.35">
      <c r="A2066" s="22" t="s">
        <v>5749</v>
      </c>
      <c r="B2066" s="1" t="s">
        <v>5750</v>
      </c>
      <c r="C2066" s="1" t="s">
        <v>495</v>
      </c>
      <c r="D2066" s="1" t="s">
        <v>67</v>
      </c>
      <c r="E2066" s="1" t="s">
        <v>68</v>
      </c>
      <c r="F2066" s="1" t="s">
        <v>69</v>
      </c>
      <c r="G2066" s="1">
        <f t="shared" si="160"/>
        <v>3</v>
      </c>
      <c r="H2066" s="1" t="s">
        <v>70</v>
      </c>
      <c r="I2066" s="1" t="s">
        <v>4583</v>
      </c>
      <c r="J2066" s="23" t="s">
        <v>50</v>
      </c>
      <c r="K2066" s="2" t="s">
        <v>51</v>
      </c>
      <c r="L2066" s="1">
        <v>148</v>
      </c>
      <c r="M2066" s="1">
        <v>9</v>
      </c>
      <c r="N2066" s="1" t="str">
        <f t="shared" si="163"/>
        <v>Published</v>
      </c>
      <c r="O2066" s="1">
        <f t="shared" si="161"/>
        <v>13.32</v>
      </c>
      <c r="P2066" s="1"/>
      <c r="Q2066" s="1">
        <v>946</v>
      </c>
      <c r="R2066" s="1" t="str">
        <f t="shared" si="164"/>
        <v>2</v>
      </c>
      <c r="S2066" s="1">
        <v>117</v>
      </c>
      <c r="T2066" s="1" t="str">
        <f t="shared" si="162"/>
        <v>2</v>
      </c>
      <c r="U2066" s="1">
        <v>-36.917647000000002</v>
      </c>
      <c r="V2066" s="3">
        <v>149.23192700000001</v>
      </c>
    </row>
    <row r="2067" spans="1:22" x14ac:dyDescent="0.35">
      <c r="A2067" s="22" t="s">
        <v>5751</v>
      </c>
      <c r="B2067" s="1" t="s">
        <v>5752</v>
      </c>
      <c r="C2067" s="1" t="s">
        <v>1100</v>
      </c>
      <c r="D2067" s="1" t="s">
        <v>314</v>
      </c>
      <c r="E2067" s="1" t="s">
        <v>68</v>
      </c>
      <c r="F2067" s="1" t="s">
        <v>69</v>
      </c>
      <c r="G2067" s="1">
        <f t="shared" si="160"/>
        <v>3</v>
      </c>
      <c r="H2067" s="1" t="s">
        <v>70</v>
      </c>
      <c r="I2067" s="1" t="s">
        <v>4583</v>
      </c>
      <c r="J2067" s="23" t="s">
        <v>50</v>
      </c>
      <c r="K2067" s="2" t="s">
        <v>51</v>
      </c>
      <c r="L2067" s="1">
        <v>536</v>
      </c>
      <c r="M2067" s="1">
        <v>13</v>
      </c>
      <c r="N2067" s="1" t="str">
        <f t="shared" si="163"/>
        <v>Published</v>
      </c>
      <c r="O2067" s="1">
        <f t="shared" si="161"/>
        <v>69.680000000000007</v>
      </c>
      <c r="P2067" s="1">
        <v>4</v>
      </c>
      <c r="Q2067" s="1">
        <v>956</v>
      </c>
      <c r="R2067" s="1" t="str">
        <f t="shared" si="164"/>
        <v>2</v>
      </c>
      <c r="S2067" s="1">
        <v>109</v>
      </c>
      <c r="T2067" s="1" t="str">
        <f t="shared" si="162"/>
        <v>3</v>
      </c>
      <c r="U2067" s="1">
        <v>-37.055008999999998</v>
      </c>
      <c r="V2067" s="3">
        <v>149.90731</v>
      </c>
    </row>
    <row r="2068" spans="1:22" x14ac:dyDescent="0.35">
      <c r="A2068" s="22" t="s">
        <v>5753</v>
      </c>
      <c r="B2068" s="1" t="s">
        <v>5754</v>
      </c>
      <c r="C2068" s="1" t="s">
        <v>3712</v>
      </c>
      <c r="D2068" s="1" t="s">
        <v>1131</v>
      </c>
      <c r="E2068" s="1" t="s">
        <v>429</v>
      </c>
      <c r="F2068" s="1" t="s">
        <v>47</v>
      </c>
      <c r="G2068" s="1">
        <f t="shared" si="160"/>
        <v>1</v>
      </c>
      <c r="H2068" s="1" t="s">
        <v>148</v>
      </c>
      <c r="I2068" s="1" t="s">
        <v>4583</v>
      </c>
      <c r="J2068" s="23" t="s">
        <v>50</v>
      </c>
      <c r="K2068" s="2" t="s">
        <v>51</v>
      </c>
      <c r="L2068" s="1">
        <v>586</v>
      </c>
      <c r="M2068" s="1">
        <v>28</v>
      </c>
      <c r="N2068" s="1" t="str">
        <f t="shared" si="163"/>
        <v>Published</v>
      </c>
      <c r="O2068" s="1">
        <f t="shared" si="161"/>
        <v>164.08</v>
      </c>
      <c r="P2068" s="1">
        <v>33</v>
      </c>
      <c r="Q2068" s="1">
        <v>870</v>
      </c>
      <c r="R2068" s="1" t="str">
        <f t="shared" si="164"/>
        <v>1</v>
      </c>
      <c r="S2068" s="1">
        <v>167</v>
      </c>
      <c r="T2068" s="1" t="str">
        <f t="shared" si="162"/>
        <v>3</v>
      </c>
      <c r="U2068" s="1">
        <v>-33.749645999999998</v>
      </c>
      <c r="V2068" s="3">
        <v>150.78309300000001</v>
      </c>
    </row>
    <row r="2069" spans="1:22" x14ac:dyDescent="0.35">
      <c r="A2069" s="22" t="s">
        <v>5755</v>
      </c>
      <c r="B2069" s="1" t="s">
        <v>5756</v>
      </c>
      <c r="C2069" s="1" t="s">
        <v>5757</v>
      </c>
      <c r="D2069" s="1" t="s">
        <v>176</v>
      </c>
      <c r="E2069" s="1" t="s">
        <v>85</v>
      </c>
      <c r="F2069" s="1" t="s">
        <v>47</v>
      </c>
      <c r="G2069" s="1">
        <f t="shared" si="160"/>
        <v>1</v>
      </c>
      <c r="H2069" s="1" t="s">
        <v>86</v>
      </c>
      <c r="I2069" s="1" t="s">
        <v>4583</v>
      </c>
      <c r="J2069" s="23" t="s">
        <v>50</v>
      </c>
      <c r="K2069" s="2" t="s">
        <v>51</v>
      </c>
      <c r="L2069" s="1">
        <v>579.4</v>
      </c>
      <c r="M2069" s="1">
        <v>21</v>
      </c>
      <c r="N2069" s="1" t="str">
        <f t="shared" si="163"/>
        <v>Published</v>
      </c>
      <c r="O2069" s="1">
        <f t="shared" si="161"/>
        <v>121.67399999999999</v>
      </c>
      <c r="P2069" s="1">
        <v>10</v>
      </c>
      <c r="Q2069" s="1">
        <v>912</v>
      </c>
      <c r="R2069" s="1" t="str">
        <f t="shared" si="164"/>
        <v>2</v>
      </c>
      <c r="S2069" s="1">
        <v>141</v>
      </c>
      <c r="T2069" s="1" t="str">
        <f t="shared" si="162"/>
        <v>3</v>
      </c>
      <c r="U2069" s="1">
        <v>-34.494652000000002</v>
      </c>
      <c r="V2069" s="3">
        <v>150.805362</v>
      </c>
    </row>
    <row r="2070" spans="1:22" x14ac:dyDescent="0.35">
      <c r="A2070" s="22" t="s">
        <v>5758</v>
      </c>
      <c r="B2070" s="1" t="s">
        <v>5759</v>
      </c>
      <c r="C2070" s="1" t="s">
        <v>159</v>
      </c>
      <c r="D2070" s="1" t="s">
        <v>159</v>
      </c>
      <c r="E2070" s="1" t="s">
        <v>91</v>
      </c>
      <c r="F2070" s="1" t="s">
        <v>69</v>
      </c>
      <c r="G2070" s="1">
        <f t="shared" si="160"/>
        <v>3</v>
      </c>
      <c r="H2070" s="1" t="s">
        <v>92</v>
      </c>
      <c r="I2070" s="1" t="s">
        <v>4583</v>
      </c>
      <c r="J2070" s="23" t="s">
        <v>50</v>
      </c>
      <c r="K2070" s="2" t="s">
        <v>51</v>
      </c>
      <c r="L2070" s="1">
        <v>486.4</v>
      </c>
      <c r="M2070" s="1">
        <v>24</v>
      </c>
      <c r="N2070" s="1" t="str">
        <f t="shared" si="163"/>
        <v>Published</v>
      </c>
      <c r="O2070" s="1">
        <f t="shared" si="161"/>
        <v>116.73599999999999</v>
      </c>
      <c r="P2070" s="1">
        <v>6</v>
      </c>
      <c r="Q2070" s="1">
        <v>919</v>
      </c>
      <c r="R2070" s="1" t="str">
        <f t="shared" si="164"/>
        <v>2</v>
      </c>
      <c r="S2070" s="1">
        <v>123</v>
      </c>
      <c r="T2070" s="1" t="str">
        <f t="shared" si="162"/>
        <v>3</v>
      </c>
      <c r="U2070" s="1">
        <v>-29.767545999999999</v>
      </c>
      <c r="V2070" s="3">
        <v>151.129187</v>
      </c>
    </row>
    <row r="2071" spans="1:22" x14ac:dyDescent="0.35">
      <c r="A2071" s="22" t="s">
        <v>5760</v>
      </c>
      <c r="B2071" s="1" t="s">
        <v>5761</v>
      </c>
      <c r="C2071" s="1" t="s">
        <v>101</v>
      </c>
      <c r="D2071" s="1" t="s">
        <v>101</v>
      </c>
      <c r="E2071" s="1" t="s">
        <v>102</v>
      </c>
      <c r="F2071" s="1" t="s">
        <v>69</v>
      </c>
      <c r="G2071" s="1">
        <f t="shared" si="160"/>
        <v>3</v>
      </c>
      <c r="H2071" s="1" t="s">
        <v>70</v>
      </c>
      <c r="I2071" s="1" t="s">
        <v>4583</v>
      </c>
      <c r="J2071" s="23" t="s">
        <v>50</v>
      </c>
      <c r="K2071" s="2" t="s">
        <v>51</v>
      </c>
      <c r="L2071" s="1">
        <v>570</v>
      </c>
      <c r="M2071" s="1">
        <v>22</v>
      </c>
      <c r="N2071" s="1" t="str">
        <f t="shared" si="163"/>
        <v>Published</v>
      </c>
      <c r="O2071" s="1">
        <f t="shared" si="161"/>
        <v>125.4</v>
      </c>
      <c r="P2071" s="1">
        <v>5</v>
      </c>
      <c r="Q2071" s="1">
        <v>903</v>
      </c>
      <c r="R2071" s="1" t="str">
        <f t="shared" si="164"/>
        <v>2</v>
      </c>
      <c r="S2071" s="1">
        <v>128</v>
      </c>
      <c r="T2071" s="1" t="str">
        <f t="shared" si="162"/>
        <v>3</v>
      </c>
      <c r="U2071" s="1">
        <v>-31.936551999999999</v>
      </c>
      <c r="V2071" s="3">
        <v>141.47302199999999</v>
      </c>
    </row>
    <row r="2072" spans="1:22" x14ac:dyDescent="0.35">
      <c r="A2072" s="22" t="s">
        <v>5762</v>
      </c>
      <c r="B2072" s="1" t="s">
        <v>5763</v>
      </c>
      <c r="C2072" s="1" t="s">
        <v>688</v>
      </c>
      <c r="D2072" s="1" t="s">
        <v>689</v>
      </c>
      <c r="E2072" s="1" t="s">
        <v>122</v>
      </c>
      <c r="F2072" s="1" t="s">
        <v>47</v>
      </c>
      <c r="G2072" s="1">
        <f t="shared" si="160"/>
        <v>1</v>
      </c>
      <c r="H2072" s="1" t="s">
        <v>86</v>
      </c>
      <c r="I2072" s="1" t="s">
        <v>4583</v>
      </c>
      <c r="J2072" s="23" t="s">
        <v>50</v>
      </c>
      <c r="K2072" s="2" t="s">
        <v>51</v>
      </c>
      <c r="L2072" s="1">
        <v>542</v>
      </c>
      <c r="M2072" s="1">
        <v>29</v>
      </c>
      <c r="N2072" s="1" t="str">
        <f t="shared" si="163"/>
        <v>Published</v>
      </c>
      <c r="O2072" s="1">
        <f t="shared" si="161"/>
        <v>157.17999999999998</v>
      </c>
      <c r="P2072" s="1">
        <v>35</v>
      </c>
      <c r="Q2072" s="1">
        <v>875</v>
      </c>
      <c r="R2072" s="1" t="str">
        <f t="shared" si="164"/>
        <v>1</v>
      </c>
      <c r="S2072" s="1">
        <v>165</v>
      </c>
      <c r="T2072" s="1" t="str">
        <f t="shared" si="162"/>
        <v>3</v>
      </c>
      <c r="U2072" s="1">
        <v>-34.086883</v>
      </c>
      <c r="V2072" s="3">
        <v>150.82710900000001</v>
      </c>
    </row>
    <row r="2073" spans="1:22" x14ac:dyDescent="0.35">
      <c r="A2073" s="22" t="s">
        <v>5764</v>
      </c>
      <c r="B2073" s="1" t="s">
        <v>5765</v>
      </c>
      <c r="C2073" s="1" t="s">
        <v>999</v>
      </c>
      <c r="D2073" s="1" t="s">
        <v>963</v>
      </c>
      <c r="E2073" s="1" t="s">
        <v>96</v>
      </c>
      <c r="F2073" s="1" t="s">
        <v>69</v>
      </c>
      <c r="G2073" s="1">
        <f t="shared" si="160"/>
        <v>3</v>
      </c>
      <c r="H2073" s="1" t="s">
        <v>86</v>
      </c>
      <c r="I2073" s="1" t="s">
        <v>4583</v>
      </c>
      <c r="J2073" s="23" t="s">
        <v>50</v>
      </c>
      <c r="K2073" s="2" t="s">
        <v>51</v>
      </c>
      <c r="L2073" s="1">
        <v>190</v>
      </c>
      <c r="M2073" s="1">
        <v>42</v>
      </c>
      <c r="N2073" s="1" t="str">
        <f t="shared" si="163"/>
        <v>Published</v>
      </c>
      <c r="O2073" s="1">
        <f t="shared" si="161"/>
        <v>79.8</v>
      </c>
      <c r="P2073" s="1">
        <v>9</v>
      </c>
      <c r="Q2073" s="1">
        <v>826</v>
      </c>
      <c r="R2073" s="1" t="str">
        <f t="shared" si="164"/>
        <v>1</v>
      </c>
      <c r="S2073" s="1">
        <v>164</v>
      </c>
      <c r="T2073" s="1" t="str">
        <f t="shared" si="162"/>
        <v>2</v>
      </c>
      <c r="U2073" s="1">
        <v>-34.095979999999997</v>
      </c>
      <c r="V2073" s="3">
        <v>142.060295</v>
      </c>
    </row>
    <row r="2074" spans="1:22" x14ac:dyDescent="0.35">
      <c r="A2074" s="22" t="s">
        <v>5766</v>
      </c>
      <c r="B2074" s="1" t="s">
        <v>5767</v>
      </c>
      <c r="C2074" s="1" t="s">
        <v>2777</v>
      </c>
      <c r="D2074" s="1" t="s">
        <v>382</v>
      </c>
      <c r="E2074" s="1" t="s">
        <v>196</v>
      </c>
      <c r="F2074" s="1" t="s">
        <v>57</v>
      </c>
      <c r="G2074" s="1">
        <f t="shared" si="160"/>
        <v>2</v>
      </c>
      <c r="H2074" s="1" t="s">
        <v>86</v>
      </c>
      <c r="I2074" s="1" t="s">
        <v>4583</v>
      </c>
      <c r="J2074" s="23" t="s">
        <v>50</v>
      </c>
      <c r="K2074" s="2" t="s">
        <v>51</v>
      </c>
      <c r="L2074" s="1">
        <v>1150.2</v>
      </c>
      <c r="M2074" s="1">
        <v>9</v>
      </c>
      <c r="N2074" s="1" t="str">
        <f t="shared" si="163"/>
        <v>Published</v>
      </c>
      <c r="O2074" s="1">
        <f t="shared" si="161"/>
        <v>103.518</v>
      </c>
      <c r="P2074" s="1">
        <v>6</v>
      </c>
      <c r="Q2074" s="1">
        <v>993</v>
      </c>
      <c r="R2074" s="1" t="str">
        <f t="shared" si="164"/>
        <v>2</v>
      </c>
      <c r="S2074" s="1">
        <v>93</v>
      </c>
      <c r="T2074" s="1" t="str">
        <f t="shared" si="162"/>
        <v>5</v>
      </c>
      <c r="U2074" s="1">
        <v>-35.35821</v>
      </c>
      <c r="V2074" s="3">
        <v>150.47023999999999</v>
      </c>
    </row>
    <row r="2075" spans="1:22" x14ac:dyDescent="0.35">
      <c r="A2075" s="22" t="s">
        <v>5768</v>
      </c>
      <c r="B2075" s="1" t="s">
        <v>5769</v>
      </c>
      <c r="C2075" s="1" t="s">
        <v>4148</v>
      </c>
      <c r="D2075" s="1" t="s">
        <v>837</v>
      </c>
      <c r="E2075" s="1" t="s">
        <v>838</v>
      </c>
      <c r="F2075" s="1" t="s">
        <v>47</v>
      </c>
      <c r="G2075" s="1">
        <f t="shared" si="160"/>
        <v>1</v>
      </c>
      <c r="H2075" s="1" t="s">
        <v>148</v>
      </c>
      <c r="I2075" s="1" t="s">
        <v>4583</v>
      </c>
      <c r="J2075" s="23" t="s">
        <v>50</v>
      </c>
      <c r="K2075" s="2" t="s">
        <v>51</v>
      </c>
      <c r="L2075" s="1">
        <v>391</v>
      </c>
      <c r="M2075" s="1">
        <v>38</v>
      </c>
      <c r="N2075" s="1" t="str">
        <f t="shared" si="163"/>
        <v>Published</v>
      </c>
      <c r="O2075" s="1">
        <f t="shared" si="161"/>
        <v>148.58000000000001</v>
      </c>
      <c r="P2075" s="1">
        <v>33</v>
      </c>
      <c r="Q2075" s="1">
        <v>828</v>
      </c>
      <c r="R2075" s="1" t="str">
        <f t="shared" si="164"/>
        <v>1</v>
      </c>
      <c r="S2075" s="1">
        <v>193</v>
      </c>
      <c r="T2075" s="1" t="str">
        <f t="shared" si="162"/>
        <v>3</v>
      </c>
      <c r="U2075" s="1">
        <v>-33.730803999999999</v>
      </c>
      <c r="V2075" s="3">
        <v>150.80573999999999</v>
      </c>
    </row>
    <row r="2076" spans="1:22" x14ac:dyDescent="0.35">
      <c r="A2076" s="22" t="s">
        <v>5770</v>
      </c>
      <c r="B2076" s="1" t="s">
        <v>5771</v>
      </c>
      <c r="C2076" s="1" t="s">
        <v>3531</v>
      </c>
      <c r="D2076" s="1" t="s">
        <v>689</v>
      </c>
      <c r="E2076" s="1" t="s">
        <v>122</v>
      </c>
      <c r="F2076" s="1" t="s">
        <v>47</v>
      </c>
      <c r="G2076" s="1">
        <f t="shared" si="160"/>
        <v>1</v>
      </c>
      <c r="H2076" s="1" t="s">
        <v>182</v>
      </c>
      <c r="I2076" s="1" t="s">
        <v>4583</v>
      </c>
      <c r="J2076" s="23" t="s">
        <v>50</v>
      </c>
      <c r="K2076" s="2" t="s">
        <v>51</v>
      </c>
      <c r="L2076" s="1">
        <v>394.6</v>
      </c>
      <c r="M2076" s="1">
        <v>20</v>
      </c>
      <c r="N2076" s="1" t="str">
        <f t="shared" si="163"/>
        <v>Published</v>
      </c>
      <c r="O2076" s="1">
        <f t="shared" si="161"/>
        <v>78.920000000000016</v>
      </c>
      <c r="P2076" s="1">
        <v>48</v>
      </c>
      <c r="Q2076" s="1">
        <v>884</v>
      </c>
      <c r="R2076" s="1" t="str">
        <f t="shared" si="164"/>
        <v>1</v>
      </c>
      <c r="S2076" s="1">
        <v>171</v>
      </c>
      <c r="T2076" s="1" t="str">
        <f t="shared" si="162"/>
        <v>3</v>
      </c>
      <c r="U2076" s="1">
        <v>-33.988351000000002</v>
      </c>
      <c r="V2076" s="3">
        <v>150.89228700000001</v>
      </c>
    </row>
    <row r="2077" spans="1:22" x14ac:dyDescent="0.35">
      <c r="A2077" s="22" t="s">
        <v>5772</v>
      </c>
      <c r="B2077" s="1" t="s">
        <v>5773</v>
      </c>
      <c r="C2077" s="1" t="s">
        <v>2179</v>
      </c>
      <c r="D2077" s="1" t="s">
        <v>642</v>
      </c>
      <c r="E2077" s="1" t="s">
        <v>170</v>
      </c>
      <c r="F2077" s="1" t="s">
        <v>47</v>
      </c>
      <c r="G2077" s="1">
        <f t="shared" si="160"/>
        <v>1</v>
      </c>
      <c r="H2077" s="1" t="s">
        <v>148</v>
      </c>
      <c r="I2077" s="1" t="s">
        <v>4583</v>
      </c>
      <c r="J2077" s="23" t="s">
        <v>50</v>
      </c>
      <c r="K2077" s="2" t="s">
        <v>51</v>
      </c>
      <c r="L2077" s="1">
        <v>835.8</v>
      </c>
      <c r="M2077" s="1">
        <v>1</v>
      </c>
      <c r="N2077" s="1" t="str">
        <f t="shared" si="163"/>
        <v>Published</v>
      </c>
      <c r="O2077" s="1">
        <f t="shared" si="161"/>
        <v>8.3580000000000005</v>
      </c>
      <c r="P2077" s="1">
        <v>40</v>
      </c>
      <c r="Q2077" s="1">
        <v>1082</v>
      </c>
      <c r="R2077" s="1" t="str">
        <f t="shared" si="164"/>
        <v>3</v>
      </c>
      <c r="S2077" s="1">
        <v>47</v>
      </c>
      <c r="T2077" s="1" t="str">
        <f t="shared" si="162"/>
        <v>4</v>
      </c>
      <c r="U2077" s="1">
        <v>-33.764695000000003</v>
      </c>
      <c r="V2077" s="3">
        <v>151.02229399999999</v>
      </c>
    </row>
    <row r="2078" spans="1:22" x14ac:dyDescent="0.35">
      <c r="A2078" s="22" t="s">
        <v>5774</v>
      </c>
      <c r="B2078" s="1" t="s">
        <v>5775</v>
      </c>
      <c r="C2078" s="1" t="s">
        <v>3951</v>
      </c>
      <c r="D2078" s="1" t="s">
        <v>761</v>
      </c>
      <c r="E2078" s="1" t="s">
        <v>127</v>
      </c>
      <c r="F2078" s="1" t="s">
        <v>47</v>
      </c>
      <c r="G2078" s="1">
        <f t="shared" si="160"/>
        <v>1</v>
      </c>
      <c r="H2078" s="1" t="s">
        <v>148</v>
      </c>
      <c r="I2078" s="1" t="s">
        <v>4583</v>
      </c>
      <c r="J2078" s="23" t="s">
        <v>50</v>
      </c>
      <c r="K2078" s="2" t="s">
        <v>51</v>
      </c>
      <c r="L2078" s="1">
        <v>1021</v>
      </c>
      <c r="M2078" s="1">
        <v>1</v>
      </c>
      <c r="N2078" s="1" t="str">
        <f t="shared" si="163"/>
        <v>Published</v>
      </c>
      <c r="O2078" s="1">
        <f t="shared" si="161"/>
        <v>10.210000000000001</v>
      </c>
      <c r="P2078" s="1">
        <v>46</v>
      </c>
      <c r="Q2078" s="1">
        <v>1073</v>
      </c>
      <c r="R2078" s="1" t="str">
        <f t="shared" si="164"/>
        <v>3</v>
      </c>
      <c r="S2078" s="1">
        <v>52</v>
      </c>
      <c r="T2078" s="1" t="str">
        <f t="shared" si="162"/>
        <v>5</v>
      </c>
      <c r="U2078" s="1">
        <v>-33.76943</v>
      </c>
      <c r="V2078" s="3">
        <v>150.971394</v>
      </c>
    </row>
    <row r="2079" spans="1:22" x14ac:dyDescent="0.35">
      <c r="A2079" s="22" t="s">
        <v>5776</v>
      </c>
      <c r="B2079" s="1" t="s">
        <v>5777</v>
      </c>
      <c r="C2079" s="1" t="s">
        <v>5778</v>
      </c>
      <c r="D2079" s="1" t="s">
        <v>169</v>
      </c>
      <c r="E2079" s="1" t="s">
        <v>170</v>
      </c>
      <c r="F2079" s="1" t="s">
        <v>47</v>
      </c>
      <c r="G2079" s="1">
        <f t="shared" si="160"/>
        <v>1</v>
      </c>
      <c r="H2079" s="1" t="s">
        <v>48</v>
      </c>
      <c r="I2079" s="1" t="s">
        <v>4583</v>
      </c>
      <c r="J2079" s="23" t="s">
        <v>5167</v>
      </c>
      <c r="K2079" s="2" t="s">
        <v>51</v>
      </c>
      <c r="L2079" s="1">
        <v>781.7</v>
      </c>
      <c r="M2079" s="1">
        <v>0</v>
      </c>
      <c r="N2079" s="1" t="str">
        <f t="shared" si="163"/>
        <v>Published</v>
      </c>
      <c r="O2079" s="1">
        <f t="shared" si="161"/>
        <v>0</v>
      </c>
      <c r="P2079" s="1">
        <v>97</v>
      </c>
      <c r="Q2079" s="1">
        <v>1199</v>
      </c>
      <c r="R2079" s="1" t="str">
        <f t="shared" si="164"/>
        <v>4</v>
      </c>
      <c r="S2079" s="1">
        <v>0</v>
      </c>
      <c r="T2079" s="1" t="str">
        <f t="shared" si="162"/>
        <v>4</v>
      </c>
      <c r="U2079" s="1">
        <v>-33.799889999999998</v>
      </c>
      <c r="V2079" s="3">
        <v>150.94457700000001</v>
      </c>
    </row>
    <row r="2080" spans="1:22" x14ac:dyDescent="0.35">
      <c r="A2080" s="22" t="s">
        <v>5779</v>
      </c>
      <c r="B2080" s="1" t="s">
        <v>5780</v>
      </c>
      <c r="C2080" s="1" t="s">
        <v>4034</v>
      </c>
      <c r="D2080" s="1" t="s">
        <v>180</v>
      </c>
      <c r="E2080" s="1" t="s">
        <v>181</v>
      </c>
      <c r="F2080" s="1" t="s">
        <v>47</v>
      </c>
      <c r="G2080" s="1">
        <f t="shared" si="160"/>
        <v>1</v>
      </c>
      <c r="H2080" s="1" t="s">
        <v>182</v>
      </c>
      <c r="I2080" s="1" t="s">
        <v>4583</v>
      </c>
      <c r="J2080" s="23" t="s">
        <v>5177</v>
      </c>
      <c r="K2080" s="2" t="s">
        <v>51</v>
      </c>
      <c r="L2080" s="1">
        <v>992</v>
      </c>
      <c r="M2080" s="1">
        <v>1</v>
      </c>
      <c r="N2080" s="1" t="str">
        <f t="shared" si="163"/>
        <v>Published</v>
      </c>
      <c r="O2080" s="1">
        <f t="shared" si="161"/>
        <v>9.92</v>
      </c>
      <c r="P2080" s="1">
        <v>81</v>
      </c>
      <c r="Q2080" s="1">
        <v>1022</v>
      </c>
      <c r="R2080" s="1" t="str">
        <f t="shared" si="164"/>
        <v>3</v>
      </c>
      <c r="S2080" s="1">
        <v>91</v>
      </c>
      <c r="T2080" s="1" t="str">
        <f t="shared" si="162"/>
        <v>4</v>
      </c>
      <c r="U2080" s="1">
        <v>-33.925772000000002</v>
      </c>
      <c r="V2080" s="3">
        <v>150.958685</v>
      </c>
    </row>
    <row r="2081" spans="1:22" x14ac:dyDescent="0.35">
      <c r="A2081" s="22" t="s">
        <v>5781</v>
      </c>
      <c r="B2081" s="1" t="s">
        <v>5782</v>
      </c>
      <c r="C2081" s="1" t="s">
        <v>2127</v>
      </c>
      <c r="D2081" s="1" t="s">
        <v>111</v>
      </c>
      <c r="E2081" s="1" t="s">
        <v>56</v>
      </c>
      <c r="F2081" s="1" t="s">
        <v>57</v>
      </c>
      <c r="G2081" s="1">
        <f t="shared" si="160"/>
        <v>2</v>
      </c>
      <c r="H2081" s="1" t="s">
        <v>63</v>
      </c>
      <c r="I2081" s="1" t="s">
        <v>4583</v>
      </c>
      <c r="J2081" s="23" t="s">
        <v>50</v>
      </c>
      <c r="K2081" s="2" t="s">
        <v>51</v>
      </c>
      <c r="L2081" s="1">
        <v>978.8</v>
      </c>
      <c r="M2081" s="1">
        <v>11</v>
      </c>
      <c r="N2081" s="1" t="str">
        <f t="shared" si="163"/>
        <v>Published</v>
      </c>
      <c r="O2081" s="1">
        <f t="shared" si="161"/>
        <v>107.66799999999999</v>
      </c>
      <c r="P2081" s="1">
        <v>9</v>
      </c>
      <c r="Q2081" s="1">
        <v>970</v>
      </c>
      <c r="R2081" s="1" t="str">
        <f t="shared" si="164"/>
        <v>2</v>
      </c>
      <c r="S2081" s="1">
        <v>107</v>
      </c>
      <c r="T2081" s="1" t="str">
        <f t="shared" si="162"/>
        <v>4</v>
      </c>
      <c r="U2081" s="1">
        <v>-32.735883999999999</v>
      </c>
      <c r="V2081" s="3">
        <v>152.1122</v>
      </c>
    </row>
    <row r="2082" spans="1:22" x14ac:dyDescent="0.35">
      <c r="A2082" s="22" t="s">
        <v>5783</v>
      </c>
      <c r="B2082" s="1" t="s">
        <v>5784</v>
      </c>
      <c r="C2082" s="1" t="s">
        <v>5785</v>
      </c>
      <c r="D2082" s="1" t="s">
        <v>591</v>
      </c>
      <c r="E2082" s="1" t="s">
        <v>96</v>
      </c>
      <c r="F2082" s="1" t="s">
        <v>57</v>
      </c>
      <c r="G2082" s="1">
        <f t="shared" si="160"/>
        <v>2</v>
      </c>
      <c r="H2082" s="1" t="s">
        <v>70</v>
      </c>
      <c r="I2082" s="1" t="s">
        <v>4583</v>
      </c>
      <c r="J2082" s="23" t="s">
        <v>50</v>
      </c>
      <c r="K2082" s="2" t="s">
        <v>51</v>
      </c>
      <c r="L2082" s="1">
        <v>312</v>
      </c>
      <c r="M2082" s="1">
        <v>11</v>
      </c>
      <c r="N2082" s="1" t="str">
        <f t="shared" si="163"/>
        <v>Published</v>
      </c>
      <c r="O2082" s="1">
        <f t="shared" si="161"/>
        <v>34.32</v>
      </c>
      <c r="P2082" s="1">
        <v>3</v>
      </c>
      <c r="Q2082" s="1">
        <v>946</v>
      </c>
      <c r="R2082" s="1" t="str">
        <f t="shared" si="164"/>
        <v>2</v>
      </c>
      <c r="S2082" s="1">
        <v>124</v>
      </c>
      <c r="T2082" s="1" t="str">
        <f t="shared" si="162"/>
        <v>3</v>
      </c>
      <c r="U2082" s="1">
        <v>-35.660874</v>
      </c>
      <c r="V2082" s="3">
        <v>147.04393099999999</v>
      </c>
    </row>
    <row r="2083" spans="1:22" x14ac:dyDescent="0.35">
      <c r="A2083" s="22" t="s">
        <v>5786</v>
      </c>
      <c r="B2083" s="1" t="s">
        <v>5787</v>
      </c>
      <c r="C2083" s="1" t="s">
        <v>5788</v>
      </c>
      <c r="D2083" s="1" t="s">
        <v>115</v>
      </c>
      <c r="E2083" s="1" t="s">
        <v>225</v>
      </c>
      <c r="F2083" s="1" t="s">
        <v>47</v>
      </c>
      <c r="G2083" s="1">
        <f t="shared" si="160"/>
        <v>1</v>
      </c>
      <c r="H2083" s="1" t="s">
        <v>48</v>
      </c>
      <c r="I2083" s="1" t="s">
        <v>4583</v>
      </c>
      <c r="J2083" s="23" t="s">
        <v>5167</v>
      </c>
      <c r="K2083" s="2" t="s">
        <v>51</v>
      </c>
      <c r="L2083" s="1">
        <v>916.4</v>
      </c>
      <c r="M2083" s="1"/>
      <c r="N2083" s="1" t="str">
        <f t="shared" si="163"/>
        <v>Suppressed</v>
      </c>
      <c r="O2083" s="1" t="str">
        <f t="shared" si="161"/>
        <v/>
      </c>
      <c r="P2083" s="1">
        <v>78</v>
      </c>
      <c r="Q2083" s="1">
        <v>1176</v>
      </c>
      <c r="R2083" s="1" t="str">
        <f t="shared" si="164"/>
        <v>4</v>
      </c>
      <c r="S2083" s="1">
        <v>11</v>
      </c>
      <c r="T2083" s="1" t="str">
        <f t="shared" si="162"/>
        <v>4</v>
      </c>
      <c r="U2083" s="1">
        <v>-33.890196000000003</v>
      </c>
      <c r="V2083" s="3">
        <v>151.15289999999999</v>
      </c>
    </row>
    <row r="2084" spans="1:22" x14ac:dyDescent="0.35">
      <c r="A2084" s="22" t="s">
        <v>5789</v>
      </c>
      <c r="B2084" s="1" t="s">
        <v>5790</v>
      </c>
      <c r="C2084" s="1" t="s">
        <v>1754</v>
      </c>
      <c r="D2084" s="1" t="s">
        <v>95</v>
      </c>
      <c r="E2084" s="1" t="s">
        <v>96</v>
      </c>
      <c r="F2084" s="1" t="s">
        <v>57</v>
      </c>
      <c r="G2084" s="1">
        <f t="shared" si="160"/>
        <v>2</v>
      </c>
      <c r="H2084" s="1" t="s">
        <v>70</v>
      </c>
      <c r="I2084" s="1" t="s">
        <v>4583</v>
      </c>
      <c r="J2084" s="23" t="s">
        <v>50</v>
      </c>
      <c r="K2084" s="2" t="s">
        <v>51</v>
      </c>
      <c r="L2084" s="1">
        <v>575</v>
      </c>
      <c r="M2084" s="1">
        <v>9</v>
      </c>
      <c r="N2084" s="1" t="str">
        <f t="shared" si="163"/>
        <v>Published</v>
      </c>
      <c r="O2084" s="1">
        <f t="shared" si="161"/>
        <v>51.75</v>
      </c>
      <c r="P2084" s="1">
        <v>18</v>
      </c>
      <c r="Q2084" s="1">
        <v>934</v>
      </c>
      <c r="R2084" s="1" t="str">
        <f t="shared" si="164"/>
        <v>2</v>
      </c>
      <c r="S2084" s="1">
        <v>131</v>
      </c>
      <c r="T2084" s="1" t="str">
        <f t="shared" si="162"/>
        <v>3</v>
      </c>
      <c r="U2084" s="1">
        <v>-36.035173</v>
      </c>
      <c r="V2084" s="3">
        <v>146.946383</v>
      </c>
    </row>
    <row r="2085" spans="1:22" x14ac:dyDescent="0.35">
      <c r="A2085" s="22" t="s">
        <v>5791</v>
      </c>
      <c r="B2085" s="1" t="s">
        <v>5792</v>
      </c>
      <c r="C2085" s="1" t="s">
        <v>3348</v>
      </c>
      <c r="D2085" s="1" t="s">
        <v>115</v>
      </c>
      <c r="E2085" s="1" t="s">
        <v>225</v>
      </c>
      <c r="F2085" s="1" t="s">
        <v>47</v>
      </c>
      <c r="G2085" s="1">
        <f t="shared" si="160"/>
        <v>1</v>
      </c>
      <c r="H2085" s="1" t="s">
        <v>48</v>
      </c>
      <c r="I2085" s="1" t="s">
        <v>4583</v>
      </c>
      <c r="J2085" s="23" t="s">
        <v>5177</v>
      </c>
      <c r="K2085" s="2" t="s">
        <v>51</v>
      </c>
      <c r="L2085" s="1">
        <v>984.3</v>
      </c>
      <c r="M2085" s="1">
        <v>3</v>
      </c>
      <c r="N2085" s="1" t="str">
        <f t="shared" si="163"/>
        <v>Published</v>
      </c>
      <c r="O2085" s="1">
        <f t="shared" si="161"/>
        <v>29.528999999999996</v>
      </c>
      <c r="P2085" s="1">
        <v>60</v>
      </c>
      <c r="Q2085" s="1">
        <v>1096</v>
      </c>
      <c r="R2085" s="1" t="str">
        <f t="shared" si="164"/>
        <v>3</v>
      </c>
      <c r="S2085" s="1">
        <v>38</v>
      </c>
      <c r="T2085" s="1" t="str">
        <f t="shared" si="162"/>
        <v>4</v>
      </c>
      <c r="U2085" s="1">
        <v>-33.919750000000001</v>
      </c>
      <c r="V2085" s="3">
        <v>151.16094000000001</v>
      </c>
    </row>
    <row r="2086" spans="1:22" x14ac:dyDescent="0.35">
      <c r="A2086" s="22" t="s">
        <v>5793</v>
      </c>
      <c r="B2086" s="1" t="s">
        <v>5794</v>
      </c>
      <c r="C2086" s="1" t="s">
        <v>1617</v>
      </c>
      <c r="D2086" s="1" t="s">
        <v>115</v>
      </c>
      <c r="E2086" s="1" t="s">
        <v>46</v>
      </c>
      <c r="F2086" s="1" t="s">
        <v>47</v>
      </c>
      <c r="G2086" s="1">
        <f t="shared" si="160"/>
        <v>1</v>
      </c>
      <c r="H2086" s="1" t="s">
        <v>48</v>
      </c>
      <c r="I2086" s="1" t="s">
        <v>4583</v>
      </c>
      <c r="J2086" s="23" t="s">
        <v>5177</v>
      </c>
      <c r="K2086" s="2" t="s">
        <v>51</v>
      </c>
      <c r="L2086" s="1">
        <v>784</v>
      </c>
      <c r="M2086" s="1">
        <v>4</v>
      </c>
      <c r="N2086" s="1" t="str">
        <f t="shared" si="163"/>
        <v>Published</v>
      </c>
      <c r="O2086" s="1">
        <f t="shared" si="161"/>
        <v>31.36</v>
      </c>
      <c r="P2086" s="1">
        <v>38</v>
      </c>
      <c r="Q2086" s="1">
        <v>1104</v>
      </c>
      <c r="R2086" s="1" t="str">
        <f t="shared" si="164"/>
        <v>4</v>
      </c>
      <c r="S2086" s="1">
        <v>31</v>
      </c>
      <c r="T2086" s="1" t="str">
        <f t="shared" si="162"/>
        <v>4</v>
      </c>
      <c r="U2086" s="1">
        <v>-33.879463000000001</v>
      </c>
      <c r="V2086" s="3">
        <v>151.15900300000001</v>
      </c>
    </row>
    <row r="2087" spans="1:22" x14ac:dyDescent="0.35">
      <c r="A2087" s="22" t="s">
        <v>5795</v>
      </c>
      <c r="B2087" s="1" t="s">
        <v>5796</v>
      </c>
      <c r="C2087" s="1" t="s">
        <v>4951</v>
      </c>
      <c r="D2087" s="1" t="s">
        <v>74</v>
      </c>
      <c r="E2087" s="1" t="s">
        <v>75</v>
      </c>
      <c r="F2087" s="1" t="s">
        <v>47</v>
      </c>
      <c r="G2087" s="1">
        <f t="shared" si="160"/>
        <v>1</v>
      </c>
      <c r="H2087" s="1" t="s">
        <v>63</v>
      </c>
      <c r="I2087" s="1" t="s">
        <v>4583</v>
      </c>
      <c r="J2087" s="23" t="s">
        <v>50</v>
      </c>
      <c r="K2087" s="2" t="s">
        <v>51</v>
      </c>
      <c r="L2087" s="1">
        <v>848</v>
      </c>
      <c r="M2087" s="1">
        <v>16</v>
      </c>
      <c r="N2087" s="1" t="str">
        <f t="shared" si="163"/>
        <v>Published</v>
      </c>
      <c r="O2087" s="1">
        <f t="shared" si="161"/>
        <v>135.68</v>
      </c>
      <c r="P2087" s="1">
        <v>25</v>
      </c>
      <c r="Q2087" s="1">
        <v>957</v>
      </c>
      <c r="R2087" s="1" t="str">
        <f t="shared" si="164"/>
        <v>2</v>
      </c>
      <c r="S2087" s="1">
        <v>112</v>
      </c>
      <c r="T2087" s="1" t="str">
        <f t="shared" si="162"/>
        <v>4</v>
      </c>
      <c r="U2087" s="1">
        <v>-32.904741999999999</v>
      </c>
      <c r="V2087" s="3">
        <v>151.72916499999999</v>
      </c>
    </row>
    <row r="2088" spans="1:22" x14ac:dyDescent="0.35">
      <c r="A2088" s="22" t="s">
        <v>5797</v>
      </c>
      <c r="B2088" s="1" t="s">
        <v>5798</v>
      </c>
      <c r="C2088" s="1" t="s">
        <v>5799</v>
      </c>
      <c r="D2088" s="1" t="s">
        <v>74</v>
      </c>
      <c r="E2088" s="1" t="s">
        <v>75</v>
      </c>
      <c r="F2088" s="1" t="s">
        <v>47</v>
      </c>
      <c r="G2088" s="1">
        <f t="shared" si="160"/>
        <v>1</v>
      </c>
      <c r="H2088" s="1" t="s">
        <v>63</v>
      </c>
      <c r="I2088" s="1" t="s">
        <v>4583</v>
      </c>
      <c r="J2088" s="23" t="s">
        <v>50</v>
      </c>
      <c r="K2088" s="2" t="s">
        <v>51</v>
      </c>
      <c r="L2088" s="1">
        <v>1072</v>
      </c>
      <c r="M2088" s="1">
        <v>13</v>
      </c>
      <c r="N2088" s="1" t="str">
        <f t="shared" si="163"/>
        <v>Published</v>
      </c>
      <c r="O2088" s="1">
        <f t="shared" si="161"/>
        <v>139.36000000000001</v>
      </c>
      <c r="P2088" s="1">
        <v>14</v>
      </c>
      <c r="Q2088" s="1">
        <v>1027</v>
      </c>
      <c r="R2088" s="1" t="str">
        <f t="shared" si="164"/>
        <v>3</v>
      </c>
      <c r="S2088" s="1">
        <v>74</v>
      </c>
      <c r="T2088" s="1" t="str">
        <f t="shared" si="162"/>
        <v>5</v>
      </c>
      <c r="U2088" s="1">
        <v>-32.931677000000001</v>
      </c>
      <c r="V2088" s="3">
        <v>151.75837799999999</v>
      </c>
    </row>
    <row r="2089" spans="1:22" x14ac:dyDescent="0.35">
      <c r="A2089" s="22" t="s">
        <v>5800</v>
      </c>
      <c r="B2089" s="1" t="s">
        <v>5801</v>
      </c>
      <c r="C2089" s="1" t="s">
        <v>5802</v>
      </c>
      <c r="D2089" s="1" t="s">
        <v>74</v>
      </c>
      <c r="E2089" s="1" t="s">
        <v>75</v>
      </c>
      <c r="F2089" s="1" t="s">
        <v>47</v>
      </c>
      <c r="G2089" s="1">
        <f t="shared" si="160"/>
        <v>1</v>
      </c>
      <c r="H2089" s="1" t="s">
        <v>63</v>
      </c>
      <c r="I2089" s="1" t="s">
        <v>4583</v>
      </c>
      <c r="J2089" s="23" t="s">
        <v>5167</v>
      </c>
      <c r="K2089" s="2" t="s">
        <v>51</v>
      </c>
      <c r="L2089" s="1">
        <v>1070.5999999999999</v>
      </c>
      <c r="M2089" s="1">
        <v>3</v>
      </c>
      <c r="N2089" s="1" t="str">
        <f t="shared" si="163"/>
        <v>Published</v>
      </c>
      <c r="O2089" s="1">
        <f t="shared" si="161"/>
        <v>32.117999999999995</v>
      </c>
      <c r="P2089" s="1">
        <v>34</v>
      </c>
      <c r="Q2089" s="1">
        <v>1206</v>
      </c>
      <c r="R2089" s="1" t="str">
        <f t="shared" si="164"/>
        <v>4</v>
      </c>
      <c r="S2089" s="1">
        <v>5</v>
      </c>
      <c r="T2089" s="1" t="str">
        <f t="shared" si="162"/>
        <v>5</v>
      </c>
      <c r="U2089" s="1">
        <v>-32.929684000000002</v>
      </c>
      <c r="V2089" s="3">
        <v>151.73474899999999</v>
      </c>
    </row>
    <row r="2090" spans="1:22" x14ac:dyDescent="0.35">
      <c r="A2090" s="22" t="s">
        <v>5803</v>
      </c>
      <c r="B2090" s="1" t="s">
        <v>5804</v>
      </c>
      <c r="C2090" s="1" t="s">
        <v>3759</v>
      </c>
      <c r="D2090" s="1" t="s">
        <v>203</v>
      </c>
      <c r="E2090" s="1" t="s">
        <v>204</v>
      </c>
      <c r="F2090" s="1" t="s">
        <v>47</v>
      </c>
      <c r="G2090" s="1">
        <f t="shared" si="160"/>
        <v>1</v>
      </c>
      <c r="H2090" s="1" t="s">
        <v>148</v>
      </c>
      <c r="I2090" s="1" t="s">
        <v>4583</v>
      </c>
      <c r="J2090" s="23" t="s">
        <v>50</v>
      </c>
      <c r="K2090" s="2" t="s">
        <v>51</v>
      </c>
      <c r="L2090" s="1">
        <v>1156</v>
      </c>
      <c r="M2090" s="1">
        <v>3</v>
      </c>
      <c r="N2090" s="1" t="str">
        <f t="shared" si="163"/>
        <v>Published</v>
      </c>
      <c r="O2090" s="1">
        <f t="shared" si="161"/>
        <v>34.68</v>
      </c>
      <c r="P2090" s="1">
        <v>29</v>
      </c>
      <c r="Q2090" s="1">
        <v>1056</v>
      </c>
      <c r="R2090" s="1" t="str">
        <f t="shared" si="164"/>
        <v>3</v>
      </c>
      <c r="S2090" s="1">
        <v>66</v>
      </c>
      <c r="T2090" s="1" t="str">
        <f t="shared" si="162"/>
        <v>5</v>
      </c>
      <c r="U2090" s="1">
        <v>-33.737765000000003</v>
      </c>
      <c r="V2090" s="3">
        <v>151.28445300000001</v>
      </c>
    </row>
    <row r="2091" spans="1:22" x14ac:dyDescent="0.35">
      <c r="A2091" s="22" t="s">
        <v>5805</v>
      </c>
      <c r="B2091" s="1" t="s">
        <v>5806</v>
      </c>
      <c r="C2091" s="1" t="s">
        <v>3290</v>
      </c>
      <c r="D2091" s="1" t="s">
        <v>203</v>
      </c>
      <c r="E2091" s="1" t="s">
        <v>204</v>
      </c>
      <c r="F2091" s="1" t="s">
        <v>47</v>
      </c>
      <c r="G2091" s="1">
        <f t="shared" si="160"/>
        <v>1</v>
      </c>
      <c r="H2091" s="1" t="s">
        <v>148</v>
      </c>
      <c r="I2091" s="1" t="s">
        <v>4583</v>
      </c>
      <c r="J2091" s="23" t="s">
        <v>50</v>
      </c>
      <c r="K2091" s="2" t="s">
        <v>51</v>
      </c>
      <c r="L2091" s="1">
        <v>793.6</v>
      </c>
      <c r="M2091" s="1">
        <v>2</v>
      </c>
      <c r="N2091" s="1" t="str">
        <f t="shared" si="163"/>
        <v>Published</v>
      </c>
      <c r="O2091" s="1">
        <f t="shared" si="161"/>
        <v>15.872000000000002</v>
      </c>
      <c r="P2091" s="1">
        <v>20</v>
      </c>
      <c r="Q2091" s="1">
        <v>1042</v>
      </c>
      <c r="R2091" s="1" t="str">
        <f t="shared" si="164"/>
        <v>3</v>
      </c>
      <c r="S2091" s="1">
        <v>71</v>
      </c>
      <c r="T2091" s="1" t="str">
        <f t="shared" si="162"/>
        <v>4</v>
      </c>
      <c r="U2091" s="1">
        <v>-33.700941</v>
      </c>
      <c r="V2091" s="3">
        <v>151.29840100000001</v>
      </c>
    </row>
    <row r="2092" spans="1:22" x14ac:dyDescent="0.35">
      <c r="A2092" s="22" t="s">
        <v>5807</v>
      </c>
      <c r="B2092" s="1" t="s">
        <v>5808</v>
      </c>
      <c r="C2092" s="1" t="s">
        <v>5809</v>
      </c>
      <c r="D2092" s="1" t="s">
        <v>186</v>
      </c>
      <c r="E2092" s="1" t="s">
        <v>187</v>
      </c>
      <c r="F2092" s="1" t="s">
        <v>47</v>
      </c>
      <c r="G2092" s="1">
        <f t="shared" si="160"/>
        <v>1</v>
      </c>
      <c r="H2092" s="1" t="s">
        <v>63</v>
      </c>
      <c r="I2092" s="1" t="s">
        <v>4583</v>
      </c>
      <c r="J2092" s="23" t="s">
        <v>50</v>
      </c>
      <c r="K2092" s="2" t="s">
        <v>51</v>
      </c>
      <c r="L2092" s="1">
        <v>787</v>
      </c>
      <c r="M2092" s="1">
        <v>13</v>
      </c>
      <c r="N2092" s="1" t="str">
        <f t="shared" si="163"/>
        <v>Published</v>
      </c>
      <c r="O2092" s="1">
        <f t="shared" si="161"/>
        <v>102.31</v>
      </c>
      <c r="P2092" s="1">
        <v>10</v>
      </c>
      <c r="Q2092" s="1">
        <v>966</v>
      </c>
      <c r="R2092" s="1" t="str">
        <f t="shared" si="164"/>
        <v>2</v>
      </c>
      <c r="S2092" s="1">
        <v>112</v>
      </c>
      <c r="T2092" s="1" t="str">
        <f t="shared" si="162"/>
        <v>4</v>
      </c>
      <c r="U2092" s="1">
        <v>-33.507421000000001</v>
      </c>
      <c r="V2092" s="3">
        <v>151.30813900000001</v>
      </c>
    </row>
    <row r="2093" spans="1:22" x14ac:dyDescent="0.35">
      <c r="A2093" s="22" t="s">
        <v>5810</v>
      </c>
      <c r="B2093" s="1" t="s">
        <v>5811</v>
      </c>
      <c r="C2093" s="1" t="s">
        <v>2321</v>
      </c>
      <c r="D2093" s="1" t="s">
        <v>837</v>
      </c>
      <c r="E2093" s="1" t="s">
        <v>838</v>
      </c>
      <c r="F2093" s="1" t="s">
        <v>47</v>
      </c>
      <c r="G2093" s="1">
        <f t="shared" si="160"/>
        <v>1</v>
      </c>
      <c r="H2093" s="1" t="s">
        <v>182</v>
      </c>
      <c r="I2093" s="1" t="s">
        <v>4583</v>
      </c>
      <c r="J2093" s="23" t="s">
        <v>50</v>
      </c>
      <c r="K2093" s="2" t="s">
        <v>51</v>
      </c>
      <c r="L2093" s="1">
        <v>1182</v>
      </c>
      <c r="M2093" s="1">
        <v>7</v>
      </c>
      <c r="N2093" s="1" t="str">
        <f t="shared" si="163"/>
        <v>Published</v>
      </c>
      <c r="O2093" s="1">
        <f t="shared" si="161"/>
        <v>82.740000000000009</v>
      </c>
      <c r="P2093" s="1">
        <v>61</v>
      </c>
      <c r="Q2093" s="1">
        <v>966</v>
      </c>
      <c r="R2093" s="1" t="str">
        <f t="shared" si="164"/>
        <v>2</v>
      </c>
      <c r="S2093" s="1">
        <v>121</v>
      </c>
      <c r="T2093" s="1" t="str">
        <f t="shared" si="162"/>
        <v>5</v>
      </c>
      <c r="U2093" s="1">
        <v>-33.748125999999999</v>
      </c>
      <c r="V2093" s="3">
        <v>150.835498</v>
      </c>
    </row>
    <row r="2094" spans="1:22" x14ac:dyDescent="0.35">
      <c r="A2094" s="22" t="s">
        <v>5812</v>
      </c>
      <c r="B2094" s="1" t="s">
        <v>5813</v>
      </c>
      <c r="C2094" s="1" t="s">
        <v>5814</v>
      </c>
      <c r="D2094" s="1" t="s">
        <v>186</v>
      </c>
      <c r="E2094" s="1" t="s">
        <v>187</v>
      </c>
      <c r="F2094" s="1" t="s">
        <v>47</v>
      </c>
      <c r="G2094" s="1">
        <f t="shared" si="160"/>
        <v>1</v>
      </c>
      <c r="H2094" s="1" t="s">
        <v>63</v>
      </c>
      <c r="I2094" s="1" t="s">
        <v>4583</v>
      </c>
      <c r="J2094" s="23" t="s">
        <v>5177</v>
      </c>
      <c r="K2094" s="2" t="s">
        <v>51</v>
      </c>
      <c r="L2094" s="1">
        <v>978.5</v>
      </c>
      <c r="M2094" s="1">
        <v>21</v>
      </c>
      <c r="N2094" s="1" t="str">
        <f t="shared" si="163"/>
        <v>Published</v>
      </c>
      <c r="O2094" s="1">
        <f t="shared" si="161"/>
        <v>205.48499999999999</v>
      </c>
      <c r="P2094" s="1">
        <v>9</v>
      </c>
      <c r="Q2094" s="1">
        <v>923</v>
      </c>
      <c r="R2094" s="1" t="str">
        <f t="shared" si="164"/>
        <v>2</v>
      </c>
      <c r="S2094" s="1">
        <v>136</v>
      </c>
      <c r="T2094" s="1" t="str">
        <f t="shared" si="162"/>
        <v>4</v>
      </c>
      <c r="U2094" s="1">
        <v>-33.242182</v>
      </c>
      <c r="V2094" s="3">
        <v>151.50823299999999</v>
      </c>
    </row>
    <row r="2095" spans="1:22" x14ac:dyDescent="0.35">
      <c r="A2095" s="22" t="s">
        <v>5815</v>
      </c>
      <c r="B2095" s="1" t="s">
        <v>5816</v>
      </c>
      <c r="C2095" s="1" t="s">
        <v>3526</v>
      </c>
      <c r="D2095" s="1" t="s">
        <v>1131</v>
      </c>
      <c r="E2095" s="1" t="s">
        <v>429</v>
      </c>
      <c r="F2095" s="1" t="s">
        <v>47</v>
      </c>
      <c r="G2095" s="1">
        <f t="shared" si="160"/>
        <v>1</v>
      </c>
      <c r="H2095" s="1" t="s">
        <v>148</v>
      </c>
      <c r="I2095" s="1" t="s">
        <v>4583</v>
      </c>
      <c r="J2095" s="23" t="s">
        <v>50</v>
      </c>
      <c r="K2095" s="2" t="s">
        <v>51</v>
      </c>
      <c r="L2095" s="1">
        <v>633</v>
      </c>
      <c r="M2095" s="1">
        <v>18</v>
      </c>
      <c r="N2095" s="1" t="str">
        <f t="shared" si="163"/>
        <v>Published</v>
      </c>
      <c r="O2095" s="1">
        <f t="shared" si="161"/>
        <v>113.94</v>
      </c>
      <c r="P2095" s="1">
        <v>20</v>
      </c>
      <c r="Q2095" s="1">
        <v>916</v>
      </c>
      <c r="R2095" s="1" t="str">
        <f t="shared" si="164"/>
        <v>2</v>
      </c>
      <c r="S2095" s="1">
        <v>146</v>
      </c>
      <c r="T2095" s="1" t="str">
        <f t="shared" si="162"/>
        <v>4</v>
      </c>
      <c r="U2095" s="1">
        <v>-33.752164</v>
      </c>
      <c r="V2095" s="3">
        <v>150.73289199999999</v>
      </c>
    </row>
    <row r="2096" spans="1:22" x14ac:dyDescent="0.35">
      <c r="A2096" s="22" t="s">
        <v>5817</v>
      </c>
      <c r="B2096" s="1" t="s">
        <v>5818</v>
      </c>
      <c r="C2096" s="1" t="s">
        <v>1628</v>
      </c>
      <c r="D2096" s="1" t="s">
        <v>291</v>
      </c>
      <c r="E2096" s="1" t="s">
        <v>261</v>
      </c>
      <c r="F2096" s="1" t="s">
        <v>57</v>
      </c>
      <c r="G2096" s="1">
        <f t="shared" si="160"/>
        <v>2</v>
      </c>
      <c r="H2096" s="1" t="s">
        <v>58</v>
      </c>
      <c r="I2096" s="1" t="s">
        <v>4583</v>
      </c>
      <c r="J2096" s="23" t="s">
        <v>50</v>
      </c>
      <c r="K2096" s="2" t="s">
        <v>51</v>
      </c>
      <c r="L2096" s="1">
        <v>812</v>
      </c>
      <c r="M2096" s="1">
        <v>20</v>
      </c>
      <c r="N2096" s="1" t="str">
        <f t="shared" si="163"/>
        <v>Published</v>
      </c>
      <c r="O2096" s="1">
        <f t="shared" si="161"/>
        <v>162.4</v>
      </c>
      <c r="P2096" s="1">
        <v>5</v>
      </c>
      <c r="Q2096" s="1">
        <v>936</v>
      </c>
      <c r="R2096" s="1" t="str">
        <f t="shared" si="164"/>
        <v>2</v>
      </c>
      <c r="S2096" s="1">
        <v>120</v>
      </c>
      <c r="T2096" s="1" t="str">
        <f t="shared" si="162"/>
        <v>4</v>
      </c>
      <c r="U2096" s="1">
        <v>-33.410541000000002</v>
      </c>
      <c r="V2096" s="3">
        <v>149.61444</v>
      </c>
    </row>
    <row r="2097" spans="1:22" x14ac:dyDescent="0.35">
      <c r="A2097" s="22" t="s">
        <v>5819</v>
      </c>
      <c r="B2097" s="1" t="s">
        <v>5820</v>
      </c>
      <c r="C2097" s="1" t="s">
        <v>5056</v>
      </c>
      <c r="D2097" s="1" t="s">
        <v>730</v>
      </c>
      <c r="E2097" s="1" t="s">
        <v>261</v>
      </c>
      <c r="F2097" s="1" t="s">
        <v>57</v>
      </c>
      <c r="G2097" s="1">
        <f t="shared" si="160"/>
        <v>2</v>
      </c>
      <c r="H2097" s="1" t="s">
        <v>70</v>
      </c>
      <c r="I2097" s="1" t="s">
        <v>4583</v>
      </c>
      <c r="J2097" s="23" t="s">
        <v>50</v>
      </c>
      <c r="K2097" s="2" t="s">
        <v>51</v>
      </c>
      <c r="L2097" s="1">
        <v>237.4</v>
      </c>
      <c r="M2097" s="1">
        <v>15</v>
      </c>
      <c r="N2097" s="1" t="str">
        <f t="shared" si="163"/>
        <v>Published</v>
      </c>
      <c r="O2097" s="1">
        <f t="shared" si="161"/>
        <v>35.61</v>
      </c>
      <c r="P2097" s="1">
        <v>5</v>
      </c>
      <c r="Q2097" s="1">
        <v>945</v>
      </c>
      <c r="R2097" s="1" t="str">
        <f t="shared" si="164"/>
        <v>2</v>
      </c>
      <c r="S2097" s="1">
        <v>121</v>
      </c>
      <c r="T2097" s="1" t="str">
        <f t="shared" si="162"/>
        <v>2</v>
      </c>
      <c r="U2097" s="1">
        <v>-33.558920000000001</v>
      </c>
      <c r="V2097" s="3">
        <v>148.670951</v>
      </c>
    </row>
    <row r="2098" spans="1:22" x14ac:dyDescent="0.35">
      <c r="A2098" s="22" t="s">
        <v>5821</v>
      </c>
      <c r="B2098" s="1" t="s">
        <v>5822</v>
      </c>
      <c r="C2098" s="1" t="s">
        <v>2874</v>
      </c>
      <c r="D2098" s="1" t="s">
        <v>415</v>
      </c>
      <c r="E2098" s="1" t="s">
        <v>91</v>
      </c>
      <c r="F2098" s="1" t="s">
        <v>69</v>
      </c>
      <c r="G2098" s="1">
        <f t="shared" si="160"/>
        <v>3</v>
      </c>
      <c r="H2098" s="1" t="s">
        <v>92</v>
      </c>
      <c r="I2098" s="1" t="s">
        <v>4583</v>
      </c>
      <c r="J2098" s="23" t="s">
        <v>50</v>
      </c>
      <c r="K2098" s="2" t="s">
        <v>51</v>
      </c>
      <c r="L2098" s="1">
        <v>197.4</v>
      </c>
      <c r="M2098" s="1">
        <v>20</v>
      </c>
      <c r="N2098" s="1" t="str">
        <f t="shared" si="163"/>
        <v>Published</v>
      </c>
      <c r="O2098" s="1">
        <f t="shared" si="161"/>
        <v>39.480000000000004</v>
      </c>
      <c r="P2098" s="1">
        <v>3</v>
      </c>
      <c r="Q2098" s="1">
        <v>900</v>
      </c>
      <c r="R2098" s="1" t="str">
        <f t="shared" si="164"/>
        <v>2</v>
      </c>
      <c r="S2098" s="1">
        <v>133</v>
      </c>
      <c r="T2098" s="1" t="str">
        <f t="shared" si="162"/>
        <v>2</v>
      </c>
      <c r="U2098" s="1">
        <v>-29.547875000000001</v>
      </c>
      <c r="V2098" s="3">
        <v>150.574806</v>
      </c>
    </row>
    <row r="2099" spans="1:22" x14ac:dyDescent="0.35">
      <c r="A2099" s="22" t="s">
        <v>5823</v>
      </c>
      <c r="B2099" s="1" t="s">
        <v>5824</v>
      </c>
      <c r="C2099" s="1" t="s">
        <v>1332</v>
      </c>
      <c r="D2099" s="1" t="s">
        <v>390</v>
      </c>
      <c r="E2099" s="1" t="s">
        <v>107</v>
      </c>
      <c r="F2099" s="1" t="s">
        <v>57</v>
      </c>
      <c r="G2099" s="1">
        <f t="shared" si="160"/>
        <v>2</v>
      </c>
      <c r="H2099" s="1" t="s">
        <v>92</v>
      </c>
      <c r="I2099" s="1" t="s">
        <v>4583</v>
      </c>
      <c r="J2099" s="23" t="s">
        <v>50</v>
      </c>
      <c r="K2099" s="2" t="s">
        <v>51</v>
      </c>
      <c r="L2099" s="1">
        <v>262</v>
      </c>
      <c r="M2099" s="1">
        <v>33</v>
      </c>
      <c r="N2099" s="1" t="str">
        <f t="shared" si="163"/>
        <v>Published</v>
      </c>
      <c r="O2099" s="1">
        <f t="shared" si="161"/>
        <v>86.460000000000008</v>
      </c>
      <c r="P2099" s="1">
        <v>8</v>
      </c>
      <c r="Q2099" s="1">
        <v>884</v>
      </c>
      <c r="R2099" s="1" t="str">
        <f t="shared" si="164"/>
        <v>1</v>
      </c>
      <c r="S2099" s="1">
        <v>146</v>
      </c>
      <c r="T2099" s="1" t="str">
        <f t="shared" si="162"/>
        <v>2</v>
      </c>
      <c r="U2099" s="1">
        <v>-28.817879999999999</v>
      </c>
      <c r="V2099" s="3">
        <v>153.33864</v>
      </c>
    </row>
    <row r="2100" spans="1:22" x14ac:dyDescent="0.35">
      <c r="A2100" s="22" t="s">
        <v>5825</v>
      </c>
      <c r="B2100" s="1" t="s">
        <v>5826</v>
      </c>
      <c r="C2100" s="1" t="s">
        <v>5827</v>
      </c>
      <c r="D2100" s="1" t="s">
        <v>678</v>
      </c>
      <c r="E2100" s="1" t="s">
        <v>122</v>
      </c>
      <c r="F2100" s="1" t="s">
        <v>47</v>
      </c>
      <c r="G2100" s="1">
        <f t="shared" si="160"/>
        <v>1</v>
      </c>
      <c r="H2100" s="1" t="s">
        <v>86</v>
      </c>
      <c r="I2100" s="1" t="s">
        <v>4583</v>
      </c>
      <c r="J2100" s="23" t="s">
        <v>50</v>
      </c>
      <c r="K2100" s="2" t="s">
        <v>51</v>
      </c>
      <c r="L2100" s="1">
        <v>857</v>
      </c>
      <c r="M2100" s="1">
        <v>7</v>
      </c>
      <c r="N2100" s="1" t="str">
        <f t="shared" si="163"/>
        <v>Published</v>
      </c>
      <c r="O2100" s="1">
        <f t="shared" si="161"/>
        <v>59.990000000000009</v>
      </c>
      <c r="P2100" s="1">
        <v>19</v>
      </c>
      <c r="Q2100" s="1">
        <v>988</v>
      </c>
      <c r="R2100" s="1" t="str">
        <f t="shared" si="164"/>
        <v>2</v>
      </c>
      <c r="S2100" s="1">
        <v>108</v>
      </c>
      <c r="T2100" s="1" t="str">
        <f t="shared" si="162"/>
        <v>4</v>
      </c>
      <c r="U2100" s="1">
        <v>-34.052602999999998</v>
      </c>
      <c r="V2100" s="3">
        <v>150.715295</v>
      </c>
    </row>
    <row r="2101" spans="1:22" x14ac:dyDescent="0.35">
      <c r="A2101" s="22" t="s">
        <v>5828</v>
      </c>
      <c r="B2101" s="1" t="s">
        <v>5829</v>
      </c>
      <c r="C2101" s="1" t="s">
        <v>454</v>
      </c>
      <c r="D2101" s="1" t="s">
        <v>428</v>
      </c>
      <c r="E2101" s="1" t="s">
        <v>429</v>
      </c>
      <c r="F2101" s="1" t="s">
        <v>47</v>
      </c>
      <c r="G2101" s="1">
        <f t="shared" si="160"/>
        <v>1</v>
      </c>
      <c r="H2101" s="1" t="s">
        <v>63</v>
      </c>
      <c r="I2101" s="1" t="s">
        <v>4583</v>
      </c>
      <c r="J2101" s="23" t="s">
        <v>50</v>
      </c>
      <c r="K2101" s="2" t="s">
        <v>51</v>
      </c>
      <c r="L2101" s="1">
        <v>996.8</v>
      </c>
      <c r="M2101" s="1">
        <v>5</v>
      </c>
      <c r="N2101" s="1" t="str">
        <f t="shared" si="163"/>
        <v>Published</v>
      </c>
      <c r="O2101" s="1">
        <f t="shared" si="161"/>
        <v>49.84</v>
      </c>
      <c r="P2101" s="1">
        <v>12</v>
      </c>
      <c r="Q2101" s="1">
        <v>1065</v>
      </c>
      <c r="R2101" s="1" t="str">
        <f t="shared" si="164"/>
        <v>3</v>
      </c>
      <c r="S2101" s="1">
        <v>57</v>
      </c>
      <c r="T2101" s="1" t="str">
        <f t="shared" si="162"/>
        <v>4</v>
      </c>
      <c r="U2101" s="1">
        <v>-33.754246999999999</v>
      </c>
      <c r="V2101" s="3">
        <v>150.60858999999999</v>
      </c>
    </row>
    <row r="2102" spans="1:22" x14ac:dyDescent="0.35">
      <c r="A2102" s="22" t="s">
        <v>5830</v>
      </c>
      <c r="B2102" s="1" t="s">
        <v>5831</v>
      </c>
      <c r="C2102" s="1" t="s">
        <v>2371</v>
      </c>
      <c r="D2102" s="1" t="s">
        <v>558</v>
      </c>
      <c r="E2102" s="1" t="s">
        <v>68</v>
      </c>
      <c r="F2102" s="1" t="s">
        <v>47</v>
      </c>
      <c r="G2102" s="1">
        <f t="shared" si="160"/>
        <v>1</v>
      </c>
      <c r="H2102" s="1" t="s">
        <v>70</v>
      </c>
      <c r="I2102" s="1" t="s">
        <v>4583</v>
      </c>
      <c r="J2102" s="23" t="s">
        <v>5177</v>
      </c>
      <c r="K2102" s="2" t="s">
        <v>51</v>
      </c>
      <c r="L2102" s="1">
        <v>723</v>
      </c>
      <c r="M2102" s="1">
        <v>15</v>
      </c>
      <c r="N2102" s="1" t="str">
        <f t="shared" si="163"/>
        <v>Published</v>
      </c>
      <c r="O2102" s="1">
        <f t="shared" si="161"/>
        <v>108.45</v>
      </c>
      <c r="P2102" s="1">
        <v>16</v>
      </c>
      <c r="Q2102" s="1">
        <v>982</v>
      </c>
      <c r="R2102" s="1" t="str">
        <f t="shared" si="164"/>
        <v>2</v>
      </c>
      <c r="S2102" s="1">
        <v>103</v>
      </c>
      <c r="T2102" s="1" t="str">
        <f t="shared" si="162"/>
        <v>4</v>
      </c>
      <c r="U2102" s="1">
        <v>-35.365336999999997</v>
      </c>
      <c r="V2102" s="3">
        <v>149.22482199999999</v>
      </c>
    </row>
    <row r="2103" spans="1:22" x14ac:dyDescent="0.35">
      <c r="A2103" s="22" t="s">
        <v>5832</v>
      </c>
      <c r="B2103" s="1" t="s">
        <v>5833</v>
      </c>
      <c r="C2103" s="1" t="s">
        <v>90</v>
      </c>
      <c r="D2103" s="1" t="s">
        <v>90</v>
      </c>
      <c r="E2103" s="1" t="s">
        <v>91</v>
      </c>
      <c r="F2103" s="1" t="s">
        <v>57</v>
      </c>
      <c r="G2103" s="1">
        <f t="shared" si="160"/>
        <v>2</v>
      </c>
      <c r="H2103" s="1" t="s">
        <v>86</v>
      </c>
      <c r="I2103" s="1" t="s">
        <v>4583</v>
      </c>
      <c r="J2103" s="23" t="s">
        <v>5177</v>
      </c>
      <c r="K2103" s="2" t="s">
        <v>51</v>
      </c>
      <c r="L2103" s="1">
        <v>629</v>
      </c>
      <c r="M2103" s="1">
        <v>47</v>
      </c>
      <c r="N2103" s="1" t="str">
        <f t="shared" si="163"/>
        <v>Published</v>
      </c>
      <c r="O2103" s="1">
        <f t="shared" si="161"/>
        <v>295.63</v>
      </c>
      <c r="P2103" s="1">
        <v>5</v>
      </c>
      <c r="Q2103" s="1">
        <v>831</v>
      </c>
      <c r="R2103" s="1" t="str">
        <f t="shared" si="164"/>
        <v>1</v>
      </c>
      <c r="S2103" s="1">
        <v>160</v>
      </c>
      <c r="T2103" s="1" t="str">
        <f t="shared" si="162"/>
        <v>4</v>
      </c>
      <c r="U2103" s="1">
        <v>-31.099764</v>
      </c>
      <c r="V2103" s="3">
        <v>150.89299</v>
      </c>
    </row>
    <row r="2104" spans="1:22" x14ac:dyDescent="0.35">
      <c r="A2104" s="22" t="s">
        <v>5834</v>
      </c>
      <c r="B2104" s="1" t="s">
        <v>5835</v>
      </c>
      <c r="C2104" s="1" t="s">
        <v>2416</v>
      </c>
      <c r="D2104" s="1" t="s">
        <v>404</v>
      </c>
      <c r="E2104" s="1" t="s">
        <v>429</v>
      </c>
      <c r="F2104" s="1" t="s">
        <v>47</v>
      </c>
      <c r="G2104" s="1">
        <f t="shared" si="160"/>
        <v>1</v>
      </c>
      <c r="H2104" s="1" t="s">
        <v>63</v>
      </c>
      <c r="I2104" s="1" t="s">
        <v>4583</v>
      </c>
      <c r="J2104" s="23" t="s">
        <v>50</v>
      </c>
      <c r="K2104" s="2" t="s">
        <v>51</v>
      </c>
      <c r="L2104" s="1">
        <v>806.6</v>
      </c>
      <c r="M2104" s="1">
        <v>9</v>
      </c>
      <c r="N2104" s="1" t="str">
        <f t="shared" si="163"/>
        <v>Published</v>
      </c>
      <c r="O2104" s="1">
        <f t="shared" si="161"/>
        <v>72.593999999999994</v>
      </c>
      <c r="P2104" s="1">
        <v>8</v>
      </c>
      <c r="Q2104" s="1">
        <v>1001</v>
      </c>
      <c r="R2104" s="1" t="str">
        <f t="shared" si="164"/>
        <v>3</v>
      </c>
      <c r="S2104" s="1">
        <v>87</v>
      </c>
      <c r="T2104" s="1" t="str">
        <f t="shared" si="162"/>
        <v>4</v>
      </c>
      <c r="U2104" s="1">
        <v>-33.569358999999999</v>
      </c>
      <c r="V2104" s="3">
        <v>150.70820399999999</v>
      </c>
    </row>
    <row r="2105" spans="1:22" x14ac:dyDescent="0.35">
      <c r="A2105" s="22" t="s">
        <v>5836</v>
      </c>
      <c r="B2105" s="1" t="s">
        <v>5837</v>
      </c>
      <c r="C2105" s="1" t="s">
        <v>4220</v>
      </c>
      <c r="D2105" s="1" t="s">
        <v>465</v>
      </c>
      <c r="E2105" s="1" t="s">
        <v>281</v>
      </c>
      <c r="F2105" s="1" t="s">
        <v>57</v>
      </c>
      <c r="G2105" s="1">
        <f t="shared" si="160"/>
        <v>2</v>
      </c>
      <c r="H2105" s="1" t="s">
        <v>58</v>
      </c>
      <c r="I2105" s="1" t="s">
        <v>4583</v>
      </c>
      <c r="J2105" s="23" t="s">
        <v>50</v>
      </c>
      <c r="K2105" s="2" t="s">
        <v>51</v>
      </c>
      <c r="L2105" s="1">
        <v>738</v>
      </c>
      <c r="M2105" s="1">
        <v>21</v>
      </c>
      <c r="N2105" s="1" t="str">
        <f t="shared" si="163"/>
        <v>Published</v>
      </c>
      <c r="O2105" s="1">
        <f t="shared" si="161"/>
        <v>154.97999999999999</v>
      </c>
      <c r="P2105" s="1">
        <v>7</v>
      </c>
      <c r="Q2105" s="1">
        <v>941</v>
      </c>
      <c r="R2105" s="1" t="str">
        <f t="shared" si="164"/>
        <v>2</v>
      </c>
      <c r="S2105" s="1">
        <v>121</v>
      </c>
      <c r="T2105" s="1" t="str">
        <f t="shared" si="162"/>
        <v>4</v>
      </c>
      <c r="U2105" s="1">
        <v>-30.351016000000001</v>
      </c>
      <c r="V2105" s="3">
        <v>153.08439899999999</v>
      </c>
    </row>
    <row r="2106" spans="1:22" x14ac:dyDescent="0.35">
      <c r="A2106" s="22" t="s">
        <v>5838</v>
      </c>
      <c r="B2106" s="1" t="s">
        <v>5839</v>
      </c>
      <c r="C2106" s="1" t="s">
        <v>4156</v>
      </c>
      <c r="D2106" s="1" t="s">
        <v>837</v>
      </c>
      <c r="E2106" s="1" t="s">
        <v>838</v>
      </c>
      <c r="F2106" s="1" t="s">
        <v>47</v>
      </c>
      <c r="G2106" s="1">
        <f t="shared" si="160"/>
        <v>1</v>
      </c>
      <c r="H2106" s="1" t="s">
        <v>148</v>
      </c>
      <c r="I2106" s="1" t="s">
        <v>4583</v>
      </c>
      <c r="J2106" s="23" t="s">
        <v>50</v>
      </c>
      <c r="K2106" s="2" t="s">
        <v>51</v>
      </c>
      <c r="L2106" s="1">
        <v>720</v>
      </c>
      <c r="M2106" s="1">
        <v>26</v>
      </c>
      <c r="N2106" s="1" t="str">
        <f t="shared" si="163"/>
        <v>Published</v>
      </c>
      <c r="O2106" s="1">
        <f t="shared" si="161"/>
        <v>187.20000000000002</v>
      </c>
      <c r="P2106" s="1">
        <v>45</v>
      </c>
      <c r="Q2106" s="1">
        <v>849</v>
      </c>
      <c r="R2106" s="1" t="str">
        <f t="shared" si="164"/>
        <v>1</v>
      </c>
      <c r="S2106" s="1">
        <v>191</v>
      </c>
      <c r="T2106" s="1" t="str">
        <f t="shared" si="162"/>
        <v>4</v>
      </c>
      <c r="U2106" s="1">
        <v>-33.733854000000001</v>
      </c>
      <c r="V2106" s="3">
        <v>150.827271</v>
      </c>
    </row>
    <row r="2107" spans="1:22" x14ac:dyDescent="0.35">
      <c r="A2107" s="22" t="s">
        <v>5840</v>
      </c>
      <c r="B2107" s="1" t="s">
        <v>5841</v>
      </c>
      <c r="C2107" s="1" t="s">
        <v>681</v>
      </c>
      <c r="D2107" s="1" t="s">
        <v>1003</v>
      </c>
      <c r="E2107" s="1" t="s">
        <v>225</v>
      </c>
      <c r="F2107" s="1" t="s">
        <v>47</v>
      </c>
      <c r="G2107" s="1">
        <f t="shared" si="160"/>
        <v>1</v>
      </c>
      <c r="H2107" s="1" t="s">
        <v>48</v>
      </c>
      <c r="I2107" s="1" t="s">
        <v>4583</v>
      </c>
      <c r="J2107" s="23" t="s">
        <v>50</v>
      </c>
      <c r="K2107" s="2" t="s">
        <v>51</v>
      </c>
      <c r="L2107" s="1">
        <v>1144.2</v>
      </c>
      <c r="M2107" s="1">
        <v>2</v>
      </c>
      <c r="N2107" s="1" t="str">
        <f t="shared" si="163"/>
        <v>Published</v>
      </c>
      <c r="O2107" s="1">
        <f t="shared" si="161"/>
        <v>22.884</v>
      </c>
      <c r="P2107" s="1">
        <v>29</v>
      </c>
      <c r="Q2107" s="1">
        <v>1127</v>
      </c>
      <c r="R2107" s="1" t="str">
        <f t="shared" si="164"/>
        <v>4</v>
      </c>
      <c r="S2107" s="1">
        <v>16</v>
      </c>
      <c r="T2107" s="1" t="str">
        <f t="shared" si="162"/>
        <v>5</v>
      </c>
      <c r="U2107" s="1">
        <v>-33.899534000000003</v>
      </c>
      <c r="V2107" s="3">
        <v>151.178338</v>
      </c>
    </row>
    <row r="2108" spans="1:22" x14ac:dyDescent="0.35">
      <c r="A2108" s="22" t="s">
        <v>5842</v>
      </c>
      <c r="B2108" s="1" t="s">
        <v>5843</v>
      </c>
      <c r="C2108" s="1" t="s">
        <v>2480</v>
      </c>
      <c r="D2108" s="1" t="s">
        <v>537</v>
      </c>
      <c r="E2108" s="1" t="s">
        <v>181</v>
      </c>
      <c r="F2108" s="1" t="s">
        <v>47</v>
      </c>
      <c r="G2108" s="1">
        <f t="shared" si="160"/>
        <v>1</v>
      </c>
      <c r="H2108" s="1" t="s">
        <v>182</v>
      </c>
      <c r="I2108" s="1" t="s">
        <v>4583</v>
      </c>
      <c r="J2108" s="23" t="s">
        <v>50</v>
      </c>
      <c r="K2108" s="2" t="s">
        <v>51</v>
      </c>
      <c r="L2108" s="1">
        <v>921.2</v>
      </c>
      <c r="M2108" s="1">
        <v>2</v>
      </c>
      <c r="N2108" s="1" t="str">
        <f t="shared" si="163"/>
        <v>Published</v>
      </c>
      <c r="O2108" s="1">
        <f t="shared" si="161"/>
        <v>18.424000000000003</v>
      </c>
      <c r="P2108" s="1">
        <v>91</v>
      </c>
      <c r="Q2108" s="1">
        <v>927</v>
      </c>
      <c r="R2108" s="1" t="str">
        <f t="shared" si="164"/>
        <v>2</v>
      </c>
      <c r="S2108" s="1">
        <v>158</v>
      </c>
      <c r="T2108" s="1" t="str">
        <f t="shared" si="162"/>
        <v>4</v>
      </c>
      <c r="U2108" s="1">
        <v>-33.873072999999998</v>
      </c>
      <c r="V2108" s="3">
        <v>150.89200199999999</v>
      </c>
    </row>
    <row r="2109" spans="1:22" x14ac:dyDescent="0.35">
      <c r="A2109" s="22" t="s">
        <v>5844</v>
      </c>
      <c r="B2109" s="1" t="s">
        <v>5845</v>
      </c>
      <c r="C2109" s="1" t="s">
        <v>3521</v>
      </c>
      <c r="D2109" s="1" t="s">
        <v>689</v>
      </c>
      <c r="E2109" s="1" t="s">
        <v>122</v>
      </c>
      <c r="F2109" s="1" t="s">
        <v>47</v>
      </c>
      <c r="G2109" s="1">
        <f t="shared" si="160"/>
        <v>1</v>
      </c>
      <c r="H2109" s="1" t="s">
        <v>182</v>
      </c>
      <c r="I2109" s="1" t="s">
        <v>4583</v>
      </c>
      <c r="J2109" s="23" t="s">
        <v>50</v>
      </c>
      <c r="K2109" s="2" t="s">
        <v>51</v>
      </c>
      <c r="L2109" s="1">
        <v>691</v>
      </c>
      <c r="M2109" s="1">
        <v>8</v>
      </c>
      <c r="N2109" s="1" t="str">
        <f t="shared" si="163"/>
        <v>Published</v>
      </c>
      <c r="O2109" s="1">
        <f t="shared" si="161"/>
        <v>55.28</v>
      </c>
      <c r="P2109" s="1">
        <v>49</v>
      </c>
      <c r="Q2109" s="1">
        <v>972</v>
      </c>
      <c r="R2109" s="1" t="str">
        <f t="shared" si="164"/>
        <v>2</v>
      </c>
      <c r="S2109" s="1">
        <v>116</v>
      </c>
      <c r="T2109" s="1" t="str">
        <f t="shared" si="162"/>
        <v>4</v>
      </c>
      <c r="U2109" s="1">
        <v>-34.054338999999999</v>
      </c>
      <c r="V2109" s="3">
        <v>150.84737000000001</v>
      </c>
    </row>
    <row r="2110" spans="1:22" x14ac:dyDescent="0.35">
      <c r="A2110" s="22" t="s">
        <v>5846</v>
      </c>
      <c r="B2110" s="1" t="s">
        <v>5847</v>
      </c>
      <c r="C2110" s="1" t="s">
        <v>2664</v>
      </c>
      <c r="D2110" s="1" t="s">
        <v>186</v>
      </c>
      <c r="E2110" s="1" t="s">
        <v>187</v>
      </c>
      <c r="F2110" s="1" t="s">
        <v>47</v>
      </c>
      <c r="G2110" s="1">
        <f t="shared" si="160"/>
        <v>1</v>
      </c>
      <c r="H2110" s="1" t="s">
        <v>63</v>
      </c>
      <c r="I2110" s="1" t="s">
        <v>4583</v>
      </c>
      <c r="J2110" s="23" t="s">
        <v>50</v>
      </c>
      <c r="K2110" s="2" t="s">
        <v>51</v>
      </c>
      <c r="L2110" s="1">
        <v>847</v>
      </c>
      <c r="M2110" s="1">
        <v>7</v>
      </c>
      <c r="N2110" s="1" t="str">
        <f t="shared" si="163"/>
        <v>Published</v>
      </c>
      <c r="O2110" s="1">
        <f t="shared" si="161"/>
        <v>59.290000000000006</v>
      </c>
      <c r="P2110" s="1">
        <v>11</v>
      </c>
      <c r="Q2110" s="1">
        <v>1044</v>
      </c>
      <c r="R2110" s="1" t="str">
        <f t="shared" si="164"/>
        <v>3</v>
      </c>
      <c r="S2110" s="1">
        <v>65</v>
      </c>
      <c r="T2110" s="1" t="str">
        <f t="shared" si="162"/>
        <v>4</v>
      </c>
      <c r="U2110" s="1">
        <v>-33.442166999999998</v>
      </c>
      <c r="V2110" s="3">
        <v>151.42934199999999</v>
      </c>
    </row>
    <row r="2111" spans="1:22" x14ac:dyDescent="0.35">
      <c r="A2111" s="22" t="s">
        <v>5848</v>
      </c>
      <c r="B2111" s="1" t="s">
        <v>5849</v>
      </c>
      <c r="C2111" s="1" t="s">
        <v>1227</v>
      </c>
      <c r="D2111" s="1" t="s">
        <v>275</v>
      </c>
      <c r="E2111" s="1" t="s">
        <v>276</v>
      </c>
      <c r="F2111" s="1" t="s">
        <v>57</v>
      </c>
      <c r="G2111" s="1">
        <f t="shared" si="160"/>
        <v>2</v>
      </c>
      <c r="H2111" s="1" t="s">
        <v>58</v>
      </c>
      <c r="I2111" s="1" t="s">
        <v>4583</v>
      </c>
      <c r="J2111" s="23" t="s">
        <v>50</v>
      </c>
      <c r="K2111" s="2" t="s">
        <v>51</v>
      </c>
      <c r="L2111" s="1">
        <v>478</v>
      </c>
      <c r="M2111" s="1">
        <v>24</v>
      </c>
      <c r="N2111" s="1" t="str">
        <f t="shared" si="163"/>
        <v>Published</v>
      </c>
      <c r="O2111" s="1">
        <f t="shared" si="161"/>
        <v>114.72</v>
      </c>
      <c r="P2111" s="1">
        <v>6</v>
      </c>
      <c r="Q2111" s="1">
        <v>936</v>
      </c>
      <c r="R2111" s="1" t="str">
        <f t="shared" si="164"/>
        <v>2</v>
      </c>
      <c r="S2111" s="1">
        <v>115</v>
      </c>
      <c r="T2111" s="1" t="str">
        <f t="shared" si="162"/>
        <v>3</v>
      </c>
      <c r="U2111" s="1">
        <v>-32.215651999999999</v>
      </c>
      <c r="V2111" s="3">
        <v>152.52788000000001</v>
      </c>
    </row>
    <row r="2112" spans="1:22" x14ac:dyDescent="0.35">
      <c r="A2112" s="22" t="s">
        <v>5850</v>
      </c>
      <c r="B2112" s="1" t="s">
        <v>5851</v>
      </c>
      <c r="C2112" s="1" t="s">
        <v>853</v>
      </c>
      <c r="D2112" s="1" t="s">
        <v>45</v>
      </c>
      <c r="E2112" s="1" t="s">
        <v>46</v>
      </c>
      <c r="F2112" s="1" t="s">
        <v>47</v>
      </c>
      <c r="G2112" s="1">
        <f t="shared" si="160"/>
        <v>1</v>
      </c>
      <c r="H2112" s="1" t="s">
        <v>48</v>
      </c>
      <c r="I2112" s="1" t="s">
        <v>4583</v>
      </c>
      <c r="J2112" s="23" t="s">
        <v>50</v>
      </c>
      <c r="K2112" s="2" t="s">
        <v>51</v>
      </c>
      <c r="L2112" s="1">
        <v>1205</v>
      </c>
      <c r="M2112" s="1">
        <v>1</v>
      </c>
      <c r="N2112" s="1" t="str">
        <f t="shared" si="163"/>
        <v>Published</v>
      </c>
      <c r="O2112" s="1">
        <f t="shared" si="161"/>
        <v>12.05</v>
      </c>
      <c r="P2112" s="1">
        <v>69</v>
      </c>
      <c r="Q2112" s="1">
        <v>1068</v>
      </c>
      <c r="R2112" s="1" t="str">
        <f t="shared" si="164"/>
        <v>3</v>
      </c>
      <c r="S2112" s="1">
        <v>55</v>
      </c>
      <c r="T2112" s="1" t="str">
        <f t="shared" si="162"/>
        <v>5</v>
      </c>
      <c r="U2112" s="1">
        <v>-33.864061999999997</v>
      </c>
      <c r="V2112" s="3">
        <v>151.10927100000001</v>
      </c>
    </row>
    <row r="2113" spans="1:22" x14ac:dyDescent="0.35">
      <c r="A2113" s="22" t="s">
        <v>5852</v>
      </c>
      <c r="B2113" s="1" t="s">
        <v>5853</v>
      </c>
      <c r="C2113" s="1" t="s">
        <v>2164</v>
      </c>
      <c r="D2113" s="1" t="s">
        <v>288</v>
      </c>
      <c r="E2113" s="1" t="s">
        <v>68</v>
      </c>
      <c r="F2113" s="1" t="s">
        <v>69</v>
      </c>
      <c r="G2113" s="1">
        <f t="shared" si="160"/>
        <v>3</v>
      </c>
      <c r="H2113" s="1" t="s">
        <v>86</v>
      </c>
      <c r="I2113" s="1" t="s">
        <v>4583</v>
      </c>
      <c r="J2113" s="23" t="s">
        <v>50</v>
      </c>
      <c r="K2113" s="2" t="s">
        <v>51</v>
      </c>
      <c r="L2113" s="1">
        <v>462.8</v>
      </c>
      <c r="M2113" s="1">
        <v>23</v>
      </c>
      <c r="N2113" s="1" t="str">
        <f t="shared" si="163"/>
        <v>Published</v>
      </c>
      <c r="O2113" s="1">
        <f t="shared" si="161"/>
        <v>106.444</v>
      </c>
      <c r="P2113" s="1">
        <v>5</v>
      </c>
      <c r="Q2113" s="1">
        <v>936</v>
      </c>
      <c r="R2113" s="1" t="str">
        <f t="shared" si="164"/>
        <v>2</v>
      </c>
      <c r="S2113" s="1">
        <v>110</v>
      </c>
      <c r="T2113" s="1" t="str">
        <f t="shared" si="162"/>
        <v>3</v>
      </c>
      <c r="U2113" s="1">
        <v>-36.235506000000001</v>
      </c>
      <c r="V2113" s="3">
        <v>150.128648</v>
      </c>
    </row>
    <row r="2114" spans="1:22" x14ac:dyDescent="0.35">
      <c r="A2114" s="22" t="s">
        <v>5854</v>
      </c>
      <c r="B2114" s="1" t="s">
        <v>5855</v>
      </c>
      <c r="C2114" s="1" t="s">
        <v>5114</v>
      </c>
      <c r="D2114" s="1" t="s">
        <v>1003</v>
      </c>
      <c r="E2114" s="1" t="s">
        <v>225</v>
      </c>
      <c r="F2114" s="1" t="s">
        <v>47</v>
      </c>
      <c r="G2114" s="1">
        <f t="shared" ref="G2114:G2177" si="165">IF(F2114="Major Cities of Australia",1,IF(F2114="Inner Regional Australia",2,IF(F2114="Outer Regional Australia",3,IF(F2114="Remote Australia",4,IF(F2114="Very Remote Australia",5,6)))))</f>
        <v>1</v>
      </c>
      <c r="H2114" s="1" t="s">
        <v>48</v>
      </c>
      <c r="I2114" s="1" t="s">
        <v>4583</v>
      </c>
      <c r="J2114" s="23" t="s">
        <v>5177</v>
      </c>
      <c r="K2114" s="2" t="s">
        <v>51</v>
      </c>
      <c r="L2114" s="1">
        <v>786.9</v>
      </c>
      <c r="M2114" s="1">
        <v>3</v>
      </c>
      <c r="N2114" s="1" t="str">
        <f t="shared" si="163"/>
        <v>Published</v>
      </c>
      <c r="O2114" s="1">
        <f t="shared" ref="O2114:O2177" si="166">IF(OR(M2114="",L2114=""),"",M2114/100*L2114)</f>
        <v>23.606999999999999</v>
      </c>
      <c r="P2114" s="1">
        <v>40</v>
      </c>
      <c r="Q2114" s="1">
        <v>1094</v>
      </c>
      <c r="R2114" s="1" t="str">
        <f t="shared" si="164"/>
        <v>3</v>
      </c>
      <c r="S2114" s="1">
        <v>31</v>
      </c>
      <c r="T2114" s="1" t="str">
        <f t="shared" ref="T2114:T2177" si="167">IF(L2114="","No enrolment",IF(L2114&lt;100,"1",IF(L2114&lt;300,"2",IF(L2114&lt;600,"3",IF(L2114&lt;1000,"4","5")))))</f>
        <v>4</v>
      </c>
      <c r="U2114" s="1">
        <v>-33.875141999999997</v>
      </c>
      <c r="V2114" s="3">
        <v>151.188357</v>
      </c>
    </row>
    <row r="2115" spans="1:22" x14ac:dyDescent="0.35">
      <c r="A2115" s="22" t="s">
        <v>5856</v>
      </c>
      <c r="B2115" s="1" t="s">
        <v>5857</v>
      </c>
      <c r="C2115" s="1" t="s">
        <v>3357</v>
      </c>
      <c r="D2115" s="1" t="s">
        <v>115</v>
      </c>
      <c r="E2115" s="1" t="s">
        <v>225</v>
      </c>
      <c r="F2115" s="1" t="s">
        <v>47</v>
      </c>
      <c r="G2115" s="1">
        <f t="shared" si="165"/>
        <v>1</v>
      </c>
      <c r="H2115" s="1" t="s">
        <v>48</v>
      </c>
      <c r="I2115" s="1" t="s">
        <v>4583</v>
      </c>
      <c r="J2115" s="23" t="s">
        <v>50</v>
      </c>
      <c r="K2115" s="2" t="s">
        <v>51</v>
      </c>
      <c r="L2115" s="1">
        <v>624.20000000000005</v>
      </c>
      <c r="M2115" s="1">
        <v>4</v>
      </c>
      <c r="N2115" s="1" t="str">
        <f t="shared" ref="N2115:N2178" si="168">IF(M2115="","Suppressed","Published")</f>
        <v>Published</v>
      </c>
      <c r="O2115" s="1">
        <f t="shared" si="166"/>
        <v>24.968000000000004</v>
      </c>
      <c r="P2115" s="1">
        <v>45</v>
      </c>
      <c r="Q2115" s="1">
        <v>1052</v>
      </c>
      <c r="R2115" s="1" t="str">
        <f t="shared" ref="R2115:R2178" si="169">IF(Q2115="","No ICSEA",IF(Q2115&lt;900,"1",IF(Q2115&lt;1000,"2",IF(Q2115&lt;1100,"3","4"))))</f>
        <v>3</v>
      </c>
      <c r="S2115" s="1">
        <v>62</v>
      </c>
      <c r="T2115" s="1" t="str">
        <f t="shared" si="167"/>
        <v>4</v>
      </c>
      <c r="U2115" s="1">
        <v>-33.905780999999998</v>
      </c>
      <c r="V2115" s="3">
        <v>151.15599499999999</v>
      </c>
    </row>
    <row r="2116" spans="1:22" x14ac:dyDescent="0.35">
      <c r="A2116" s="22" t="s">
        <v>5858</v>
      </c>
      <c r="B2116" s="1" t="s">
        <v>5859</v>
      </c>
      <c r="C2116" s="1" t="s">
        <v>1199</v>
      </c>
      <c r="D2116" s="1" t="s">
        <v>176</v>
      </c>
      <c r="E2116" s="1" t="s">
        <v>85</v>
      </c>
      <c r="F2116" s="1" t="s">
        <v>47</v>
      </c>
      <c r="G2116" s="1">
        <f t="shared" si="165"/>
        <v>1</v>
      </c>
      <c r="H2116" s="1" t="s">
        <v>86</v>
      </c>
      <c r="I2116" s="1" t="s">
        <v>4583</v>
      </c>
      <c r="J2116" s="23" t="s">
        <v>50</v>
      </c>
      <c r="K2116" s="2" t="s">
        <v>51</v>
      </c>
      <c r="L2116" s="1">
        <v>723</v>
      </c>
      <c r="M2116" s="1">
        <v>7</v>
      </c>
      <c r="N2116" s="1" t="str">
        <f t="shared" si="168"/>
        <v>Published</v>
      </c>
      <c r="O2116" s="1">
        <f t="shared" si="166"/>
        <v>50.610000000000007</v>
      </c>
      <c r="P2116" s="1">
        <v>40</v>
      </c>
      <c r="Q2116" s="1">
        <v>984</v>
      </c>
      <c r="R2116" s="1" t="str">
        <f t="shared" si="169"/>
        <v>2</v>
      </c>
      <c r="S2116" s="1">
        <v>110</v>
      </c>
      <c r="T2116" s="1" t="str">
        <f t="shared" si="167"/>
        <v>4</v>
      </c>
      <c r="U2116" s="1">
        <v>-34.405999999999999</v>
      </c>
      <c r="V2116" s="3">
        <v>150.8879</v>
      </c>
    </row>
    <row r="2117" spans="1:22" x14ac:dyDescent="0.35">
      <c r="A2117" s="22" t="s">
        <v>5860</v>
      </c>
      <c r="B2117" s="1" t="s">
        <v>5861</v>
      </c>
      <c r="C2117" s="1" t="s">
        <v>176</v>
      </c>
      <c r="D2117" s="1" t="s">
        <v>176</v>
      </c>
      <c r="E2117" s="1" t="s">
        <v>85</v>
      </c>
      <c r="F2117" s="1" t="s">
        <v>47</v>
      </c>
      <c r="G2117" s="1">
        <f t="shared" si="165"/>
        <v>1</v>
      </c>
      <c r="H2117" s="1" t="s">
        <v>86</v>
      </c>
      <c r="I2117" s="1" t="s">
        <v>4583</v>
      </c>
      <c r="J2117" s="23" t="s">
        <v>5167</v>
      </c>
      <c r="K2117" s="2" t="s">
        <v>51</v>
      </c>
      <c r="L2117" s="1">
        <v>735.4</v>
      </c>
      <c r="M2117" s="1">
        <v>1</v>
      </c>
      <c r="N2117" s="1" t="str">
        <f t="shared" si="168"/>
        <v>Published</v>
      </c>
      <c r="O2117" s="1">
        <f t="shared" si="166"/>
        <v>7.3540000000000001</v>
      </c>
      <c r="P2117" s="1">
        <v>42</v>
      </c>
      <c r="Q2117" s="1">
        <v>1186</v>
      </c>
      <c r="R2117" s="1" t="str">
        <f t="shared" si="169"/>
        <v>4</v>
      </c>
      <c r="S2117" s="1">
        <v>10</v>
      </c>
      <c r="T2117" s="1" t="str">
        <f t="shared" si="167"/>
        <v>4</v>
      </c>
      <c r="U2117" s="1">
        <v>-34.418889</v>
      </c>
      <c r="V2117" s="3">
        <v>150.89561</v>
      </c>
    </row>
    <row r="2118" spans="1:22" x14ac:dyDescent="0.35">
      <c r="A2118" s="22" t="s">
        <v>5862</v>
      </c>
      <c r="B2118" s="1" t="s">
        <v>5863</v>
      </c>
      <c r="C2118" s="1" t="s">
        <v>5864</v>
      </c>
      <c r="D2118" s="1" t="s">
        <v>211</v>
      </c>
      <c r="E2118" s="1" t="s">
        <v>102</v>
      </c>
      <c r="F2118" s="1" t="s">
        <v>57</v>
      </c>
      <c r="G2118" s="1">
        <f t="shared" si="165"/>
        <v>2</v>
      </c>
      <c r="H2118" s="1" t="s">
        <v>58</v>
      </c>
      <c r="I2118" s="1" t="s">
        <v>4583</v>
      </c>
      <c r="J2118" s="23" t="s">
        <v>50</v>
      </c>
      <c r="K2118" s="2" t="s">
        <v>51</v>
      </c>
      <c r="L2118" s="1">
        <v>468</v>
      </c>
      <c r="M2118" s="1">
        <v>59</v>
      </c>
      <c r="N2118" s="1" t="str">
        <f t="shared" si="168"/>
        <v>Published</v>
      </c>
      <c r="O2118" s="1">
        <f t="shared" si="166"/>
        <v>276.12</v>
      </c>
      <c r="P2118" s="1">
        <v>5</v>
      </c>
      <c r="Q2118" s="1">
        <v>804</v>
      </c>
      <c r="R2118" s="1" t="str">
        <f t="shared" si="169"/>
        <v>1</v>
      </c>
      <c r="S2118" s="1">
        <v>165</v>
      </c>
      <c r="T2118" s="1" t="str">
        <f t="shared" si="167"/>
        <v>3</v>
      </c>
      <c r="U2118" s="1">
        <v>-32.251618999999998</v>
      </c>
      <c r="V2118" s="3">
        <v>148.582683</v>
      </c>
    </row>
    <row r="2119" spans="1:22" x14ac:dyDescent="0.35">
      <c r="A2119" s="22" t="s">
        <v>5865</v>
      </c>
      <c r="B2119" s="1" t="s">
        <v>5866</v>
      </c>
      <c r="C2119" s="1" t="s">
        <v>1782</v>
      </c>
      <c r="D2119" s="1" t="s">
        <v>186</v>
      </c>
      <c r="E2119" s="1" t="s">
        <v>187</v>
      </c>
      <c r="F2119" s="1" t="s">
        <v>47</v>
      </c>
      <c r="G2119" s="1">
        <f t="shared" si="165"/>
        <v>1</v>
      </c>
      <c r="H2119" s="1" t="s">
        <v>63</v>
      </c>
      <c r="I2119" s="1" t="s">
        <v>4583</v>
      </c>
      <c r="J2119" s="23" t="s">
        <v>50</v>
      </c>
      <c r="K2119" s="2" t="s">
        <v>51</v>
      </c>
      <c r="L2119" s="1">
        <v>727.6</v>
      </c>
      <c r="M2119" s="1">
        <v>9</v>
      </c>
      <c r="N2119" s="1" t="str">
        <f t="shared" si="168"/>
        <v>Published</v>
      </c>
      <c r="O2119" s="1">
        <f t="shared" si="166"/>
        <v>65.483999999999995</v>
      </c>
      <c r="P2119" s="1">
        <v>11</v>
      </c>
      <c r="Q2119" s="1">
        <v>1014</v>
      </c>
      <c r="R2119" s="1" t="str">
        <f t="shared" si="169"/>
        <v>3</v>
      </c>
      <c r="S2119" s="1">
        <v>87</v>
      </c>
      <c r="T2119" s="1" t="str">
        <f t="shared" si="167"/>
        <v>4</v>
      </c>
      <c r="U2119" s="1">
        <v>-33.385326999999997</v>
      </c>
      <c r="V2119" s="3">
        <v>151.37035399999999</v>
      </c>
    </row>
    <row r="2120" spans="1:22" x14ac:dyDescent="0.35">
      <c r="A2120" s="22" t="s">
        <v>5867</v>
      </c>
      <c r="B2120" s="1" t="s">
        <v>5868</v>
      </c>
      <c r="C2120" s="1" t="s">
        <v>5869</v>
      </c>
      <c r="D2120" s="1" t="s">
        <v>876</v>
      </c>
      <c r="E2120" s="1" t="s">
        <v>330</v>
      </c>
      <c r="F2120" s="1" t="s">
        <v>47</v>
      </c>
      <c r="G2120" s="1">
        <f t="shared" si="165"/>
        <v>1</v>
      </c>
      <c r="H2120" s="1" t="s">
        <v>48</v>
      </c>
      <c r="I2120" s="1" t="s">
        <v>4583</v>
      </c>
      <c r="J2120" s="23" t="s">
        <v>50</v>
      </c>
      <c r="K2120" s="2" t="s">
        <v>51</v>
      </c>
      <c r="L2120" s="1">
        <v>793.8</v>
      </c>
      <c r="M2120" s="1">
        <v>6</v>
      </c>
      <c r="N2120" s="1" t="str">
        <f t="shared" si="168"/>
        <v>Published</v>
      </c>
      <c r="O2120" s="1">
        <f t="shared" si="166"/>
        <v>47.627999999999993</v>
      </c>
      <c r="P2120" s="1">
        <v>43</v>
      </c>
      <c r="Q2120" s="1">
        <v>1037</v>
      </c>
      <c r="R2120" s="1" t="str">
        <f t="shared" si="169"/>
        <v>3</v>
      </c>
      <c r="S2120" s="1">
        <v>72</v>
      </c>
      <c r="T2120" s="1" t="str">
        <f t="shared" si="167"/>
        <v>4</v>
      </c>
      <c r="U2120" s="1">
        <v>-33.944153999999997</v>
      </c>
      <c r="V2120" s="3">
        <v>151.234397</v>
      </c>
    </row>
    <row r="2121" spans="1:22" x14ac:dyDescent="0.35">
      <c r="A2121" s="22" t="s">
        <v>5870</v>
      </c>
      <c r="B2121" s="1" t="s">
        <v>5871</v>
      </c>
      <c r="C2121" s="1" t="s">
        <v>1398</v>
      </c>
      <c r="D2121" s="1" t="s">
        <v>1399</v>
      </c>
      <c r="E2121" s="1" t="s">
        <v>261</v>
      </c>
      <c r="F2121" s="1" t="s">
        <v>69</v>
      </c>
      <c r="G2121" s="1">
        <f t="shared" si="165"/>
        <v>3</v>
      </c>
      <c r="H2121" s="1" t="s">
        <v>58</v>
      </c>
      <c r="I2121" s="1" t="s">
        <v>4583</v>
      </c>
      <c r="J2121" s="23" t="s">
        <v>50</v>
      </c>
      <c r="K2121" s="2" t="s">
        <v>51</v>
      </c>
      <c r="L2121" s="1">
        <v>213</v>
      </c>
      <c r="M2121" s="1">
        <v>28</v>
      </c>
      <c r="N2121" s="1" t="str">
        <f t="shared" si="168"/>
        <v>Published</v>
      </c>
      <c r="O2121" s="1">
        <f t="shared" si="166"/>
        <v>59.640000000000008</v>
      </c>
      <c r="P2121" s="1"/>
      <c r="Q2121" s="1">
        <v>868</v>
      </c>
      <c r="R2121" s="1" t="str">
        <f t="shared" si="169"/>
        <v>1</v>
      </c>
      <c r="S2121" s="1">
        <v>144</v>
      </c>
      <c r="T2121" s="1" t="str">
        <f t="shared" si="167"/>
        <v>2</v>
      </c>
      <c r="U2121" s="1">
        <v>-32.360171999999999</v>
      </c>
      <c r="V2121" s="3">
        <v>149.54000199999999</v>
      </c>
    </row>
    <row r="2122" spans="1:22" x14ac:dyDescent="0.35">
      <c r="A2122" s="22" t="s">
        <v>5872</v>
      </c>
      <c r="B2122" s="1" t="s">
        <v>5873</v>
      </c>
      <c r="C2122" s="1" t="s">
        <v>5874</v>
      </c>
      <c r="D2122" s="1" t="s">
        <v>186</v>
      </c>
      <c r="E2122" s="1" t="s">
        <v>187</v>
      </c>
      <c r="F2122" s="1" t="s">
        <v>47</v>
      </c>
      <c r="G2122" s="1">
        <f t="shared" si="165"/>
        <v>1</v>
      </c>
      <c r="H2122" s="1" t="s">
        <v>63</v>
      </c>
      <c r="I2122" s="1" t="s">
        <v>4583</v>
      </c>
      <c r="J2122" s="23" t="s">
        <v>50</v>
      </c>
      <c r="K2122" s="2" t="s">
        <v>51</v>
      </c>
      <c r="L2122" s="1">
        <v>789</v>
      </c>
      <c r="M2122" s="1">
        <v>21</v>
      </c>
      <c r="N2122" s="1" t="str">
        <f t="shared" si="168"/>
        <v>Published</v>
      </c>
      <c r="O2122" s="1">
        <f t="shared" si="166"/>
        <v>165.69</v>
      </c>
      <c r="P2122" s="1">
        <v>6</v>
      </c>
      <c r="Q2122" s="1">
        <v>917</v>
      </c>
      <c r="R2122" s="1" t="str">
        <f t="shared" si="169"/>
        <v>2</v>
      </c>
      <c r="S2122" s="1">
        <v>140</v>
      </c>
      <c r="T2122" s="1" t="str">
        <f t="shared" si="167"/>
        <v>4</v>
      </c>
      <c r="U2122" s="1">
        <v>-33.216762000000003</v>
      </c>
      <c r="V2122" s="3">
        <v>151.513395</v>
      </c>
    </row>
    <row r="2123" spans="1:22" x14ac:dyDescent="0.35">
      <c r="A2123" s="22" t="s">
        <v>5875</v>
      </c>
      <c r="B2123" s="1" t="s">
        <v>5876</v>
      </c>
      <c r="C2123" s="1" t="s">
        <v>2992</v>
      </c>
      <c r="D2123" s="1" t="s">
        <v>465</v>
      </c>
      <c r="E2123" s="1" t="s">
        <v>281</v>
      </c>
      <c r="F2123" s="1" t="s">
        <v>57</v>
      </c>
      <c r="G2123" s="1">
        <f t="shared" si="165"/>
        <v>2</v>
      </c>
      <c r="H2123" s="1" t="s">
        <v>92</v>
      </c>
      <c r="I2123" s="1" t="s">
        <v>4583</v>
      </c>
      <c r="J2123" s="23" t="s">
        <v>50</v>
      </c>
      <c r="K2123" s="2" t="s">
        <v>51</v>
      </c>
      <c r="L2123" s="1">
        <v>866.8</v>
      </c>
      <c r="M2123" s="1">
        <v>15</v>
      </c>
      <c r="N2123" s="1" t="str">
        <f t="shared" si="168"/>
        <v>Published</v>
      </c>
      <c r="O2123" s="1">
        <f t="shared" si="166"/>
        <v>130.01999999999998</v>
      </c>
      <c r="P2123" s="1">
        <v>16</v>
      </c>
      <c r="Q2123" s="1">
        <v>969</v>
      </c>
      <c r="R2123" s="1" t="str">
        <f t="shared" si="169"/>
        <v>2</v>
      </c>
      <c r="S2123" s="1">
        <v>100</v>
      </c>
      <c r="T2123" s="1" t="str">
        <f t="shared" si="167"/>
        <v>4</v>
      </c>
      <c r="U2123" s="1">
        <v>-30.100448</v>
      </c>
      <c r="V2123" s="3">
        <v>153.190225</v>
      </c>
    </row>
    <row r="2124" spans="1:22" x14ac:dyDescent="0.35">
      <c r="A2124" s="22" t="s">
        <v>5877</v>
      </c>
      <c r="B2124" s="1" t="s">
        <v>5878</v>
      </c>
      <c r="C2124" s="1" t="s">
        <v>537</v>
      </c>
      <c r="D2124" s="1" t="s">
        <v>537</v>
      </c>
      <c r="E2124" s="1" t="s">
        <v>181</v>
      </c>
      <c r="F2124" s="1" t="s">
        <v>47</v>
      </c>
      <c r="G2124" s="1">
        <f t="shared" si="165"/>
        <v>1</v>
      </c>
      <c r="H2124" s="1" t="s">
        <v>182</v>
      </c>
      <c r="I2124" s="1" t="s">
        <v>4583</v>
      </c>
      <c r="J2124" s="23" t="s">
        <v>50</v>
      </c>
      <c r="K2124" s="2" t="s">
        <v>51</v>
      </c>
      <c r="L2124" s="1">
        <v>1123</v>
      </c>
      <c r="M2124" s="1">
        <v>1</v>
      </c>
      <c r="N2124" s="1" t="str">
        <f t="shared" si="168"/>
        <v>Published</v>
      </c>
      <c r="O2124" s="1">
        <f t="shared" si="166"/>
        <v>11.23</v>
      </c>
      <c r="P2124" s="1">
        <v>94</v>
      </c>
      <c r="Q2124" s="1">
        <v>878</v>
      </c>
      <c r="R2124" s="1" t="str">
        <f t="shared" si="169"/>
        <v>1</v>
      </c>
      <c r="S2124" s="1">
        <v>200</v>
      </c>
      <c r="T2124" s="1" t="str">
        <f t="shared" si="167"/>
        <v>5</v>
      </c>
      <c r="U2124" s="1">
        <v>-33.865214000000002</v>
      </c>
      <c r="V2124" s="3">
        <v>150.95864700000001</v>
      </c>
    </row>
    <row r="2125" spans="1:22" x14ac:dyDescent="0.35">
      <c r="A2125" s="22" t="s">
        <v>5879</v>
      </c>
      <c r="B2125" s="1" t="s">
        <v>5880</v>
      </c>
      <c r="C2125" s="1" t="s">
        <v>4182</v>
      </c>
      <c r="D2125" s="1" t="s">
        <v>689</v>
      </c>
      <c r="E2125" s="1" t="s">
        <v>122</v>
      </c>
      <c r="F2125" s="1" t="s">
        <v>47</v>
      </c>
      <c r="G2125" s="1">
        <f t="shared" si="165"/>
        <v>1</v>
      </c>
      <c r="H2125" s="1" t="s">
        <v>182</v>
      </c>
      <c r="I2125" s="1" t="s">
        <v>4583</v>
      </c>
      <c r="J2125" s="23" t="s">
        <v>50</v>
      </c>
      <c r="K2125" s="2" t="s">
        <v>51</v>
      </c>
      <c r="L2125" s="1">
        <v>652</v>
      </c>
      <c r="M2125" s="1">
        <v>8</v>
      </c>
      <c r="N2125" s="1" t="str">
        <f t="shared" si="168"/>
        <v>Published</v>
      </c>
      <c r="O2125" s="1">
        <f t="shared" si="166"/>
        <v>52.160000000000004</v>
      </c>
      <c r="P2125" s="1">
        <v>67</v>
      </c>
      <c r="Q2125" s="1">
        <v>967</v>
      </c>
      <c r="R2125" s="1" t="str">
        <f t="shared" si="169"/>
        <v>2</v>
      </c>
      <c r="S2125" s="1">
        <v>120</v>
      </c>
      <c r="T2125" s="1" t="str">
        <f t="shared" si="167"/>
        <v>4</v>
      </c>
      <c r="U2125" s="1">
        <v>-34.026781999999997</v>
      </c>
      <c r="V2125" s="3">
        <v>150.85087999999999</v>
      </c>
    </row>
    <row r="2126" spans="1:22" x14ac:dyDescent="0.35">
      <c r="A2126" s="22" t="s">
        <v>5881</v>
      </c>
      <c r="B2126" s="1" t="s">
        <v>5882</v>
      </c>
      <c r="C2126" s="1" t="s">
        <v>3951</v>
      </c>
      <c r="D2126" s="1" t="s">
        <v>761</v>
      </c>
      <c r="E2126" s="1" t="s">
        <v>127</v>
      </c>
      <c r="F2126" s="1" t="s">
        <v>47</v>
      </c>
      <c r="G2126" s="1">
        <f t="shared" si="165"/>
        <v>1</v>
      </c>
      <c r="H2126" s="1" t="s">
        <v>148</v>
      </c>
      <c r="I2126" s="1" t="s">
        <v>4583</v>
      </c>
      <c r="J2126" s="23" t="s">
        <v>50</v>
      </c>
      <c r="K2126" s="2" t="s">
        <v>51</v>
      </c>
      <c r="L2126" s="1">
        <v>1020.9</v>
      </c>
      <c r="M2126" s="1">
        <v>1</v>
      </c>
      <c r="N2126" s="1" t="str">
        <f t="shared" si="168"/>
        <v>Published</v>
      </c>
      <c r="O2126" s="1">
        <f t="shared" si="166"/>
        <v>10.209</v>
      </c>
      <c r="P2126" s="1">
        <v>61</v>
      </c>
      <c r="Q2126" s="1">
        <v>1103</v>
      </c>
      <c r="R2126" s="1" t="str">
        <f t="shared" si="169"/>
        <v>4</v>
      </c>
      <c r="S2126" s="1">
        <v>34</v>
      </c>
      <c r="T2126" s="1" t="str">
        <f t="shared" si="167"/>
        <v>5</v>
      </c>
      <c r="U2126" s="1">
        <v>-33.743606999999997</v>
      </c>
      <c r="V2126" s="3">
        <v>150.975672</v>
      </c>
    </row>
    <row r="2127" spans="1:22" x14ac:dyDescent="0.35">
      <c r="A2127" s="22" t="s">
        <v>5883</v>
      </c>
      <c r="B2127" s="1" t="s">
        <v>5884</v>
      </c>
      <c r="C2127" s="1" t="s">
        <v>3531</v>
      </c>
      <c r="D2127" s="1" t="s">
        <v>689</v>
      </c>
      <c r="E2127" s="1" t="s">
        <v>122</v>
      </c>
      <c r="F2127" s="1" t="s">
        <v>47</v>
      </c>
      <c r="G2127" s="1">
        <f t="shared" si="165"/>
        <v>1</v>
      </c>
      <c r="H2127" s="1" t="s">
        <v>182</v>
      </c>
      <c r="I2127" s="1" t="s">
        <v>4583</v>
      </c>
      <c r="J2127" s="23" t="s">
        <v>5177</v>
      </c>
      <c r="K2127" s="2" t="s">
        <v>51</v>
      </c>
      <c r="L2127" s="1">
        <v>1089</v>
      </c>
      <c r="M2127" s="1">
        <v>1</v>
      </c>
      <c r="N2127" s="1" t="str">
        <f t="shared" si="168"/>
        <v>Published</v>
      </c>
      <c r="O2127" s="1">
        <f t="shared" si="166"/>
        <v>10.89</v>
      </c>
      <c r="P2127" s="1">
        <v>87</v>
      </c>
      <c r="Q2127" s="1">
        <v>1081</v>
      </c>
      <c r="R2127" s="1" t="str">
        <f t="shared" si="169"/>
        <v>3</v>
      </c>
      <c r="S2127" s="1">
        <v>43</v>
      </c>
      <c r="T2127" s="1" t="str">
        <f t="shared" si="167"/>
        <v>5</v>
      </c>
      <c r="U2127" s="1">
        <v>-33.996783999999998</v>
      </c>
      <c r="V2127" s="3">
        <v>150.88490100000001</v>
      </c>
    </row>
    <row r="2128" spans="1:22" x14ac:dyDescent="0.35">
      <c r="A2128" s="22" t="s">
        <v>5885</v>
      </c>
      <c r="B2128" s="1" t="s">
        <v>5886</v>
      </c>
      <c r="C2128" s="1" t="s">
        <v>2339</v>
      </c>
      <c r="D2128" s="1" t="s">
        <v>302</v>
      </c>
      <c r="E2128" s="1" t="s">
        <v>276</v>
      </c>
      <c r="F2128" s="1" t="s">
        <v>57</v>
      </c>
      <c r="G2128" s="1">
        <f t="shared" si="165"/>
        <v>2</v>
      </c>
      <c r="H2128" s="1" t="s">
        <v>58</v>
      </c>
      <c r="I2128" s="1" t="s">
        <v>4583</v>
      </c>
      <c r="J2128" s="23" t="s">
        <v>50</v>
      </c>
      <c r="K2128" s="2" t="s">
        <v>51</v>
      </c>
      <c r="L2128" s="1">
        <v>611.20000000000005</v>
      </c>
      <c r="M2128" s="1">
        <v>25</v>
      </c>
      <c r="N2128" s="1" t="str">
        <f t="shared" si="168"/>
        <v>Published</v>
      </c>
      <c r="O2128" s="1">
        <f t="shared" si="166"/>
        <v>152.80000000000001</v>
      </c>
      <c r="P2128" s="1">
        <v>6</v>
      </c>
      <c r="Q2128" s="1">
        <v>919</v>
      </c>
      <c r="R2128" s="1" t="str">
        <f t="shared" si="169"/>
        <v>2</v>
      </c>
      <c r="S2128" s="1">
        <v>125</v>
      </c>
      <c r="T2128" s="1" t="str">
        <f t="shared" si="167"/>
        <v>4</v>
      </c>
      <c r="U2128" s="1">
        <v>-31.435345000000002</v>
      </c>
      <c r="V2128" s="3">
        <v>152.895386</v>
      </c>
    </row>
    <row r="2129" spans="1:22" x14ac:dyDescent="0.35">
      <c r="A2129" s="22" t="s">
        <v>5887</v>
      </c>
      <c r="B2129" s="1" t="s">
        <v>5888</v>
      </c>
      <c r="C2129" s="1" t="s">
        <v>5889</v>
      </c>
      <c r="D2129" s="1" t="s">
        <v>502</v>
      </c>
      <c r="E2129" s="1" t="s">
        <v>330</v>
      </c>
      <c r="F2129" s="1" t="s">
        <v>47</v>
      </c>
      <c r="G2129" s="1">
        <f t="shared" si="165"/>
        <v>1</v>
      </c>
      <c r="H2129" s="1" t="s">
        <v>48</v>
      </c>
      <c r="I2129" s="1" t="s">
        <v>4583</v>
      </c>
      <c r="J2129" s="23" t="s">
        <v>5177</v>
      </c>
      <c r="K2129" s="2" t="s">
        <v>51</v>
      </c>
      <c r="L2129" s="1">
        <v>1125.0999999999999</v>
      </c>
      <c r="M2129" s="1">
        <v>1</v>
      </c>
      <c r="N2129" s="1" t="str">
        <f t="shared" si="168"/>
        <v>Published</v>
      </c>
      <c r="O2129" s="1">
        <f t="shared" si="166"/>
        <v>11.250999999999999</v>
      </c>
      <c r="P2129" s="1">
        <v>46</v>
      </c>
      <c r="Q2129" s="1">
        <v>1107</v>
      </c>
      <c r="R2129" s="1" t="str">
        <f t="shared" si="169"/>
        <v>4</v>
      </c>
      <c r="S2129" s="1">
        <v>30</v>
      </c>
      <c r="T2129" s="1" t="str">
        <f t="shared" si="167"/>
        <v>5</v>
      </c>
      <c r="U2129" s="1">
        <v>-33.878346999999998</v>
      </c>
      <c r="V2129" s="3">
        <v>151.27612099999999</v>
      </c>
    </row>
    <row r="2130" spans="1:22" x14ac:dyDescent="0.35">
      <c r="A2130" s="22" t="s">
        <v>5890</v>
      </c>
      <c r="B2130" s="1" t="s">
        <v>5891</v>
      </c>
      <c r="C2130" s="1" t="s">
        <v>5468</v>
      </c>
      <c r="D2130" s="1" t="s">
        <v>1003</v>
      </c>
      <c r="E2130" s="1" t="s">
        <v>225</v>
      </c>
      <c r="F2130" s="1" t="s">
        <v>47</v>
      </c>
      <c r="G2130" s="1">
        <f t="shared" si="165"/>
        <v>1</v>
      </c>
      <c r="H2130" s="1" t="s">
        <v>48</v>
      </c>
      <c r="I2130" s="1" t="s">
        <v>132</v>
      </c>
      <c r="J2130" s="23" t="s">
        <v>5177</v>
      </c>
      <c r="K2130" s="2" t="s">
        <v>51</v>
      </c>
      <c r="L2130" s="1">
        <v>1311.6</v>
      </c>
      <c r="M2130" s="1">
        <v>14</v>
      </c>
      <c r="N2130" s="1" t="str">
        <f t="shared" si="168"/>
        <v>Published</v>
      </c>
      <c r="O2130" s="1">
        <f t="shared" si="166"/>
        <v>183.624</v>
      </c>
      <c r="P2130" s="1">
        <v>57</v>
      </c>
      <c r="Q2130" s="1">
        <v>1052</v>
      </c>
      <c r="R2130" s="1" t="str">
        <f t="shared" si="169"/>
        <v>3</v>
      </c>
      <c r="S2130" s="1">
        <v>52</v>
      </c>
      <c r="T2130" s="1" t="str">
        <f t="shared" si="167"/>
        <v>5</v>
      </c>
      <c r="U2130" s="1">
        <v>-33.901164000000001</v>
      </c>
      <c r="V2130" s="3">
        <v>151.196518</v>
      </c>
    </row>
    <row r="2131" spans="1:22" x14ac:dyDescent="0.35">
      <c r="A2131" s="22" t="s">
        <v>5892</v>
      </c>
      <c r="B2131" s="1" t="s">
        <v>5893</v>
      </c>
      <c r="C2131" s="1" t="s">
        <v>4162</v>
      </c>
      <c r="D2131" s="1" t="s">
        <v>1131</v>
      </c>
      <c r="E2131" s="1" t="s">
        <v>429</v>
      </c>
      <c r="F2131" s="1" t="s">
        <v>47</v>
      </c>
      <c r="G2131" s="1">
        <f t="shared" si="165"/>
        <v>1</v>
      </c>
      <c r="H2131" s="1" t="s">
        <v>182</v>
      </c>
      <c r="I2131" s="1" t="s">
        <v>4583</v>
      </c>
      <c r="J2131" s="23" t="s">
        <v>50</v>
      </c>
      <c r="K2131" s="2" t="s">
        <v>51</v>
      </c>
      <c r="L2131" s="1">
        <v>833.8</v>
      </c>
      <c r="M2131" s="1">
        <v>12</v>
      </c>
      <c r="N2131" s="1" t="str">
        <f t="shared" si="168"/>
        <v>Published</v>
      </c>
      <c r="O2131" s="1">
        <f t="shared" si="166"/>
        <v>100.056</v>
      </c>
      <c r="P2131" s="1">
        <v>15</v>
      </c>
      <c r="Q2131" s="1">
        <v>964</v>
      </c>
      <c r="R2131" s="1" t="str">
        <f t="shared" si="169"/>
        <v>2</v>
      </c>
      <c r="S2131" s="1">
        <v>119</v>
      </c>
      <c r="T2131" s="1" t="str">
        <f t="shared" si="167"/>
        <v>4</v>
      </c>
      <c r="U2131" s="1">
        <v>-33.775334999999998</v>
      </c>
      <c r="V2131" s="3">
        <v>150.69811799999999</v>
      </c>
    </row>
    <row r="2132" spans="1:22" x14ac:dyDescent="0.35">
      <c r="A2132" s="22" t="s">
        <v>5894</v>
      </c>
      <c r="B2132" s="1" t="s">
        <v>5895</v>
      </c>
      <c r="C2132" s="1" t="s">
        <v>5896</v>
      </c>
      <c r="D2132" s="1" t="s">
        <v>537</v>
      </c>
      <c r="E2132" s="1" t="s">
        <v>181</v>
      </c>
      <c r="F2132" s="1" t="s">
        <v>47</v>
      </c>
      <c r="G2132" s="1">
        <f t="shared" si="165"/>
        <v>1</v>
      </c>
      <c r="H2132" s="1" t="s">
        <v>182</v>
      </c>
      <c r="I2132" s="1" t="s">
        <v>4583</v>
      </c>
      <c r="J2132" s="23" t="s">
        <v>5177</v>
      </c>
      <c r="K2132" s="2" t="s">
        <v>51</v>
      </c>
      <c r="L2132" s="1">
        <v>1283.9000000000001</v>
      </c>
      <c r="M2132" s="1">
        <v>2</v>
      </c>
      <c r="N2132" s="1" t="str">
        <f t="shared" si="168"/>
        <v>Published</v>
      </c>
      <c r="O2132" s="1">
        <f t="shared" si="166"/>
        <v>25.678000000000001</v>
      </c>
      <c r="P2132" s="1">
        <v>86</v>
      </c>
      <c r="Q2132" s="1">
        <v>978</v>
      </c>
      <c r="R2132" s="1" t="str">
        <f t="shared" si="169"/>
        <v>2</v>
      </c>
      <c r="S2132" s="1">
        <v>123</v>
      </c>
      <c r="T2132" s="1" t="str">
        <f t="shared" si="167"/>
        <v>5</v>
      </c>
      <c r="U2132" s="1">
        <v>-33.859479999999998</v>
      </c>
      <c r="V2132" s="3">
        <v>150.90170900000001</v>
      </c>
    </row>
    <row r="2133" spans="1:22" x14ac:dyDescent="0.35">
      <c r="A2133" s="22" t="s">
        <v>5897</v>
      </c>
      <c r="B2133" s="1" t="s">
        <v>5898</v>
      </c>
      <c r="C2133" s="1" t="s">
        <v>3578</v>
      </c>
      <c r="D2133" s="1" t="s">
        <v>382</v>
      </c>
      <c r="E2133" s="1" t="s">
        <v>196</v>
      </c>
      <c r="F2133" s="1" t="s">
        <v>57</v>
      </c>
      <c r="G2133" s="1">
        <f t="shared" si="165"/>
        <v>2</v>
      </c>
      <c r="H2133" s="1" t="s">
        <v>86</v>
      </c>
      <c r="I2133" s="1" t="s">
        <v>4583</v>
      </c>
      <c r="J2133" s="23" t="s">
        <v>50</v>
      </c>
      <c r="K2133" s="2" t="s">
        <v>51</v>
      </c>
      <c r="L2133" s="1">
        <v>609.4</v>
      </c>
      <c r="M2133" s="1">
        <v>36</v>
      </c>
      <c r="N2133" s="1" t="str">
        <f t="shared" si="168"/>
        <v>Published</v>
      </c>
      <c r="O2133" s="1">
        <f t="shared" si="166"/>
        <v>219.38399999999999</v>
      </c>
      <c r="P2133" s="1">
        <v>4</v>
      </c>
      <c r="Q2133" s="1">
        <v>862</v>
      </c>
      <c r="R2133" s="1" t="str">
        <f t="shared" si="169"/>
        <v>1</v>
      </c>
      <c r="S2133" s="1">
        <v>159</v>
      </c>
      <c r="T2133" s="1" t="str">
        <f t="shared" si="167"/>
        <v>4</v>
      </c>
      <c r="U2133" s="1">
        <v>-34.897295999999997</v>
      </c>
      <c r="V2133" s="3">
        <v>150.610096</v>
      </c>
    </row>
    <row r="2134" spans="1:22" x14ac:dyDescent="0.35">
      <c r="A2134" s="22" t="s">
        <v>5899</v>
      </c>
      <c r="B2134" s="1" t="s">
        <v>5900</v>
      </c>
      <c r="C2134" s="1" t="s">
        <v>5901</v>
      </c>
      <c r="D2134" s="1" t="s">
        <v>111</v>
      </c>
      <c r="E2134" s="1" t="s">
        <v>56</v>
      </c>
      <c r="F2134" s="1" t="s">
        <v>47</v>
      </c>
      <c r="G2134" s="1">
        <f t="shared" si="165"/>
        <v>1</v>
      </c>
      <c r="H2134" s="1" t="s">
        <v>63</v>
      </c>
      <c r="I2134" s="1" t="s">
        <v>4583</v>
      </c>
      <c r="J2134" s="23" t="s">
        <v>50</v>
      </c>
      <c r="K2134" s="2" t="s">
        <v>51</v>
      </c>
      <c r="L2134" s="1">
        <v>809.8</v>
      </c>
      <c r="M2134" s="1">
        <v>24</v>
      </c>
      <c r="N2134" s="1" t="str">
        <f t="shared" si="168"/>
        <v>Published</v>
      </c>
      <c r="O2134" s="1">
        <f t="shared" si="166"/>
        <v>194.35199999999998</v>
      </c>
      <c r="P2134" s="1">
        <v>5</v>
      </c>
      <c r="Q2134" s="1">
        <v>916</v>
      </c>
      <c r="R2134" s="1" t="str">
        <f t="shared" si="169"/>
        <v>2</v>
      </c>
      <c r="S2134" s="1">
        <v>134</v>
      </c>
      <c r="T2134" s="1" t="str">
        <f t="shared" si="167"/>
        <v>4</v>
      </c>
      <c r="U2134" s="1">
        <v>-32.761513000000001</v>
      </c>
      <c r="V2134" s="3">
        <v>151.76686100000001</v>
      </c>
    </row>
    <row r="2135" spans="1:22" x14ac:dyDescent="0.35">
      <c r="A2135" s="22" t="s">
        <v>5902</v>
      </c>
      <c r="B2135" s="1" t="s">
        <v>5903</v>
      </c>
      <c r="C2135" s="1" t="s">
        <v>364</v>
      </c>
      <c r="D2135" s="1" t="s">
        <v>186</v>
      </c>
      <c r="E2135" s="1" t="s">
        <v>187</v>
      </c>
      <c r="F2135" s="1" t="s">
        <v>47</v>
      </c>
      <c r="G2135" s="1">
        <f t="shared" si="165"/>
        <v>1</v>
      </c>
      <c r="H2135" s="1" t="s">
        <v>63</v>
      </c>
      <c r="I2135" s="1" t="s">
        <v>4583</v>
      </c>
      <c r="J2135" s="23" t="s">
        <v>50</v>
      </c>
      <c r="K2135" s="2" t="s">
        <v>51</v>
      </c>
      <c r="L2135" s="1">
        <v>851</v>
      </c>
      <c r="M2135" s="1">
        <v>18</v>
      </c>
      <c r="N2135" s="1" t="str">
        <f t="shared" si="168"/>
        <v>Published</v>
      </c>
      <c r="O2135" s="1">
        <f t="shared" si="166"/>
        <v>153.18</v>
      </c>
      <c r="P2135" s="1">
        <v>7</v>
      </c>
      <c r="Q2135" s="1">
        <v>959</v>
      </c>
      <c r="R2135" s="1" t="str">
        <f t="shared" si="169"/>
        <v>2</v>
      </c>
      <c r="S2135" s="1">
        <v>110</v>
      </c>
      <c r="T2135" s="1" t="str">
        <f t="shared" si="167"/>
        <v>4</v>
      </c>
      <c r="U2135" s="1">
        <v>-33.341698000000001</v>
      </c>
      <c r="V2135" s="3">
        <v>151.42475099999999</v>
      </c>
    </row>
    <row r="2136" spans="1:22" x14ac:dyDescent="0.35">
      <c r="A2136" s="22" t="s">
        <v>5904</v>
      </c>
      <c r="B2136" s="1" t="s">
        <v>5905</v>
      </c>
      <c r="C2136" s="1" t="s">
        <v>5906</v>
      </c>
      <c r="D2136" s="1" t="s">
        <v>180</v>
      </c>
      <c r="E2136" s="1" t="s">
        <v>181</v>
      </c>
      <c r="F2136" s="1" t="s">
        <v>47</v>
      </c>
      <c r="G2136" s="1">
        <f t="shared" si="165"/>
        <v>1</v>
      </c>
      <c r="H2136" s="1" t="s">
        <v>182</v>
      </c>
      <c r="I2136" s="1" t="s">
        <v>4583</v>
      </c>
      <c r="J2136" s="23" t="s">
        <v>50</v>
      </c>
      <c r="K2136" s="2" t="s">
        <v>51</v>
      </c>
      <c r="L2136" s="1">
        <v>693</v>
      </c>
      <c r="M2136" s="1">
        <v>6</v>
      </c>
      <c r="N2136" s="1" t="str">
        <f t="shared" si="168"/>
        <v>Published</v>
      </c>
      <c r="O2136" s="1">
        <f t="shared" si="166"/>
        <v>41.58</v>
      </c>
      <c r="P2136" s="1">
        <v>39</v>
      </c>
      <c r="Q2136" s="1">
        <v>1000</v>
      </c>
      <c r="R2136" s="1" t="str">
        <f t="shared" si="169"/>
        <v>3</v>
      </c>
      <c r="S2136" s="1">
        <v>98</v>
      </c>
      <c r="T2136" s="1" t="str">
        <f t="shared" si="167"/>
        <v>4</v>
      </c>
      <c r="U2136" s="1">
        <v>-33.955528000000001</v>
      </c>
      <c r="V2136" s="3">
        <v>150.95231999999999</v>
      </c>
    </row>
    <row r="2137" spans="1:22" x14ac:dyDescent="0.35">
      <c r="A2137" s="22" t="s">
        <v>5907</v>
      </c>
      <c r="B2137" s="1" t="s">
        <v>5908</v>
      </c>
      <c r="C2137" s="1" t="s">
        <v>5909</v>
      </c>
      <c r="D2137" s="1" t="s">
        <v>404</v>
      </c>
      <c r="E2137" s="1" t="s">
        <v>127</v>
      </c>
      <c r="F2137" s="1" t="s">
        <v>47</v>
      </c>
      <c r="G2137" s="1">
        <f t="shared" si="165"/>
        <v>1</v>
      </c>
      <c r="H2137" s="1" t="s">
        <v>63</v>
      </c>
      <c r="I2137" s="1" t="s">
        <v>4583</v>
      </c>
      <c r="J2137" s="23" t="s">
        <v>50</v>
      </c>
      <c r="K2137" s="2" t="s">
        <v>51</v>
      </c>
      <c r="L2137" s="1">
        <v>417.3</v>
      </c>
      <c r="M2137" s="1">
        <v>12</v>
      </c>
      <c r="N2137" s="1" t="str">
        <f t="shared" si="168"/>
        <v>Published</v>
      </c>
      <c r="O2137" s="1">
        <f t="shared" si="166"/>
        <v>50.076000000000001</v>
      </c>
      <c r="P2137" s="1">
        <v>5</v>
      </c>
      <c r="Q2137" s="1">
        <v>946</v>
      </c>
      <c r="R2137" s="1" t="str">
        <f t="shared" si="169"/>
        <v>2</v>
      </c>
      <c r="S2137" s="1">
        <v>116</v>
      </c>
      <c r="T2137" s="1" t="str">
        <f t="shared" si="167"/>
        <v>3</v>
      </c>
      <c r="U2137" s="1">
        <v>-33.559541000000003</v>
      </c>
      <c r="V2137" s="3">
        <v>150.79803899999999</v>
      </c>
    </row>
    <row r="2138" spans="1:22" x14ac:dyDescent="0.35">
      <c r="A2138" s="22" t="s">
        <v>5910</v>
      </c>
      <c r="B2138" s="1" t="s">
        <v>5911</v>
      </c>
      <c r="C2138" s="1" t="s">
        <v>325</v>
      </c>
      <c r="D2138" s="1" t="s">
        <v>325</v>
      </c>
      <c r="E2138" s="1" t="s">
        <v>276</v>
      </c>
      <c r="F2138" s="1" t="s">
        <v>57</v>
      </c>
      <c r="G2138" s="1">
        <f t="shared" si="165"/>
        <v>2</v>
      </c>
      <c r="H2138" s="1" t="s">
        <v>86</v>
      </c>
      <c r="I2138" s="1" t="s">
        <v>4583</v>
      </c>
      <c r="J2138" s="23" t="s">
        <v>50</v>
      </c>
      <c r="K2138" s="2" t="s">
        <v>51</v>
      </c>
      <c r="L2138" s="1">
        <v>355</v>
      </c>
      <c r="M2138" s="1">
        <v>43</v>
      </c>
      <c r="N2138" s="1" t="str">
        <f t="shared" si="168"/>
        <v>Published</v>
      </c>
      <c r="O2138" s="1">
        <f t="shared" si="166"/>
        <v>152.65</v>
      </c>
      <c r="P2138" s="1">
        <v>5</v>
      </c>
      <c r="Q2138" s="1">
        <v>849</v>
      </c>
      <c r="R2138" s="1" t="str">
        <f t="shared" si="169"/>
        <v>1</v>
      </c>
      <c r="S2138" s="1">
        <v>147</v>
      </c>
      <c r="T2138" s="1" t="str">
        <f t="shared" si="167"/>
        <v>3</v>
      </c>
      <c r="U2138" s="1">
        <v>-31.090019999999999</v>
      </c>
      <c r="V2138" s="3">
        <v>152.82510400000001</v>
      </c>
    </row>
    <row r="2139" spans="1:22" x14ac:dyDescent="0.35">
      <c r="A2139" s="22" t="s">
        <v>5912</v>
      </c>
      <c r="B2139" s="1" t="s">
        <v>5913</v>
      </c>
      <c r="C2139" s="1" t="s">
        <v>3317</v>
      </c>
      <c r="D2139" s="1" t="s">
        <v>203</v>
      </c>
      <c r="E2139" s="1" t="s">
        <v>204</v>
      </c>
      <c r="F2139" s="1" t="s">
        <v>47</v>
      </c>
      <c r="G2139" s="1">
        <f t="shared" si="165"/>
        <v>1</v>
      </c>
      <c r="H2139" s="1" t="s">
        <v>148</v>
      </c>
      <c r="I2139" s="1" t="s">
        <v>4583</v>
      </c>
      <c r="J2139" s="23" t="s">
        <v>5167</v>
      </c>
      <c r="K2139" s="2" t="s">
        <v>51</v>
      </c>
      <c r="L2139" s="1">
        <v>764.9</v>
      </c>
      <c r="M2139" s="1"/>
      <c r="N2139" s="1" t="str">
        <f t="shared" si="168"/>
        <v>Suppressed</v>
      </c>
      <c r="O2139" s="1" t="str">
        <f t="shared" si="166"/>
        <v/>
      </c>
      <c r="P2139" s="1">
        <v>60</v>
      </c>
      <c r="Q2139" s="1">
        <v>1217</v>
      </c>
      <c r="R2139" s="1" t="str">
        <f t="shared" si="169"/>
        <v>4</v>
      </c>
      <c r="S2139" s="1">
        <v>0</v>
      </c>
      <c r="T2139" s="1" t="str">
        <f t="shared" si="167"/>
        <v>4</v>
      </c>
      <c r="U2139" s="1">
        <v>-33.762388000000001</v>
      </c>
      <c r="V2139" s="3">
        <v>151.28135499999999</v>
      </c>
    </row>
    <row r="2140" spans="1:22" x14ac:dyDescent="0.35">
      <c r="A2140" s="22" t="s">
        <v>5914</v>
      </c>
      <c r="B2140" s="1" t="s">
        <v>5915</v>
      </c>
      <c r="C2140" s="1" t="s">
        <v>5916</v>
      </c>
      <c r="D2140" s="1" t="s">
        <v>203</v>
      </c>
      <c r="E2140" s="1" t="s">
        <v>204</v>
      </c>
      <c r="F2140" s="1" t="s">
        <v>47</v>
      </c>
      <c r="G2140" s="1">
        <f t="shared" si="165"/>
        <v>1</v>
      </c>
      <c r="H2140" s="1" t="s">
        <v>148</v>
      </c>
      <c r="I2140" s="1" t="s">
        <v>4583</v>
      </c>
      <c r="J2140" s="23" t="s">
        <v>50</v>
      </c>
      <c r="K2140" s="2" t="s">
        <v>51</v>
      </c>
      <c r="L2140" s="1">
        <v>646.29999999999995</v>
      </c>
      <c r="M2140" s="1"/>
      <c r="N2140" s="1" t="str">
        <f t="shared" si="168"/>
        <v>Suppressed</v>
      </c>
      <c r="O2140" s="1" t="str">
        <f t="shared" si="166"/>
        <v/>
      </c>
      <c r="P2140" s="1">
        <v>18</v>
      </c>
      <c r="Q2140" s="1">
        <v>1098</v>
      </c>
      <c r="R2140" s="1" t="str">
        <f t="shared" si="169"/>
        <v>3</v>
      </c>
      <c r="S2140" s="1">
        <v>33</v>
      </c>
      <c r="T2140" s="1" t="str">
        <f t="shared" si="167"/>
        <v>4</v>
      </c>
      <c r="U2140" s="1">
        <v>-33.767510000000001</v>
      </c>
      <c r="V2140" s="3">
        <v>151.27997500000001</v>
      </c>
    </row>
    <row r="2141" spans="1:22" x14ac:dyDescent="0.35">
      <c r="A2141" s="22" t="s">
        <v>5917</v>
      </c>
      <c r="B2141" s="1" t="s">
        <v>5918</v>
      </c>
      <c r="C2141" s="1" t="s">
        <v>5919</v>
      </c>
      <c r="D2141" s="1" t="s">
        <v>689</v>
      </c>
      <c r="E2141" s="1" t="s">
        <v>122</v>
      </c>
      <c r="F2141" s="1" t="s">
        <v>47</v>
      </c>
      <c r="G2141" s="1">
        <f t="shared" si="165"/>
        <v>1</v>
      </c>
      <c r="H2141" s="1" t="s">
        <v>86</v>
      </c>
      <c r="I2141" s="1" t="s">
        <v>4583</v>
      </c>
      <c r="J2141" s="23" t="s">
        <v>50</v>
      </c>
      <c r="K2141" s="2" t="s">
        <v>51</v>
      </c>
      <c r="L2141" s="1">
        <v>662</v>
      </c>
      <c r="M2141" s="1">
        <v>10</v>
      </c>
      <c r="N2141" s="1" t="str">
        <f t="shared" si="168"/>
        <v>Published</v>
      </c>
      <c r="O2141" s="1">
        <f t="shared" si="166"/>
        <v>66.2</v>
      </c>
      <c r="P2141" s="1">
        <v>48</v>
      </c>
      <c r="Q2141" s="1">
        <v>932</v>
      </c>
      <c r="R2141" s="1" t="str">
        <f t="shared" si="169"/>
        <v>2</v>
      </c>
      <c r="S2141" s="1">
        <v>150</v>
      </c>
      <c r="T2141" s="1" t="str">
        <f t="shared" si="167"/>
        <v>4</v>
      </c>
      <c r="U2141" s="1">
        <v>-34.039942000000003</v>
      </c>
      <c r="V2141" s="3">
        <v>150.80354299999999</v>
      </c>
    </row>
    <row r="2142" spans="1:22" x14ac:dyDescent="0.35">
      <c r="A2142" s="22" t="s">
        <v>5920</v>
      </c>
      <c r="B2142" s="1" t="s">
        <v>5921</v>
      </c>
      <c r="C2142" s="1" t="s">
        <v>4284</v>
      </c>
      <c r="D2142" s="1" t="s">
        <v>689</v>
      </c>
      <c r="E2142" s="1" t="s">
        <v>122</v>
      </c>
      <c r="F2142" s="1" t="s">
        <v>47</v>
      </c>
      <c r="G2142" s="1">
        <f t="shared" si="165"/>
        <v>1</v>
      </c>
      <c r="H2142" s="1" t="s">
        <v>86</v>
      </c>
      <c r="I2142" s="1" t="s">
        <v>4583</v>
      </c>
      <c r="J2142" s="23" t="s">
        <v>50</v>
      </c>
      <c r="K2142" s="2" t="s">
        <v>51</v>
      </c>
      <c r="L2142" s="1">
        <v>807</v>
      </c>
      <c r="M2142" s="1">
        <v>14</v>
      </c>
      <c r="N2142" s="1" t="str">
        <f t="shared" si="168"/>
        <v>Published</v>
      </c>
      <c r="O2142" s="1">
        <f t="shared" si="166"/>
        <v>112.98</v>
      </c>
      <c r="P2142" s="1">
        <v>36</v>
      </c>
      <c r="Q2142" s="1">
        <v>925</v>
      </c>
      <c r="R2142" s="1" t="str">
        <f t="shared" si="169"/>
        <v>2</v>
      </c>
      <c r="S2142" s="1">
        <v>147</v>
      </c>
      <c r="T2142" s="1" t="str">
        <f t="shared" si="167"/>
        <v>4</v>
      </c>
      <c r="U2142" s="1">
        <v>-34.099983999999999</v>
      </c>
      <c r="V2142" s="3">
        <v>150.80193800000001</v>
      </c>
    </row>
    <row r="2143" spans="1:22" x14ac:dyDescent="0.35">
      <c r="A2143" s="22" t="s">
        <v>5922</v>
      </c>
      <c r="B2143" s="1" t="s">
        <v>5923</v>
      </c>
      <c r="C2143" s="1" t="s">
        <v>4269</v>
      </c>
      <c r="D2143" s="1" t="s">
        <v>1131</v>
      </c>
      <c r="E2143" s="1" t="s">
        <v>429</v>
      </c>
      <c r="F2143" s="1" t="s">
        <v>47</v>
      </c>
      <c r="G2143" s="1">
        <f t="shared" si="165"/>
        <v>1</v>
      </c>
      <c r="H2143" s="1" t="s">
        <v>182</v>
      </c>
      <c r="I2143" s="1" t="s">
        <v>4583</v>
      </c>
      <c r="J2143" s="23" t="s">
        <v>50</v>
      </c>
      <c r="K2143" s="2" t="s">
        <v>51</v>
      </c>
      <c r="L2143" s="1">
        <v>716.8</v>
      </c>
      <c r="M2143" s="1">
        <v>9</v>
      </c>
      <c r="N2143" s="1" t="str">
        <f t="shared" si="168"/>
        <v>Published</v>
      </c>
      <c r="O2143" s="1">
        <f t="shared" si="166"/>
        <v>64.512</v>
      </c>
      <c r="P2143" s="1">
        <v>37</v>
      </c>
      <c r="Q2143" s="1">
        <v>956</v>
      </c>
      <c r="R2143" s="1" t="str">
        <f t="shared" si="169"/>
        <v>2</v>
      </c>
      <c r="S2143" s="1">
        <v>126</v>
      </c>
      <c r="T2143" s="1" t="str">
        <f t="shared" si="167"/>
        <v>4</v>
      </c>
      <c r="U2143" s="1">
        <v>-33.794217000000003</v>
      </c>
      <c r="V2143" s="3">
        <v>150.78679399999999</v>
      </c>
    </row>
    <row r="2144" spans="1:22" x14ac:dyDescent="0.35">
      <c r="A2144" s="22" t="s">
        <v>5924</v>
      </c>
      <c r="B2144" s="1" t="s">
        <v>5925</v>
      </c>
      <c r="C2144" s="1" t="s">
        <v>5926</v>
      </c>
      <c r="D2144" s="1" t="s">
        <v>489</v>
      </c>
      <c r="E2144" s="1" t="s">
        <v>56</v>
      </c>
      <c r="F2144" s="1" t="s">
        <v>47</v>
      </c>
      <c r="G2144" s="1">
        <f t="shared" si="165"/>
        <v>1</v>
      </c>
      <c r="H2144" s="1" t="s">
        <v>58</v>
      </c>
      <c r="I2144" s="1" t="s">
        <v>4583</v>
      </c>
      <c r="J2144" s="23" t="s">
        <v>50</v>
      </c>
      <c r="K2144" s="2" t="s">
        <v>51</v>
      </c>
      <c r="L2144" s="1">
        <v>1404.6</v>
      </c>
      <c r="M2144" s="1">
        <v>21</v>
      </c>
      <c r="N2144" s="1" t="str">
        <f t="shared" si="168"/>
        <v>Published</v>
      </c>
      <c r="O2144" s="1">
        <f t="shared" si="166"/>
        <v>294.96599999999995</v>
      </c>
      <c r="P2144" s="1">
        <v>9</v>
      </c>
      <c r="Q2144" s="1">
        <v>922</v>
      </c>
      <c r="R2144" s="1" t="str">
        <f t="shared" si="169"/>
        <v>2</v>
      </c>
      <c r="S2144" s="1">
        <v>133</v>
      </c>
      <c r="T2144" s="1" t="str">
        <f t="shared" si="167"/>
        <v>5</v>
      </c>
      <c r="U2144" s="1">
        <v>-32.711235000000002</v>
      </c>
      <c r="V2144" s="3">
        <v>151.53142399999999</v>
      </c>
    </row>
    <row r="2145" spans="1:22" x14ac:dyDescent="0.35">
      <c r="A2145" s="22" t="s">
        <v>5927</v>
      </c>
      <c r="B2145" s="1" t="s">
        <v>5928</v>
      </c>
      <c r="C2145" s="1" t="s">
        <v>5929</v>
      </c>
      <c r="D2145" s="1" t="s">
        <v>428</v>
      </c>
      <c r="E2145" s="1" t="s">
        <v>429</v>
      </c>
      <c r="F2145" s="1" t="s">
        <v>47</v>
      </c>
      <c r="G2145" s="1">
        <f t="shared" si="165"/>
        <v>1</v>
      </c>
      <c r="H2145" s="1" t="s">
        <v>63</v>
      </c>
      <c r="I2145" s="1" t="s">
        <v>4583</v>
      </c>
      <c r="J2145" s="23" t="s">
        <v>50</v>
      </c>
      <c r="K2145" s="2" t="s">
        <v>51</v>
      </c>
      <c r="L2145" s="1">
        <v>698</v>
      </c>
      <c r="M2145" s="1">
        <v>6</v>
      </c>
      <c r="N2145" s="1" t="str">
        <f t="shared" si="168"/>
        <v>Published</v>
      </c>
      <c r="O2145" s="1">
        <f t="shared" si="166"/>
        <v>41.879999999999995</v>
      </c>
      <c r="P2145" s="1">
        <v>6</v>
      </c>
      <c r="Q2145" s="1">
        <v>1040</v>
      </c>
      <c r="R2145" s="1" t="str">
        <f t="shared" si="169"/>
        <v>3</v>
      </c>
      <c r="S2145" s="1">
        <v>69</v>
      </c>
      <c r="T2145" s="1" t="str">
        <f t="shared" si="167"/>
        <v>4</v>
      </c>
      <c r="U2145" s="1">
        <v>-33.676046999999997</v>
      </c>
      <c r="V2145" s="3">
        <v>150.615138</v>
      </c>
    </row>
    <row r="2146" spans="1:22" x14ac:dyDescent="0.35">
      <c r="A2146" s="22" t="s">
        <v>5930</v>
      </c>
      <c r="B2146" s="1" t="s">
        <v>5931</v>
      </c>
      <c r="C2146" s="1" t="s">
        <v>5932</v>
      </c>
      <c r="D2146" s="1" t="s">
        <v>62</v>
      </c>
      <c r="E2146" s="1" t="s">
        <v>56</v>
      </c>
      <c r="F2146" s="1" t="s">
        <v>47</v>
      </c>
      <c r="G2146" s="1">
        <f t="shared" si="165"/>
        <v>1</v>
      </c>
      <c r="H2146" s="1" t="s">
        <v>63</v>
      </c>
      <c r="I2146" s="1" t="s">
        <v>4583</v>
      </c>
      <c r="J2146" s="23" t="s">
        <v>50</v>
      </c>
      <c r="K2146" s="2" t="s">
        <v>51</v>
      </c>
      <c r="L2146" s="1">
        <v>929.4</v>
      </c>
      <c r="M2146" s="1">
        <v>24</v>
      </c>
      <c r="N2146" s="1" t="str">
        <f t="shared" si="168"/>
        <v>Published</v>
      </c>
      <c r="O2146" s="1">
        <f t="shared" si="166"/>
        <v>223.05599999999998</v>
      </c>
      <c r="P2146" s="1">
        <v>5</v>
      </c>
      <c r="Q2146" s="1">
        <v>911</v>
      </c>
      <c r="R2146" s="1" t="str">
        <f t="shared" si="169"/>
        <v>2</v>
      </c>
      <c r="S2146" s="1">
        <v>136</v>
      </c>
      <c r="T2146" s="1" t="str">
        <f t="shared" si="167"/>
        <v>4</v>
      </c>
      <c r="U2146" s="1">
        <v>-32.827955000000003</v>
      </c>
      <c r="V2146" s="3">
        <v>151.333246</v>
      </c>
    </row>
    <row r="2147" spans="1:22" x14ac:dyDescent="0.35">
      <c r="A2147" s="22" t="s">
        <v>5933</v>
      </c>
      <c r="B2147" s="1" t="s">
        <v>5934</v>
      </c>
      <c r="C2147" s="1" t="s">
        <v>4359</v>
      </c>
      <c r="D2147" s="1" t="s">
        <v>689</v>
      </c>
      <c r="E2147" s="1" t="s">
        <v>122</v>
      </c>
      <c r="F2147" s="1" t="s">
        <v>47</v>
      </c>
      <c r="G2147" s="1">
        <f t="shared" si="165"/>
        <v>1</v>
      </c>
      <c r="H2147" s="1" t="s">
        <v>182</v>
      </c>
      <c r="I2147" s="1" t="s">
        <v>4583</v>
      </c>
      <c r="J2147" s="23" t="s">
        <v>50</v>
      </c>
      <c r="K2147" s="2" t="s">
        <v>51</v>
      </c>
      <c r="L2147" s="1">
        <v>741.8</v>
      </c>
      <c r="M2147" s="1">
        <v>8</v>
      </c>
      <c r="N2147" s="1" t="str">
        <f t="shared" si="168"/>
        <v>Published</v>
      </c>
      <c r="O2147" s="1">
        <f t="shared" si="166"/>
        <v>59.343999999999994</v>
      </c>
      <c r="P2147" s="1">
        <v>63</v>
      </c>
      <c r="Q2147" s="1">
        <v>963</v>
      </c>
      <c r="R2147" s="1" t="str">
        <f t="shared" si="169"/>
        <v>2</v>
      </c>
      <c r="S2147" s="1">
        <v>121</v>
      </c>
      <c r="T2147" s="1" t="str">
        <f t="shared" si="167"/>
        <v>4</v>
      </c>
      <c r="U2147" s="1">
        <v>-34.015329999999999</v>
      </c>
      <c r="V2147" s="3">
        <v>150.817995</v>
      </c>
    </row>
    <row r="2148" spans="1:22" x14ac:dyDescent="0.35">
      <c r="A2148" s="22" t="s">
        <v>5935</v>
      </c>
      <c r="B2148" s="1" t="s">
        <v>5936</v>
      </c>
      <c r="C2148" s="1" t="s">
        <v>665</v>
      </c>
      <c r="D2148" s="1" t="s">
        <v>220</v>
      </c>
      <c r="E2148" s="1" t="s">
        <v>107</v>
      </c>
      <c r="F2148" s="1" t="s">
        <v>57</v>
      </c>
      <c r="G2148" s="1">
        <f t="shared" si="165"/>
        <v>2</v>
      </c>
      <c r="H2148" s="1" t="s">
        <v>92</v>
      </c>
      <c r="I2148" s="1" t="s">
        <v>4583</v>
      </c>
      <c r="J2148" s="23" t="s">
        <v>50</v>
      </c>
      <c r="K2148" s="2" t="s">
        <v>51</v>
      </c>
      <c r="L2148" s="1">
        <v>817.8</v>
      </c>
      <c r="M2148" s="1">
        <v>5</v>
      </c>
      <c r="N2148" s="1" t="str">
        <f t="shared" si="168"/>
        <v>Published</v>
      </c>
      <c r="O2148" s="1">
        <f t="shared" si="166"/>
        <v>40.89</v>
      </c>
      <c r="P2148" s="1">
        <v>19</v>
      </c>
      <c r="Q2148" s="1">
        <v>1050</v>
      </c>
      <c r="R2148" s="1" t="str">
        <f t="shared" si="169"/>
        <v>3</v>
      </c>
      <c r="S2148" s="1">
        <v>59</v>
      </c>
      <c r="T2148" s="1" t="str">
        <f t="shared" si="167"/>
        <v>4</v>
      </c>
      <c r="U2148" s="1">
        <v>-28.667572</v>
      </c>
      <c r="V2148" s="3">
        <v>153.61605700000001</v>
      </c>
    </row>
    <row r="2149" spans="1:22" x14ac:dyDescent="0.35">
      <c r="A2149" s="22" t="s">
        <v>5937</v>
      </c>
      <c r="B2149" s="1" t="s">
        <v>5938</v>
      </c>
      <c r="C2149" s="1" t="s">
        <v>105</v>
      </c>
      <c r="D2149" s="1" t="s">
        <v>106</v>
      </c>
      <c r="E2149" s="1" t="s">
        <v>107</v>
      </c>
      <c r="F2149" s="1" t="s">
        <v>57</v>
      </c>
      <c r="G2149" s="1">
        <f t="shared" si="165"/>
        <v>2</v>
      </c>
      <c r="H2149" s="1" t="s">
        <v>92</v>
      </c>
      <c r="I2149" s="1" t="s">
        <v>4583</v>
      </c>
      <c r="J2149" s="23" t="s">
        <v>50</v>
      </c>
      <c r="K2149" s="2" t="s">
        <v>51</v>
      </c>
      <c r="L2149" s="1">
        <v>521.20000000000005</v>
      </c>
      <c r="M2149" s="1">
        <v>8</v>
      </c>
      <c r="N2149" s="1" t="str">
        <f t="shared" si="168"/>
        <v>Published</v>
      </c>
      <c r="O2149" s="1">
        <f t="shared" si="166"/>
        <v>41.696000000000005</v>
      </c>
      <c r="P2149" s="1">
        <v>6</v>
      </c>
      <c r="Q2149" s="1">
        <v>990</v>
      </c>
      <c r="R2149" s="1" t="str">
        <f t="shared" si="169"/>
        <v>2</v>
      </c>
      <c r="S2149" s="1">
        <v>94</v>
      </c>
      <c r="T2149" s="1" t="str">
        <f t="shared" si="167"/>
        <v>3</v>
      </c>
      <c r="U2149" s="1">
        <v>-28.838812000000001</v>
      </c>
      <c r="V2149" s="3">
        <v>153.43375599999999</v>
      </c>
    </row>
    <row r="2150" spans="1:22" x14ac:dyDescent="0.35">
      <c r="A2150" s="22" t="s">
        <v>5939</v>
      </c>
      <c r="B2150" s="1" t="s">
        <v>5940</v>
      </c>
      <c r="C2150" s="1" t="s">
        <v>5941</v>
      </c>
      <c r="D2150" s="1" t="s">
        <v>236</v>
      </c>
      <c r="E2150" s="1" t="s">
        <v>107</v>
      </c>
      <c r="F2150" s="1" t="s">
        <v>47</v>
      </c>
      <c r="G2150" s="1">
        <f t="shared" si="165"/>
        <v>1</v>
      </c>
      <c r="H2150" s="1" t="s">
        <v>92</v>
      </c>
      <c r="I2150" s="1" t="s">
        <v>4583</v>
      </c>
      <c r="J2150" s="23" t="s">
        <v>50</v>
      </c>
      <c r="K2150" s="2" t="s">
        <v>51</v>
      </c>
      <c r="L2150" s="1">
        <v>902.6</v>
      </c>
      <c r="M2150" s="1">
        <v>12</v>
      </c>
      <c r="N2150" s="1" t="str">
        <f t="shared" si="168"/>
        <v>Published</v>
      </c>
      <c r="O2150" s="1">
        <f t="shared" si="166"/>
        <v>108.312</v>
      </c>
      <c r="P2150" s="1">
        <v>8</v>
      </c>
      <c r="Q2150" s="1">
        <v>991</v>
      </c>
      <c r="R2150" s="1" t="str">
        <f t="shared" si="169"/>
        <v>2</v>
      </c>
      <c r="S2150" s="1">
        <v>86</v>
      </c>
      <c r="T2150" s="1" t="str">
        <f t="shared" si="167"/>
        <v>4</v>
      </c>
      <c r="U2150" s="1">
        <v>-28.266567999999999</v>
      </c>
      <c r="V2150" s="3">
        <v>153.57047399999999</v>
      </c>
    </row>
    <row r="2151" spans="1:22" x14ac:dyDescent="0.35">
      <c r="A2151" s="22" t="s">
        <v>5942</v>
      </c>
      <c r="B2151" s="1" t="s">
        <v>5943</v>
      </c>
      <c r="C2151" s="1" t="s">
        <v>4256</v>
      </c>
      <c r="D2151" s="1" t="s">
        <v>1131</v>
      </c>
      <c r="E2151" s="1" t="s">
        <v>429</v>
      </c>
      <c r="F2151" s="1" t="s">
        <v>47</v>
      </c>
      <c r="G2151" s="1">
        <f t="shared" si="165"/>
        <v>1</v>
      </c>
      <c r="H2151" s="1" t="s">
        <v>148</v>
      </c>
      <c r="I2151" s="1" t="s">
        <v>4583</v>
      </c>
      <c r="J2151" s="23" t="s">
        <v>50</v>
      </c>
      <c r="K2151" s="2" t="s">
        <v>51</v>
      </c>
      <c r="L2151" s="1">
        <v>871</v>
      </c>
      <c r="M2151" s="1">
        <v>23</v>
      </c>
      <c r="N2151" s="1" t="str">
        <f t="shared" si="168"/>
        <v>Published</v>
      </c>
      <c r="O2151" s="1">
        <f t="shared" si="166"/>
        <v>200.33</v>
      </c>
      <c r="P2151" s="1">
        <v>18</v>
      </c>
      <c r="Q2151" s="1">
        <v>916</v>
      </c>
      <c r="R2151" s="1" t="str">
        <f t="shared" si="169"/>
        <v>2</v>
      </c>
      <c r="S2151" s="1">
        <v>139</v>
      </c>
      <c r="T2151" s="1" t="str">
        <f t="shared" si="167"/>
        <v>4</v>
      </c>
      <c r="U2151" s="1">
        <v>-33.721662000000002</v>
      </c>
      <c r="V2151" s="3">
        <v>150.709812</v>
      </c>
    </row>
    <row r="2152" spans="1:22" x14ac:dyDescent="0.35">
      <c r="A2152" s="22" t="s">
        <v>5944</v>
      </c>
      <c r="B2152" s="1" t="s">
        <v>5945</v>
      </c>
      <c r="C2152" s="1" t="s">
        <v>4341</v>
      </c>
      <c r="D2152" s="1" t="s">
        <v>288</v>
      </c>
      <c r="E2152" s="1" t="s">
        <v>68</v>
      </c>
      <c r="F2152" s="1" t="s">
        <v>57</v>
      </c>
      <c r="G2152" s="1">
        <f t="shared" si="165"/>
        <v>2</v>
      </c>
      <c r="H2152" s="1" t="s">
        <v>86</v>
      </c>
      <c r="I2152" s="1" t="s">
        <v>4583</v>
      </c>
      <c r="J2152" s="23" t="s">
        <v>50</v>
      </c>
      <c r="K2152" s="2" t="s">
        <v>51</v>
      </c>
      <c r="L2152" s="1">
        <v>534</v>
      </c>
      <c r="M2152" s="1">
        <v>29</v>
      </c>
      <c r="N2152" s="1" t="str">
        <f t="shared" si="168"/>
        <v>Published</v>
      </c>
      <c r="O2152" s="1">
        <f t="shared" si="166"/>
        <v>154.85999999999999</v>
      </c>
      <c r="P2152" s="1">
        <v>7</v>
      </c>
      <c r="Q2152" s="1">
        <v>902</v>
      </c>
      <c r="R2152" s="1" t="str">
        <f t="shared" si="169"/>
        <v>2</v>
      </c>
      <c r="S2152" s="1">
        <v>132</v>
      </c>
      <c r="T2152" s="1" t="str">
        <f t="shared" si="167"/>
        <v>3</v>
      </c>
      <c r="U2152" s="1">
        <v>-35.729246000000003</v>
      </c>
      <c r="V2152" s="3">
        <v>150.194447</v>
      </c>
    </row>
    <row r="2153" spans="1:22" x14ac:dyDescent="0.35">
      <c r="A2153" s="22" t="s">
        <v>5946</v>
      </c>
      <c r="B2153" s="1" t="s">
        <v>5947</v>
      </c>
      <c r="C2153" s="1" t="s">
        <v>536</v>
      </c>
      <c r="D2153" s="1" t="s">
        <v>537</v>
      </c>
      <c r="E2153" s="1" t="s">
        <v>181</v>
      </c>
      <c r="F2153" s="1" t="s">
        <v>47</v>
      </c>
      <c r="G2153" s="1">
        <f t="shared" si="165"/>
        <v>1</v>
      </c>
      <c r="H2153" s="1" t="s">
        <v>182</v>
      </c>
      <c r="I2153" s="1" t="s">
        <v>4583</v>
      </c>
      <c r="J2153" s="23" t="s">
        <v>50</v>
      </c>
      <c r="K2153" s="2" t="s">
        <v>51</v>
      </c>
      <c r="L2153" s="1">
        <v>1104.9000000000001</v>
      </c>
      <c r="M2153" s="1">
        <v>1</v>
      </c>
      <c r="N2153" s="1" t="str">
        <f t="shared" si="168"/>
        <v>Published</v>
      </c>
      <c r="O2153" s="1">
        <f t="shared" si="166"/>
        <v>11.049000000000001</v>
      </c>
      <c r="P2153" s="1">
        <v>81</v>
      </c>
      <c r="Q2153" s="1">
        <v>961</v>
      </c>
      <c r="R2153" s="1" t="str">
        <f t="shared" si="169"/>
        <v>2</v>
      </c>
      <c r="S2153" s="1">
        <v>139</v>
      </c>
      <c r="T2153" s="1" t="str">
        <f t="shared" si="167"/>
        <v>5</v>
      </c>
      <c r="U2153" s="1">
        <v>-33.870958000000002</v>
      </c>
      <c r="V2153" s="3">
        <v>150.87537900000001</v>
      </c>
    </row>
    <row r="2154" spans="1:22" x14ac:dyDescent="0.35">
      <c r="A2154" s="22" t="s">
        <v>5948</v>
      </c>
      <c r="B2154" s="1" t="s">
        <v>5949</v>
      </c>
      <c r="C2154" s="1" t="s">
        <v>1909</v>
      </c>
      <c r="D2154" s="1" t="s">
        <v>737</v>
      </c>
      <c r="E2154" s="1" t="s">
        <v>738</v>
      </c>
      <c r="F2154" s="1" t="s">
        <v>47</v>
      </c>
      <c r="G2154" s="1">
        <f t="shared" si="165"/>
        <v>1</v>
      </c>
      <c r="H2154" s="1" t="s">
        <v>182</v>
      </c>
      <c r="I2154" s="1" t="s">
        <v>4583</v>
      </c>
      <c r="J2154" s="23" t="s">
        <v>50</v>
      </c>
      <c r="K2154" s="2" t="s">
        <v>51</v>
      </c>
      <c r="L2154" s="1">
        <v>1062</v>
      </c>
      <c r="M2154" s="1">
        <v>3</v>
      </c>
      <c r="N2154" s="1" t="str">
        <f t="shared" si="168"/>
        <v>Published</v>
      </c>
      <c r="O2154" s="1">
        <f t="shared" si="166"/>
        <v>31.86</v>
      </c>
      <c r="P2154" s="1">
        <v>37</v>
      </c>
      <c r="Q2154" s="1">
        <v>1046</v>
      </c>
      <c r="R2154" s="1" t="str">
        <f t="shared" si="169"/>
        <v>3</v>
      </c>
      <c r="S2154" s="1">
        <v>73</v>
      </c>
      <c r="T2154" s="1" t="str">
        <f t="shared" si="167"/>
        <v>5</v>
      </c>
      <c r="U2154" s="1">
        <v>-34.002904000000001</v>
      </c>
      <c r="V2154" s="3">
        <v>151.02385100000001</v>
      </c>
    </row>
    <row r="2155" spans="1:22" x14ac:dyDescent="0.35">
      <c r="A2155" s="22" t="s">
        <v>5950</v>
      </c>
      <c r="B2155" s="1" t="s">
        <v>5951</v>
      </c>
      <c r="C2155" s="1" t="s">
        <v>2109</v>
      </c>
      <c r="D2155" s="1" t="s">
        <v>678</v>
      </c>
      <c r="E2155" s="1" t="s">
        <v>122</v>
      </c>
      <c r="F2155" s="1" t="s">
        <v>47</v>
      </c>
      <c r="G2155" s="1">
        <f t="shared" si="165"/>
        <v>1</v>
      </c>
      <c r="H2155" s="1" t="s">
        <v>86</v>
      </c>
      <c r="I2155" s="1" t="s">
        <v>4583</v>
      </c>
      <c r="J2155" s="23" t="s">
        <v>5177</v>
      </c>
      <c r="K2155" s="2" t="s">
        <v>51</v>
      </c>
      <c r="L2155" s="1">
        <v>1399.2</v>
      </c>
      <c r="M2155" s="1">
        <v>7</v>
      </c>
      <c r="N2155" s="1" t="str">
        <f t="shared" si="168"/>
        <v>Published</v>
      </c>
      <c r="O2155" s="1">
        <f t="shared" si="166"/>
        <v>97.944000000000017</v>
      </c>
      <c r="P2155" s="1">
        <v>38</v>
      </c>
      <c r="Q2155" s="1">
        <v>1014</v>
      </c>
      <c r="R2155" s="1" t="str">
        <f t="shared" si="169"/>
        <v>3</v>
      </c>
      <c r="S2155" s="1">
        <v>86</v>
      </c>
      <c r="T2155" s="1" t="str">
        <f t="shared" si="167"/>
        <v>5</v>
      </c>
      <c r="U2155" s="1">
        <v>-34.057071999999998</v>
      </c>
      <c r="V2155" s="3">
        <v>150.74009100000001</v>
      </c>
    </row>
    <row r="2156" spans="1:22" x14ac:dyDescent="0.35">
      <c r="A2156" s="22" t="s">
        <v>5952</v>
      </c>
      <c r="B2156" s="1" t="s">
        <v>5953</v>
      </c>
      <c r="C2156" s="1" t="s">
        <v>1656</v>
      </c>
      <c r="D2156" s="1" t="s">
        <v>186</v>
      </c>
      <c r="E2156" s="1" t="s">
        <v>187</v>
      </c>
      <c r="F2156" s="1" t="s">
        <v>47</v>
      </c>
      <c r="G2156" s="1">
        <f t="shared" si="165"/>
        <v>1</v>
      </c>
      <c r="H2156" s="1" t="s">
        <v>63</v>
      </c>
      <c r="I2156" s="1" t="s">
        <v>4583</v>
      </c>
      <c r="J2156" s="23" t="s">
        <v>50</v>
      </c>
      <c r="K2156" s="2" t="s">
        <v>51</v>
      </c>
      <c r="L2156" s="1">
        <v>1002</v>
      </c>
      <c r="M2156" s="1">
        <v>6</v>
      </c>
      <c r="N2156" s="1" t="str">
        <f t="shared" si="168"/>
        <v>Published</v>
      </c>
      <c r="O2156" s="1">
        <f t="shared" si="166"/>
        <v>60.12</v>
      </c>
      <c r="P2156" s="1">
        <v>8</v>
      </c>
      <c r="Q2156" s="1">
        <v>1045</v>
      </c>
      <c r="R2156" s="1" t="str">
        <f t="shared" si="169"/>
        <v>3</v>
      </c>
      <c r="S2156" s="1">
        <v>67</v>
      </c>
      <c r="T2156" s="1" t="str">
        <f t="shared" si="167"/>
        <v>5</v>
      </c>
      <c r="U2156" s="1">
        <v>-33.464894000000001</v>
      </c>
      <c r="V2156" s="3">
        <v>151.38251600000001</v>
      </c>
    </row>
    <row r="2157" spans="1:22" x14ac:dyDescent="0.35">
      <c r="A2157" s="22" t="s">
        <v>5954</v>
      </c>
      <c r="B2157" s="1" t="s">
        <v>5955</v>
      </c>
      <c r="C2157" s="1" t="s">
        <v>83</v>
      </c>
      <c r="D2157" s="1" t="s">
        <v>84</v>
      </c>
      <c r="E2157" s="1" t="s">
        <v>85</v>
      </c>
      <c r="F2157" s="1" t="s">
        <v>47</v>
      </c>
      <c r="G2157" s="1">
        <f t="shared" si="165"/>
        <v>1</v>
      </c>
      <c r="H2157" s="1" t="s">
        <v>86</v>
      </c>
      <c r="I2157" s="1" t="s">
        <v>4583</v>
      </c>
      <c r="J2157" s="23" t="s">
        <v>50</v>
      </c>
      <c r="K2157" s="2" t="s">
        <v>51</v>
      </c>
      <c r="L2157" s="1">
        <v>899.8</v>
      </c>
      <c r="M2157" s="1">
        <v>11</v>
      </c>
      <c r="N2157" s="1" t="str">
        <f t="shared" si="168"/>
        <v>Published</v>
      </c>
      <c r="O2157" s="1">
        <f t="shared" si="166"/>
        <v>98.977999999999994</v>
      </c>
      <c r="P2157" s="1">
        <v>6</v>
      </c>
      <c r="Q2157" s="1">
        <v>964</v>
      </c>
      <c r="R2157" s="1" t="str">
        <f t="shared" si="169"/>
        <v>2</v>
      </c>
      <c r="S2157" s="1">
        <v>114</v>
      </c>
      <c r="T2157" s="1" t="str">
        <f t="shared" si="167"/>
        <v>4</v>
      </c>
      <c r="U2157" s="1">
        <v>-34.576701999999997</v>
      </c>
      <c r="V2157" s="3">
        <v>150.773359</v>
      </c>
    </row>
    <row r="2158" spans="1:22" x14ac:dyDescent="0.35">
      <c r="A2158" s="22" t="s">
        <v>5956</v>
      </c>
      <c r="B2158" s="1" t="s">
        <v>5957</v>
      </c>
      <c r="C2158" s="1" t="s">
        <v>4313</v>
      </c>
      <c r="D2158" s="1" t="s">
        <v>1003</v>
      </c>
      <c r="E2158" s="1" t="s">
        <v>225</v>
      </c>
      <c r="F2158" s="1" t="s">
        <v>47</v>
      </c>
      <c r="G2158" s="1">
        <f t="shared" si="165"/>
        <v>1</v>
      </c>
      <c r="H2158" s="1" t="s">
        <v>48</v>
      </c>
      <c r="I2158" s="1" t="s">
        <v>4583</v>
      </c>
      <c r="J2158" s="23" t="s">
        <v>50</v>
      </c>
      <c r="K2158" s="2" t="s">
        <v>51</v>
      </c>
      <c r="L2158" s="1">
        <v>560.79999999999995</v>
      </c>
      <c r="M2158" s="1">
        <v>12</v>
      </c>
      <c r="N2158" s="1" t="str">
        <f t="shared" si="168"/>
        <v>Published</v>
      </c>
      <c r="O2158" s="1">
        <f t="shared" si="166"/>
        <v>67.295999999999992</v>
      </c>
      <c r="P2158" s="1">
        <v>17</v>
      </c>
      <c r="Q2158" s="1">
        <v>1032</v>
      </c>
      <c r="R2158" s="1" t="str">
        <f t="shared" si="169"/>
        <v>3</v>
      </c>
      <c r="S2158" s="1">
        <v>84</v>
      </c>
      <c r="T2158" s="1" t="str">
        <f t="shared" si="167"/>
        <v>3</v>
      </c>
      <c r="U2158" s="1">
        <v>-33.871053000000003</v>
      </c>
      <c r="V2158" s="3">
        <v>151.22098</v>
      </c>
    </row>
    <row r="2159" spans="1:22" x14ac:dyDescent="0.35">
      <c r="A2159" s="22" t="s">
        <v>5958</v>
      </c>
      <c r="B2159" s="1" t="s">
        <v>5959</v>
      </c>
      <c r="C2159" s="1" t="s">
        <v>4209</v>
      </c>
      <c r="D2159" s="1" t="s">
        <v>115</v>
      </c>
      <c r="E2159" s="1" t="s">
        <v>225</v>
      </c>
      <c r="F2159" s="1" t="s">
        <v>47</v>
      </c>
      <c r="G2159" s="1">
        <f t="shared" si="165"/>
        <v>1</v>
      </c>
      <c r="H2159" s="1" t="s">
        <v>48</v>
      </c>
      <c r="I2159" s="1" t="s">
        <v>4583</v>
      </c>
      <c r="J2159" s="23" t="s">
        <v>50</v>
      </c>
      <c r="K2159" s="2" t="s">
        <v>51</v>
      </c>
      <c r="L2159" s="1"/>
      <c r="M2159" s="1"/>
      <c r="N2159" s="1" t="str">
        <f t="shared" si="168"/>
        <v>Suppressed</v>
      </c>
      <c r="O2159" s="1" t="str">
        <f t="shared" si="166"/>
        <v/>
      </c>
      <c r="P2159" s="1"/>
      <c r="Q2159" s="1"/>
      <c r="R2159" s="1" t="str">
        <f t="shared" si="169"/>
        <v>No ICSEA</v>
      </c>
      <c r="S2159" s="1"/>
      <c r="T2159" s="1" t="str">
        <f t="shared" si="167"/>
        <v>No enrolment</v>
      </c>
      <c r="U2159" s="1">
        <v>-33.894807</v>
      </c>
      <c r="V2159" s="3">
        <v>151.150285</v>
      </c>
    </row>
    <row r="2160" spans="1:22" x14ac:dyDescent="0.35">
      <c r="A2160" s="22" t="s">
        <v>5960</v>
      </c>
      <c r="B2160" s="1" t="s">
        <v>5961</v>
      </c>
      <c r="C2160" s="1" t="s">
        <v>4217</v>
      </c>
      <c r="D2160" s="1" t="s">
        <v>689</v>
      </c>
      <c r="E2160" s="1" t="s">
        <v>122</v>
      </c>
      <c r="F2160" s="1" t="s">
        <v>47</v>
      </c>
      <c r="G2160" s="1">
        <f t="shared" si="165"/>
        <v>1</v>
      </c>
      <c r="H2160" s="1" t="s">
        <v>86</v>
      </c>
      <c r="I2160" s="1" t="s">
        <v>4583</v>
      </c>
      <c r="J2160" s="23" t="s">
        <v>50</v>
      </c>
      <c r="K2160" s="2" t="s">
        <v>51</v>
      </c>
      <c r="L2160" s="1">
        <v>488</v>
      </c>
      <c r="M2160" s="1">
        <v>19</v>
      </c>
      <c r="N2160" s="1" t="str">
        <f t="shared" si="168"/>
        <v>Published</v>
      </c>
      <c r="O2160" s="1">
        <f t="shared" si="166"/>
        <v>92.72</v>
      </c>
      <c r="P2160" s="1">
        <v>40</v>
      </c>
      <c r="Q2160" s="1">
        <v>908</v>
      </c>
      <c r="R2160" s="1" t="str">
        <f t="shared" si="169"/>
        <v>2</v>
      </c>
      <c r="S2160" s="1">
        <v>150</v>
      </c>
      <c r="T2160" s="1" t="str">
        <f t="shared" si="167"/>
        <v>3</v>
      </c>
      <c r="U2160" s="1">
        <v>-34.082028999999999</v>
      </c>
      <c r="V2160" s="3">
        <v>150.80148800000001</v>
      </c>
    </row>
    <row r="2161" spans="1:22" x14ac:dyDescent="0.35">
      <c r="A2161" s="22" t="s">
        <v>5962</v>
      </c>
      <c r="B2161" s="1" t="s">
        <v>5963</v>
      </c>
      <c r="C2161" s="1" t="s">
        <v>4382</v>
      </c>
      <c r="D2161" s="1" t="s">
        <v>1131</v>
      </c>
      <c r="E2161" s="1" t="s">
        <v>429</v>
      </c>
      <c r="F2161" s="1" t="s">
        <v>47</v>
      </c>
      <c r="G2161" s="1">
        <f t="shared" si="165"/>
        <v>1</v>
      </c>
      <c r="H2161" s="1" t="s">
        <v>182</v>
      </c>
      <c r="I2161" s="1" t="s">
        <v>4583</v>
      </c>
      <c r="J2161" s="23" t="s">
        <v>50</v>
      </c>
      <c r="K2161" s="2" t="s">
        <v>51</v>
      </c>
      <c r="L2161" s="1">
        <v>834.2</v>
      </c>
      <c r="M2161" s="1">
        <v>9</v>
      </c>
      <c r="N2161" s="1" t="str">
        <f t="shared" si="168"/>
        <v>Published</v>
      </c>
      <c r="O2161" s="1">
        <f t="shared" si="166"/>
        <v>75.078000000000003</v>
      </c>
      <c r="P2161" s="1">
        <v>28</v>
      </c>
      <c r="Q2161" s="1">
        <v>962</v>
      </c>
      <c r="R2161" s="1" t="str">
        <f t="shared" si="169"/>
        <v>2</v>
      </c>
      <c r="S2161" s="1">
        <v>122</v>
      </c>
      <c r="T2161" s="1" t="str">
        <f t="shared" si="167"/>
        <v>4</v>
      </c>
      <c r="U2161" s="1">
        <v>-33.807898999999999</v>
      </c>
      <c r="V2161" s="3">
        <v>150.80296200000001</v>
      </c>
    </row>
    <row r="2162" spans="1:22" x14ac:dyDescent="0.35">
      <c r="A2162" s="22" t="s">
        <v>5964</v>
      </c>
      <c r="B2162" s="1" t="s">
        <v>5965</v>
      </c>
      <c r="C2162" s="1" t="s">
        <v>4863</v>
      </c>
      <c r="D2162" s="1" t="s">
        <v>186</v>
      </c>
      <c r="E2162" s="1" t="s">
        <v>187</v>
      </c>
      <c r="F2162" s="1" t="s">
        <v>47</v>
      </c>
      <c r="G2162" s="1">
        <f t="shared" si="165"/>
        <v>1</v>
      </c>
      <c r="H2162" s="1" t="s">
        <v>63</v>
      </c>
      <c r="I2162" s="1" t="s">
        <v>4583</v>
      </c>
      <c r="J2162" s="23" t="s">
        <v>50</v>
      </c>
      <c r="K2162" s="2" t="s">
        <v>51</v>
      </c>
      <c r="L2162" s="1">
        <v>628.79999999999995</v>
      </c>
      <c r="M2162" s="1">
        <v>14</v>
      </c>
      <c r="N2162" s="1" t="str">
        <f t="shared" si="168"/>
        <v>Published</v>
      </c>
      <c r="O2162" s="1">
        <f t="shared" si="166"/>
        <v>88.031999999999996</v>
      </c>
      <c r="P2162" s="1">
        <v>12</v>
      </c>
      <c r="Q2162" s="1">
        <v>974</v>
      </c>
      <c r="R2162" s="1" t="str">
        <f t="shared" si="169"/>
        <v>2</v>
      </c>
      <c r="S2162" s="1">
        <v>109</v>
      </c>
      <c r="T2162" s="1" t="str">
        <f t="shared" si="167"/>
        <v>4</v>
      </c>
      <c r="U2162" s="1">
        <v>-33.398421999999997</v>
      </c>
      <c r="V2162" s="3">
        <v>151.33406400000001</v>
      </c>
    </row>
    <row r="2163" spans="1:22" x14ac:dyDescent="0.35">
      <c r="A2163" s="22" t="s">
        <v>5966</v>
      </c>
      <c r="B2163" s="1" t="s">
        <v>5967</v>
      </c>
      <c r="C2163" s="1" t="s">
        <v>5968</v>
      </c>
      <c r="D2163" s="1" t="s">
        <v>126</v>
      </c>
      <c r="E2163" s="1" t="s">
        <v>127</v>
      </c>
      <c r="F2163" s="1" t="s">
        <v>47</v>
      </c>
      <c r="G2163" s="1">
        <f t="shared" si="165"/>
        <v>1</v>
      </c>
      <c r="H2163" s="1" t="s">
        <v>148</v>
      </c>
      <c r="I2163" s="1" t="s">
        <v>4583</v>
      </c>
      <c r="J2163" s="23" t="s">
        <v>50</v>
      </c>
      <c r="K2163" s="2" t="s">
        <v>51</v>
      </c>
      <c r="L2163" s="1">
        <v>2097.4</v>
      </c>
      <c r="M2163" s="1"/>
      <c r="N2163" s="1" t="str">
        <f t="shared" si="168"/>
        <v>Suppressed</v>
      </c>
      <c r="O2163" s="1" t="str">
        <f t="shared" si="166"/>
        <v/>
      </c>
      <c r="P2163" s="1">
        <v>77</v>
      </c>
      <c r="Q2163" s="1">
        <v>1146</v>
      </c>
      <c r="R2163" s="1" t="str">
        <f t="shared" si="169"/>
        <v>4</v>
      </c>
      <c r="S2163" s="1">
        <v>9</v>
      </c>
      <c r="T2163" s="1" t="str">
        <f t="shared" si="167"/>
        <v>5</v>
      </c>
      <c r="U2163" s="1">
        <v>-33.719852000000003</v>
      </c>
      <c r="V2163" s="3">
        <v>151.03758300000001</v>
      </c>
    </row>
    <row r="2164" spans="1:22" x14ac:dyDescent="0.35">
      <c r="A2164" s="22" t="s">
        <v>5969</v>
      </c>
      <c r="B2164" s="1" t="s">
        <v>5970</v>
      </c>
      <c r="C2164" s="1" t="s">
        <v>4411</v>
      </c>
      <c r="D2164" s="1" t="s">
        <v>382</v>
      </c>
      <c r="E2164" s="1" t="s">
        <v>196</v>
      </c>
      <c r="F2164" s="1" t="s">
        <v>57</v>
      </c>
      <c r="G2164" s="1">
        <f t="shared" si="165"/>
        <v>2</v>
      </c>
      <c r="H2164" s="1" t="s">
        <v>86</v>
      </c>
      <c r="I2164" s="1" t="s">
        <v>4583</v>
      </c>
      <c r="J2164" s="23" t="s">
        <v>50</v>
      </c>
      <c r="K2164" s="2" t="s">
        <v>51</v>
      </c>
      <c r="L2164" s="1">
        <v>926.6</v>
      </c>
      <c r="M2164" s="1">
        <v>21</v>
      </c>
      <c r="N2164" s="1" t="str">
        <f t="shared" si="168"/>
        <v>Published</v>
      </c>
      <c r="O2164" s="1">
        <f t="shared" si="166"/>
        <v>194.58599999999998</v>
      </c>
      <c r="P2164" s="1">
        <v>8</v>
      </c>
      <c r="Q2164" s="1">
        <v>933</v>
      </c>
      <c r="R2164" s="1" t="str">
        <f t="shared" si="169"/>
        <v>2</v>
      </c>
      <c r="S2164" s="1">
        <v>122</v>
      </c>
      <c r="T2164" s="1" t="str">
        <f t="shared" si="167"/>
        <v>4</v>
      </c>
      <c r="U2164" s="1">
        <v>-35.077697999999998</v>
      </c>
      <c r="V2164" s="3">
        <v>150.662803</v>
      </c>
    </row>
    <row r="2165" spans="1:22" x14ac:dyDescent="0.35">
      <c r="A2165" s="22" t="s">
        <v>5971</v>
      </c>
      <c r="B2165" s="1" t="s">
        <v>5972</v>
      </c>
      <c r="C2165" s="1" t="s">
        <v>4426</v>
      </c>
      <c r="D2165" s="1" t="s">
        <v>837</v>
      </c>
      <c r="E2165" s="1" t="s">
        <v>838</v>
      </c>
      <c r="F2165" s="1" t="s">
        <v>47</v>
      </c>
      <c r="G2165" s="1">
        <f t="shared" si="165"/>
        <v>1</v>
      </c>
      <c r="H2165" s="1" t="s">
        <v>148</v>
      </c>
      <c r="I2165" s="1" t="s">
        <v>4583</v>
      </c>
      <c r="J2165" s="23" t="s">
        <v>50</v>
      </c>
      <c r="K2165" s="2" t="s">
        <v>51</v>
      </c>
      <c r="L2165" s="1">
        <v>925</v>
      </c>
      <c r="M2165" s="1">
        <v>5</v>
      </c>
      <c r="N2165" s="1" t="str">
        <f t="shared" si="168"/>
        <v>Published</v>
      </c>
      <c r="O2165" s="1">
        <f t="shared" si="166"/>
        <v>46.25</v>
      </c>
      <c r="P2165" s="1">
        <v>45</v>
      </c>
      <c r="Q2165" s="1">
        <v>1025</v>
      </c>
      <c r="R2165" s="1" t="str">
        <f t="shared" si="169"/>
        <v>3</v>
      </c>
      <c r="S2165" s="1">
        <v>79</v>
      </c>
      <c r="T2165" s="1" t="str">
        <f t="shared" si="167"/>
        <v>4</v>
      </c>
      <c r="U2165" s="1">
        <v>-33.729813</v>
      </c>
      <c r="V2165" s="3">
        <v>150.89644999999999</v>
      </c>
    </row>
    <row r="2166" spans="1:22" x14ac:dyDescent="0.35">
      <c r="A2166" s="22" t="s">
        <v>5973</v>
      </c>
      <c r="B2166" s="1" t="s">
        <v>5974</v>
      </c>
      <c r="C2166" s="1" t="s">
        <v>2094</v>
      </c>
      <c r="D2166" s="1" t="s">
        <v>554</v>
      </c>
      <c r="E2166" s="1" t="s">
        <v>276</v>
      </c>
      <c r="F2166" s="1" t="s">
        <v>57</v>
      </c>
      <c r="G2166" s="1">
        <f t="shared" si="165"/>
        <v>2</v>
      </c>
      <c r="H2166" s="1" t="s">
        <v>58</v>
      </c>
      <c r="I2166" s="1" t="s">
        <v>4583</v>
      </c>
      <c r="J2166" s="23" t="s">
        <v>50</v>
      </c>
      <c r="K2166" s="2" t="s">
        <v>51</v>
      </c>
      <c r="L2166" s="1">
        <v>314</v>
      </c>
      <c r="M2166" s="1">
        <v>32</v>
      </c>
      <c r="N2166" s="1" t="str">
        <f t="shared" si="168"/>
        <v>Published</v>
      </c>
      <c r="O2166" s="1">
        <f t="shared" si="166"/>
        <v>100.48</v>
      </c>
      <c r="P2166" s="1">
        <v>8</v>
      </c>
      <c r="Q2166" s="1">
        <v>890</v>
      </c>
      <c r="R2166" s="1" t="str">
        <f t="shared" si="169"/>
        <v>1</v>
      </c>
      <c r="S2166" s="1">
        <v>142</v>
      </c>
      <c r="T2166" s="1" t="str">
        <f t="shared" si="167"/>
        <v>3</v>
      </c>
      <c r="U2166" s="1">
        <v>-30.640826000000001</v>
      </c>
      <c r="V2166" s="3">
        <v>152.98461399999999</v>
      </c>
    </row>
    <row r="2167" spans="1:22" x14ac:dyDescent="0.35">
      <c r="A2167" s="22" t="s">
        <v>5975</v>
      </c>
      <c r="B2167" s="1" t="s">
        <v>5976</v>
      </c>
      <c r="C2167" s="1" t="s">
        <v>2086</v>
      </c>
      <c r="D2167" s="1" t="s">
        <v>236</v>
      </c>
      <c r="E2167" s="1" t="s">
        <v>107</v>
      </c>
      <c r="F2167" s="1" t="s">
        <v>57</v>
      </c>
      <c r="G2167" s="1">
        <f t="shared" si="165"/>
        <v>2</v>
      </c>
      <c r="H2167" s="1" t="s">
        <v>92</v>
      </c>
      <c r="I2167" s="1" t="s">
        <v>4583</v>
      </c>
      <c r="J2167" s="23" t="s">
        <v>50</v>
      </c>
      <c r="K2167" s="2" t="s">
        <v>51</v>
      </c>
      <c r="L2167" s="1">
        <v>161</v>
      </c>
      <c r="M2167" s="1">
        <v>17</v>
      </c>
      <c r="N2167" s="1" t="str">
        <f t="shared" si="168"/>
        <v>Published</v>
      </c>
      <c r="O2167" s="1">
        <f t="shared" si="166"/>
        <v>27.37</v>
      </c>
      <c r="P2167" s="1">
        <v>6</v>
      </c>
      <c r="Q2167" s="1">
        <v>938</v>
      </c>
      <c r="R2167" s="1" t="str">
        <f t="shared" si="169"/>
        <v>2</v>
      </c>
      <c r="S2167" s="1">
        <v>136</v>
      </c>
      <c r="T2167" s="1" t="str">
        <f t="shared" si="167"/>
        <v>2</v>
      </c>
      <c r="U2167" s="1">
        <v>-28.333658</v>
      </c>
      <c r="V2167" s="3">
        <v>153.362515</v>
      </c>
    </row>
    <row r="2168" spans="1:22" x14ac:dyDescent="0.35">
      <c r="A2168" s="22" t="s">
        <v>5977</v>
      </c>
      <c r="B2168" s="1" t="s">
        <v>5978</v>
      </c>
      <c r="C2168" s="1" t="s">
        <v>2219</v>
      </c>
      <c r="D2168" s="1" t="s">
        <v>2219</v>
      </c>
      <c r="E2168" s="1" t="s">
        <v>261</v>
      </c>
      <c r="F2168" s="1" t="s">
        <v>57</v>
      </c>
      <c r="G2168" s="1">
        <f t="shared" si="165"/>
        <v>2</v>
      </c>
      <c r="H2168" s="1" t="s">
        <v>58</v>
      </c>
      <c r="I2168" s="1" t="s">
        <v>4583</v>
      </c>
      <c r="J2168" s="23" t="s">
        <v>50</v>
      </c>
      <c r="K2168" s="2" t="s">
        <v>51</v>
      </c>
      <c r="L2168" s="1">
        <v>204</v>
      </c>
      <c r="M2168" s="1">
        <v>12</v>
      </c>
      <c r="N2168" s="1" t="str">
        <f t="shared" si="168"/>
        <v>Published</v>
      </c>
      <c r="O2168" s="1">
        <f t="shared" si="166"/>
        <v>24.48</v>
      </c>
      <c r="P2168" s="1">
        <v>9</v>
      </c>
      <c r="Q2168" s="1">
        <v>934</v>
      </c>
      <c r="R2168" s="1" t="str">
        <f t="shared" si="169"/>
        <v>2</v>
      </c>
      <c r="S2168" s="1">
        <v>129</v>
      </c>
      <c r="T2168" s="1" t="str">
        <f t="shared" si="167"/>
        <v>2</v>
      </c>
      <c r="U2168" s="1">
        <v>-33.701690999999997</v>
      </c>
      <c r="V2168" s="3">
        <v>149.861132</v>
      </c>
    </row>
    <row r="2169" spans="1:22" x14ac:dyDescent="0.35">
      <c r="A2169" s="22" t="s">
        <v>5979</v>
      </c>
      <c r="B2169" s="1" t="s">
        <v>5980</v>
      </c>
      <c r="C2169" s="1" t="s">
        <v>4792</v>
      </c>
      <c r="D2169" s="1" t="s">
        <v>146</v>
      </c>
      <c r="E2169" s="1" t="s">
        <v>147</v>
      </c>
      <c r="F2169" s="1" t="s">
        <v>47</v>
      </c>
      <c r="G2169" s="1">
        <f t="shared" si="165"/>
        <v>1</v>
      </c>
      <c r="H2169" s="1" t="s">
        <v>5981</v>
      </c>
      <c r="I2169" s="1" t="s">
        <v>4583</v>
      </c>
      <c r="J2169" s="23" t="s">
        <v>50</v>
      </c>
      <c r="K2169" s="2" t="s">
        <v>51</v>
      </c>
      <c r="L2169" s="1">
        <v>292.10000000000002</v>
      </c>
      <c r="M2169" s="1"/>
      <c r="N2169" s="1" t="str">
        <f t="shared" si="168"/>
        <v>Suppressed</v>
      </c>
      <c r="O2169" s="1" t="str">
        <f t="shared" si="166"/>
        <v/>
      </c>
      <c r="P2169" s="1"/>
      <c r="Q2169" s="1">
        <v>1108</v>
      </c>
      <c r="R2169" s="1" t="str">
        <f t="shared" si="169"/>
        <v>4</v>
      </c>
      <c r="S2169" s="1"/>
      <c r="T2169" s="1" t="str">
        <f t="shared" si="167"/>
        <v>2</v>
      </c>
      <c r="U2169" s="1">
        <v>-33.820467999999998</v>
      </c>
      <c r="V2169" s="3">
        <v>151.188457</v>
      </c>
    </row>
    <row r="2170" spans="1:22" x14ac:dyDescent="0.35">
      <c r="A2170" s="22" t="s">
        <v>5982</v>
      </c>
      <c r="B2170" s="1" t="s">
        <v>5983</v>
      </c>
      <c r="C2170" s="1" t="s">
        <v>642</v>
      </c>
      <c r="D2170" s="1" t="s">
        <v>642</v>
      </c>
      <c r="E2170" s="1"/>
      <c r="F2170" s="1" t="s">
        <v>47</v>
      </c>
      <c r="G2170" s="1">
        <f t="shared" si="165"/>
        <v>1</v>
      </c>
      <c r="H2170" s="1" t="s">
        <v>148</v>
      </c>
      <c r="I2170" s="1" t="s">
        <v>4739</v>
      </c>
      <c r="J2170" s="23" t="s">
        <v>50</v>
      </c>
      <c r="K2170" s="2" t="s">
        <v>51</v>
      </c>
      <c r="L2170" s="1"/>
      <c r="M2170" s="1"/>
      <c r="N2170" s="1" t="str">
        <f t="shared" si="168"/>
        <v>Suppressed</v>
      </c>
      <c r="O2170" s="1" t="str">
        <f t="shared" si="166"/>
        <v/>
      </c>
      <c r="P2170" s="1"/>
      <c r="Q2170" s="1"/>
      <c r="R2170" s="1" t="str">
        <f t="shared" si="169"/>
        <v>No ICSEA</v>
      </c>
      <c r="S2170" s="1"/>
      <c r="T2170" s="1" t="str">
        <f t="shared" si="167"/>
        <v>No enrolment</v>
      </c>
      <c r="U2170" s="1">
        <v>-33.813784300000002</v>
      </c>
      <c r="V2170" s="3">
        <v>151.00868019999999</v>
      </c>
    </row>
    <row r="2171" spans="1:22" x14ac:dyDescent="0.35">
      <c r="A2171" s="22" t="s">
        <v>5984</v>
      </c>
      <c r="B2171" s="1" t="s">
        <v>5985</v>
      </c>
      <c r="C2171" s="1" t="s">
        <v>342</v>
      </c>
      <c r="D2171" s="1" t="s">
        <v>152</v>
      </c>
      <c r="E2171" s="1" t="s">
        <v>229</v>
      </c>
      <c r="F2171" s="1" t="s">
        <v>47</v>
      </c>
      <c r="G2171" s="1">
        <f t="shared" si="165"/>
        <v>1</v>
      </c>
      <c r="H2171" s="1" t="s">
        <v>48</v>
      </c>
      <c r="I2171" s="1" t="s">
        <v>4583</v>
      </c>
      <c r="J2171" s="23" t="s">
        <v>50</v>
      </c>
      <c r="K2171" s="2" t="s">
        <v>4755</v>
      </c>
      <c r="L2171" s="1">
        <v>614</v>
      </c>
      <c r="M2171" s="1"/>
      <c r="N2171" s="1" t="str">
        <f t="shared" si="168"/>
        <v>Suppressed</v>
      </c>
      <c r="O2171" s="1" t="str">
        <f t="shared" si="166"/>
        <v/>
      </c>
      <c r="P2171" s="1">
        <v>98</v>
      </c>
      <c r="Q2171" s="1">
        <v>953</v>
      </c>
      <c r="R2171" s="1" t="str">
        <f t="shared" si="169"/>
        <v>2</v>
      </c>
      <c r="S2171" s="1">
        <v>137</v>
      </c>
      <c r="T2171" s="1" t="str">
        <f t="shared" si="167"/>
        <v>4</v>
      </c>
      <c r="U2171" s="1">
        <v>-33.910795999999998</v>
      </c>
      <c r="V2171" s="3">
        <v>151.08557500000001</v>
      </c>
    </row>
    <row r="2172" spans="1:22" x14ac:dyDescent="0.35">
      <c r="A2172" s="22" t="s">
        <v>5986</v>
      </c>
      <c r="B2172" s="1" t="s">
        <v>5987</v>
      </c>
      <c r="C2172" s="1" t="s">
        <v>706</v>
      </c>
      <c r="D2172" s="1" t="s">
        <v>152</v>
      </c>
      <c r="E2172" s="1" t="s">
        <v>46</v>
      </c>
      <c r="F2172" s="1" t="s">
        <v>47</v>
      </c>
      <c r="G2172" s="1">
        <f t="shared" si="165"/>
        <v>1</v>
      </c>
      <c r="H2172" s="1" t="s">
        <v>48</v>
      </c>
      <c r="I2172" s="1" t="s">
        <v>4583</v>
      </c>
      <c r="J2172" s="23" t="s">
        <v>50</v>
      </c>
      <c r="K2172" s="2" t="s">
        <v>5184</v>
      </c>
      <c r="L2172" s="1">
        <v>720</v>
      </c>
      <c r="M2172" s="1">
        <v>4</v>
      </c>
      <c r="N2172" s="1" t="str">
        <f t="shared" si="168"/>
        <v>Published</v>
      </c>
      <c r="O2172" s="1">
        <f t="shared" si="166"/>
        <v>28.8</v>
      </c>
      <c r="P2172" s="1">
        <v>59</v>
      </c>
      <c r="Q2172" s="1">
        <v>1059</v>
      </c>
      <c r="R2172" s="1" t="str">
        <f t="shared" si="169"/>
        <v>3</v>
      </c>
      <c r="S2172" s="1">
        <v>58</v>
      </c>
      <c r="T2172" s="1" t="str">
        <f t="shared" si="167"/>
        <v>4</v>
      </c>
      <c r="U2172" s="1">
        <v>-33.907263999999998</v>
      </c>
      <c r="V2172" s="3">
        <v>151.12263100000001</v>
      </c>
    </row>
    <row r="2173" spans="1:22" x14ac:dyDescent="0.35">
      <c r="A2173" s="22" t="s">
        <v>5988</v>
      </c>
      <c r="B2173" s="1" t="s">
        <v>5989</v>
      </c>
      <c r="C2173" s="1" t="s">
        <v>451</v>
      </c>
      <c r="D2173" s="1" t="s">
        <v>169</v>
      </c>
      <c r="E2173" s="1" t="s">
        <v>170</v>
      </c>
      <c r="F2173" s="1" t="s">
        <v>47</v>
      </c>
      <c r="G2173" s="1">
        <f t="shared" si="165"/>
        <v>1</v>
      </c>
      <c r="H2173" s="1" t="s">
        <v>48</v>
      </c>
      <c r="I2173" s="1" t="s">
        <v>4583</v>
      </c>
      <c r="J2173" s="23" t="s">
        <v>5177</v>
      </c>
      <c r="K2173" s="2" t="s">
        <v>4755</v>
      </c>
      <c r="L2173" s="1">
        <v>832.5</v>
      </c>
      <c r="M2173" s="1"/>
      <c r="N2173" s="1" t="str">
        <f t="shared" si="168"/>
        <v>Suppressed</v>
      </c>
      <c r="O2173" s="1" t="str">
        <f t="shared" si="166"/>
        <v/>
      </c>
      <c r="P2173" s="1">
        <v>96</v>
      </c>
      <c r="Q2173" s="1">
        <v>961</v>
      </c>
      <c r="R2173" s="1" t="str">
        <f t="shared" si="169"/>
        <v>2</v>
      </c>
      <c r="S2173" s="1">
        <v>139</v>
      </c>
      <c r="T2173" s="1" t="str">
        <f t="shared" si="167"/>
        <v>4</v>
      </c>
      <c r="U2173" s="1">
        <v>-33.834617999999999</v>
      </c>
      <c r="V2173" s="3">
        <v>151.00881699999999</v>
      </c>
    </row>
    <row r="2174" spans="1:22" x14ac:dyDescent="0.35">
      <c r="A2174" s="22" t="s">
        <v>5990</v>
      </c>
      <c r="B2174" s="1" t="s">
        <v>5991</v>
      </c>
      <c r="C2174" s="1" t="s">
        <v>1529</v>
      </c>
      <c r="D2174" s="1" t="s">
        <v>386</v>
      </c>
      <c r="E2174" s="1" t="s">
        <v>229</v>
      </c>
      <c r="F2174" s="1" t="s">
        <v>47</v>
      </c>
      <c r="G2174" s="1">
        <f t="shared" si="165"/>
        <v>1</v>
      </c>
      <c r="H2174" s="1" t="s">
        <v>48</v>
      </c>
      <c r="I2174" s="1" t="s">
        <v>4583</v>
      </c>
      <c r="J2174" s="23" t="s">
        <v>50</v>
      </c>
      <c r="K2174" s="2" t="s">
        <v>51</v>
      </c>
      <c r="L2174" s="1">
        <v>267</v>
      </c>
      <c r="M2174" s="1"/>
      <c r="N2174" s="1" t="str">
        <f t="shared" si="168"/>
        <v>Suppressed</v>
      </c>
      <c r="O2174" s="1" t="str">
        <f t="shared" si="166"/>
        <v/>
      </c>
      <c r="P2174" s="1">
        <v>86</v>
      </c>
      <c r="Q2174" s="1">
        <v>1017</v>
      </c>
      <c r="R2174" s="1" t="str">
        <f t="shared" si="169"/>
        <v>3</v>
      </c>
      <c r="S2174" s="1">
        <v>97</v>
      </c>
      <c r="T2174" s="1" t="str">
        <f t="shared" si="167"/>
        <v>2</v>
      </c>
      <c r="U2174" s="1">
        <v>-33.962826</v>
      </c>
      <c r="V2174" s="3">
        <v>151.10980799999999</v>
      </c>
    </row>
    <row r="2175" spans="1:22" x14ac:dyDescent="0.35">
      <c r="A2175" s="22" t="s">
        <v>5992</v>
      </c>
      <c r="B2175" s="1" t="s">
        <v>5993</v>
      </c>
      <c r="C2175" s="1" t="s">
        <v>5802</v>
      </c>
      <c r="D2175" s="1" t="s">
        <v>74</v>
      </c>
      <c r="E2175" s="1" t="s">
        <v>75</v>
      </c>
      <c r="F2175" s="1" t="s">
        <v>47</v>
      </c>
      <c r="G2175" s="1">
        <f t="shared" si="165"/>
        <v>1</v>
      </c>
      <c r="H2175" s="1" t="s">
        <v>63</v>
      </c>
      <c r="I2175" s="1" t="s">
        <v>132</v>
      </c>
      <c r="J2175" s="23" t="s">
        <v>50</v>
      </c>
      <c r="K2175" s="2" t="s">
        <v>51</v>
      </c>
      <c r="L2175" s="1">
        <v>1089.5</v>
      </c>
      <c r="M2175" s="1">
        <v>6</v>
      </c>
      <c r="N2175" s="1" t="str">
        <f t="shared" si="168"/>
        <v>Published</v>
      </c>
      <c r="O2175" s="1">
        <f t="shared" si="166"/>
        <v>65.37</v>
      </c>
      <c r="P2175" s="1">
        <v>12</v>
      </c>
      <c r="Q2175" s="1">
        <v>1085</v>
      </c>
      <c r="R2175" s="1" t="str">
        <f t="shared" si="169"/>
        <v>3</v>
      </c>
      <c r="S2175" s="1">
        <v>41</v>
      </c>
      <c r="T2175" s="1" t="str">
        <f t="shared" si="167"/>
        <v>5</v>
      </c>
      <c r="U2175" s="1">
        <v>-32.924826000000003</v>
      </c>
      <c r="V2175" s="3">
        <v>151.72761399999999</v>
      </c>
    </row>
    <row r="2176" spans="1:22" x14ac:dyDescent="0.35">
      <c r="A2176" s="22" t="s">
        <v>5994</v>
      </c>
      <c r="B2176" s="1" t="s">
        <v>5995</v>
      </c>
      <c r="C2176" s="1" t="s">
        <v>642</v>
      </c>
      <c r="D2176" s="1" t="s">
        <v>642</v>
      </c>
      <c r="E2176" s="1" t="s">
        <v>170</v>
      </c>
      <c r="F2176" s="1" t="s">
        <v>47</v>
      </c>
      <c r="G2176" s="1">
        <f t="shared" si="165"/>
        <v>1</v>
      </c>
      <c r="H2176" s="1" t="s">
        <v>48</v>
      </c>
      <c r="I2176" s="1" t="s">
        <v>4583</v>
      </c>
      <c r="J2176" s="23" t="s">
        <v>50</v>
      </c>
      <c r="K2176" s="2" t="s">
        <v>5184</v>
      </c>
      <c r="L2176" s="1">
        <v>996.6</v>
      </c>
      <c r="M2176" s="1">
        <v>1</v>
      </c>
      <c r="N2176" s="1" t="str">
        <f t="shared" si="168"/>
        <v>Published</v>
      </c>
      <c r="O2176" s="1">
        <f t="shared" si="166"/>
        <v>9.9660000000000011</v>
      </c>
      <c r="P2176" s="1">
        <v>92</v>
      </c>
      <c r="Q2176" s="1">
        <v>1071</v>
      </c>
      <c r="R2176" s="1" t="str">
        <f t="shared" si="169"/>
        <v>3</v>
      </c>
      <c r="S2176" s="1">
        <v>52</v>
      </c>
      <c r="T2176" s="1" t="str">
        <f t="shared" si="167"/>
        <v>4</v>
      </c>
      <c r="U2176" s="1">
        <v>-33.813085999999998</v>
      </c>
      <c r="V2176" s="3">
        <v>151.01249899999999</v>
      </c>
    </row>
    <row r="2177" spans="1:22" x14ac:dyDescent="0.35">
      <c r="A2177" s="22" t="s">
        <v>5996</v>
      </c>
      <c r="B2177" s="1" t="s">
        <v>5997</v>
      </c>
      <c r="C2177" s="1" t="s">
        <v>3476</v>
      </c>
      <c r="D2177" s="1" t="s">
        <v>203</v>
      </c>
      <c r="E2177" s="1" t="s">
        <v>204</v>
      </c>
      <c r="F2177" s="1" t="s">
        <v>47</v>
      </c>
      <c r="G2177" s="1">
        <f t="shared" si="165"/>
        <v>1</v>
      </c>
      <c r="H2177" s="1" t="s">
        <v>148</v>
      </c>
      <c r="I2177" s="1" t="s">
        <v>4583</v>
      </c>
      <c r="J2177" s="23" t="s">
        <v>50</v>
      </c>
      <c r="K2177" s="2" t="s">
        <v>5184</v>
      </c>
      <c r="L2177" s="1">
        <v>1021</v>
      </c>
      <c r="M2177" s="1">
        <v>1</v>
      </c>
      <c r="N2177" s="1" t="str">
        <f t="shared" si="168"/>
        <v>Published</v>
      </c>
      <c r="O2177" s="1">
        <f t="shared" si="166"/>
        <v>10.210000000000001</v>
      </c>
      <c r="P2177" s="1">
        <v>33</v>
      </c>
      <c r="Q2177" s="1">
        <v>1115</v>
      </c>
      <c r="R2177" s="1" t="str">
        <f t="shared" si="169"/>
        <v>4</v>
      </c>
      <c r="S2177" s="1">
        <v>30</v>
      </c>
      <c r="T2177" s="1" t="str">
        <f t="shared" si="167"/>
        <v>5</v>
      </c>
      <c r="U2177" s="1">
        <v>-33.782108999999998</v>
      </c>
      <c r="V2177" s="3">
        <v>151.272401</v>
      </c>
    </row>
    <row r="2178" spans="1:22" x14ac:dyDescent="0.35">
      <c r="A2178" s="22" t="s">
        <v>5998</v>
      </c>
      <c r="B2178" s="1" t="s">
        <v>5999</v>
      </c>
      <c r="C2178" s="1" t="s">
        <v>155</v>
      </c>
      <c r="D2178" s="1" t="s">
        <v>115</v>
      </c>
      <c r="E2178" s="1" t="s">
        <v>46</v>
      </c>
      <c r="F2178" s="1" t="s">
        <v>47</v>
      </c>
      <c r="G2178" s="1">
        <f t="shared" ref="G2178:G2211" si="170">IF(F2178="Major Cities of Australia",1,IF(F2178="Inner Regional Australia",2,IF(F2178="Outer Regional Australia",3,IF(F2178="Remote Australia",4,IF(F2178="Very Remote Australia",5,6)))))</f>
        <v>1</v>
      </c>
      <c r="H2178" s="1" t="s">
        <v>48</v>
      </c>
      <c r="I2178" s="1" t="s">
        <v>4583</v>
      </c>
      <c r="J2178" s="23" t="s">
        <v>50</v>
      </c>
      <c r="K2178" s="2" t="s">
        <v>4755</v>
      </c>
      <c r="L2178" s="1">
        <v>751</v>
      </c>
      <c r="M2178" s="1">
        <v>2</v>
      </c>
      <c r="N2178" s="1" t="str">
        <f t="shared" si="168"/>
        <v>Published</v>
      </c>
      <c r="O2178" s="1">
        <f t="shared" ref="O2178:O2211" si="171">IF(OR(M2178="",L2178=""),"",M2178/100*L2178)</f>
        <v>15.02</v>
      </c>
      <c r="P2178" s="1">
        <v>60</v>
      </c>
      <c r="Q2178" s="1">
        <v>1074</v>
      </c>
      <c r="R2178" s="1" t="str">
        <f t="shared" si="169"/>
        <v>3</v>
      </c>
      <c r="S2178" s="1">
        <v>50</v>
      </c>
      <c r="T2178" s="1" t="str">
        <f t="shared" ref="T2178:T2211" si="172">IF(L2178="","No enrolment",IF(L2178&lt;100,"1",IF(L2178&lt;300,"2",IF(L2178&lt;600,"3",IF(L2178&lt;1000,"4","5")))))</f>
        <v>4</v>
      </c>
      <c r="U2178" s="1">
        <v>-33.889547</v>
      </c>
      <c r="V2178" s="3">
        <v>151.12921900000001</v>
      </c>
    </row>
    <row r="2179" spans="1:22" x14ac:dyDescent="0.35">
      <c r="A2179" s="22" t="s">
        <v>6000</v>
      </c>
      <c r="B2179" s="1" t="s">
        <v>6001</v>
      </c>
      <c r="C2179" s="1" t="s">
        <v>4195</v>
      </c>
      <c r="D2179" s="1" t="s">
        <v>115</v>
      </c>
      <c r="E2179" s="1" t="s">
        <v>46</v>
      </c>
      <c r="F2179" s="1" t="s">
        <v>47</v>
      </c>
      <c r="G2179" s="1">
        <f t="shared" si="170"/>
        <v>1</v>
      </c>
      <c r="H2179" s="1" t="s">
        <v>48</v>
      </c>
      <c r="I2179" s="1" t="s">
        <v>4583</v>
      </c>
      <c r="J2179" s="23" t="s">
        <v>50</v>
      </c>
      <c r="K2179" s="2" t="s">
        <v>51</v>
      </c>
      <c r="L2179" s="1">
        <v>803.6</v>
      </c>
      <c r="M2179" s="1">
        <v>3</v>
      </c>
      <c r="N2179" s="1" t="str">
        <f t="shared" ref="N2179:N2211" si="173">IF(M2179="","Suppressed","Published")</f>
        <v>Published</v>
      </c>
      <c r="O2179" s="1">
        <f t="shared" si="171"/>
        <v>24.108000000000001</v>
      </c>
      <c r="P2179" s="1">
        <v>36</v>
      </c>
      <c r="Q2179" s="1">
        <v>1092</v>
      </c>
      <c r="R2179" s="1" t="str">
        <f t="shared" ref="R2179:R2211" si="174">IF(Q2179="","No ICSEA",IF(Q2179&lt;900,"1",IF(Q2179&lt;1000,"2",IF(Q2179&lt;1100,"3","4"))))</f>
        <v>3</v>
      </c>
      <c r="S2179" s="1">
        <v>35</v>
      </c>
      <c r="T2179" s="1" t="str">
        <f t="shared" si="172"/>
        <v>4</v>
      </c>
      <c r="U2179" s="1">
        <v>-33.904038</v>
      </c>
      <c r="V2179" s="3">
        <v>151.14487099999999</v>
      </c>
    </row>
    <row r="2180" spans="1:22" x14ac:dyDescent="0.35">
      <c r="A2180" s="22" t="s">
        <v>6002</v>
      </c>
      <c r="B2180" s="1" t="s">
        <v>6003</v>
      </c>
      <c r="C2180" s="1" t="s">
        <v>1841</v>
      </c>
      <c r="D2180" s="1" t="s">
        <v>203</v>
      </c>
      <c r="E2180" s="1" t="s">
        <v>204</v>
      </c>
      <c r="F2180" s="1" t="s">
        <v>47</v>
      </c>
      <c r="G2180" s="1">
        <f t="shared" si="170"/>
        <v>1</v>
      </c>
      <c r="H2180" s="1" t="s">
        <v>148</v>
      </c>
      <c r="I2180" s="1" t="s">
        <v>4583</v>
      </c>
      <c r="J2180" s="23" t="s">
        <v>50</v>
      </c>
      <c r="K2180" s="2" t="s">
        <v>4755</v>
      </c>
      <c r="L2180" s="1">
        <v>1099.4000000000001</v>
      </c>
      <c r="M2180" s="1">
        <v>1</v>
      </c>
      <c r="N2180" s="1" t="str">
        <f t="shared" si="173"/>
        <v>Published</v>
      </c>
      <c r="O2180" s="1">
        <f t="shared" si="171"/>
        <v>10.994000000000002</v>
      </c>
      <c r="P2180" s="1">
        <v>25</v>
      </c>
      <c r="Q2180" s="1">
        <v>1115</v>
      </c>
      <c r="R2180" s="1" t="str">
        <f t="shared" si="174"/>
        <v>4</v>
      </c>
      <c r="S2180" s="1">
        <v>24</v>
      </c>
      <c r="T2180" s="1" t="str">
        <f t="shared" si="172"/>
        <v>5</v>
      </c>
      <c r="U2180" s="1">
        <v>-33.796405</v>
      </c>
      <c r="V2180" s="3">
        <v>151.25460699999999</v>
      </c>
    </row>
    <row r="2181" spans="1:22" x14ac:dyDescent="0.35">
      <c r="A2181" s="22" t="s">
        <v>6004</v>
      </c>
      <c r="B2181" s="1" t="s">
        <v>6005</v>
      </c>
      <c r="C2181" s="1" t="s">
        <v>3443</v>
      </c>
      <c r="D2181" s="1" t="s">
        <v>737</v>
      </c>
      <c r="E2181" s="1" t="s">
        <v>738</v>
      </c>
      <c r="F2181" s="1" t="s">
        <v>47</v>
      </c>
      <c r="G2181" s="1">
        <f t="shared" si="170"/>
        <v>1</v>
      </c>
      <c r="H2181" s="1" t="s">
        <v>182</v>
      </c>
      <c r="I2181" s="1" t="s">
        <v>4583</v>
      </c>
      <c r="J2181" s="23" t="s">
        <v>50</v>
      </c>
      <c r="K2181" s="2" t="s">
        <v>51</v>
      </c>
      <c r="L2181" s="1">
        <v>925</v>
      </c>
      <c r="M2181" s="1">
        <v>3</v>
      </c>
      <c r="N2181" s="1" t="str">
        <f t="shared" si="173"/>
        <v>Published</v>
      </c>
      <c r="O2181" s="1">
        <f t="shared" si="171"/>
        <v>27.75</v>
      </c>
      <c r="P2181" s="1">
        <v>15</v>
      </c>
      <c r="Q2181" s="1">
        <v>1051</v>
      </c>
      <c r="R2181" s="1" t="str">
        <f t="shared" si="174"/>
        <v>3</v>
      </c>
      <c r="S2181" s="1">
        <v>61</v>
      </c>
      <c r="T2181" s="1" t="str">
        <f t="shared" si="172"/>
        <v>4</v>
      </c>
      <c r="U2181" s="1">
        <v>-34.021611999999998</v>
      </c>
      <c r="V2181" s="3">
        <v>151.061927</v>
      </c>
    </row>
    <row r="2182" spans="1:22" x14ac:dyDescent="0.35">
      <c r="A2182" s="22" t="s">
        <v>6006</v>
      </c>
      <c r="B2182" s="1" t="s">
        <v>6007</v>
      </c>
      <c r="C2182" s="1" t="s">
        <v>3518</v>
      </c>
      <c r="D2182" s="1" t="s">
        <v>152</v>
      </c>
      <c r="E2182" s="1" t="s">
        <v>229</v>
      </c>
      <c r="F2182" s="1" t="s">
        <v>47</v>
      </c>
      <c r="G2182" s="1">
        <f t="shared" si="170"/>
        <v>1</v>
      </c>
      <c r="H2182" s="1" t="s">
        <v>48</v>
      </c>
      <c r="I2182" s="1" t="s">
        <v>4583</v>
      </c>
      <c r="J2182" s="23" t="s">
        <v>50</v>
      </c>
      <c r="K2182" s="2" t="s">
        <v>5184</v>
      </c>
      <c r="L2182" s="1">
        <v>726</v>
      </c>
      <c r="M2182" s="1">
        <v>1</v>
      </c>
      <c r="N2182" s="1" t="str">
        <f t="shared" si="173"/>
        <v>Published</v>
      </c>
      <c r="O2182" s="1">
        <f t="shared" si="171"/>
        <v>7.26</v>
      </c>
      <c r="P2182" s="1">
        <v>91</v>
      </c>
      <c r="Q2182" s="1">
        <v>956</v>
      </c>
      <c r="R2182" s="1" t="str">
        <f t="shared" si="174"/>
        <v>2</v>
      </c>
      <c r="S2182" s="1">
        <v>149</v>
      </c>
      <c r="T2182" s="1" t="str">
        <f t="shared" si="172"/>
        <v>4</v>
      </c>
      <c r="U2182" s="1">
        <v>-33.889479999999999</v>
      </c>
      <c r="V2182" s="3">
        <v>151.02570800000001</v>
      </c>
    </row>
    <row r="2183" spans="1:22" x14ac:dyDescent="0.35">
      <c r="A2183" s="22" t="s">
        <v>6008</v>
      </c>
      <c r="B2183" s="1" t="s">
        <v>6009</v>
      </c>
      <c r="C2183" s="1" t="s">
        <v>2303</v>
      </c>
      <c r="D2183" s="1" t="s">
        <v>386</v>
      </c>
      <c r="E2183" s="1" t="s">
        <v>229</v>
      </c>
      <c r="F2183" s="1" t="s">
        <v>47</v>
      </c>
      <c r="G2183" s="1">
        <f t="shared" si="170"/>
        <v>1</v>
      </c>
      <c r="H2183" s="1" t="s">
        <v>48</v>
      </c>
      <c r="I2183" s="1" t="s">
        <v>4583</v>
      </c>
      <c r="J2183" s="23" t="s">
        <v>50</v>
      </c>
      <c r="K2183" s="2" t="s">
        <v>51</v>
      </c>
      <c r="L2183" s="1">
        <v>488</v>
      </c>
      <c r="M2183" s="1">
        <v>1</v>
      </c>
      <c r="N2183" s="1" t="str">
        <f t="shared" si="173"/>
        <v>Published</v>
      </c>
      <c r="O2183" s="1">
        <f t="shared" si="171"/>
        <v>4.88</v>
      </c>
      <c r="P2183" s="1">
        <v>76</v>
      </c>
      <c r="Q2183" s="1">
        <v>1038</v>
      </c>
      <c r="R2183" s="1" t="str">
        <f t="shared" si="174"/>
        <v>3</v>
      </c>
      <c r="S2183" s="1">
        <v>77</v>
      </c>
      <c r="T2183" s="1" t="str">
        <f t="shared" si="172"/>
        <v>3</v>
      </c>
      <c r="U2183" s="1">
        <v>-33.964070999999997</v>
      </c>
      <c r="V2183" s="3">
        <v>151.08600999999999</v>
      </c>
    </row>
    <row r="2184" spans="1:22" x14ac:dyDescent="0.35">
      <c r="A2184" s="22" t="s">
        <v>6010</v>
      </c>
      <c r="B2184" s="1" t="s">
        <v>6011</v>
      </c>
      <c r="C2184" s="1" t="s">
        <v>2483</v>
      </c>
      <c r="D2184" s="1" t="s">
        <v>1131</v>
      </c>
      <c r="E2184" s="1" t="s">
        <v>429</v>
      </c>
      <c r="F2184" s="1" t="s">
        <v>47</v>
      </c>
      <c r="G2184" s="1">
        <f t="shared" si="170"/>
        <v>1</v>
      </c>
      <c r="H2184" s="1" t="s">
        <v>148</v>
      </c>
      <c r="I2184" s="1" t="s">
        <v>4583</v>
      </c>
      <c r="J2184" s="23" t="s">
        <v>50</v>
      </c>
      <c r="K2184" s="2" t="s">
        <v>51</v>
      </c>
      <c r="L2184" s="1">
        <v>925.1</v>
      </c>
      <c r="M2184" s="1">
        <v>2</v>
      </c>
      <c r="N2184" s="1" t="str">
        <f t="shared" si="173"/>
        <v>Published</v>
      </c>
      <c r="O2184" s="1">
        <f t="shared" si="171"/>
        <v>18.502000000000002</v>
      </c>
      <c r="P2184" s="1">
        <v>72</v>
      </c>
      <c r="Q2184" s="1">
        <v>1052</v>
      </c>
      <c r="R2184" s="1" t="str">
        <f t="shared" si="174"/>
        <v>3</v>
      </c>
      <c r="S2184" s="1">
        <v>52</v>
      </c>
      <c r="T2184" s="1" t="str">
        <f t="shared" si="172"/>
        <v>4</v>
      </c>
      <c r="U2184" s="1">
        <v>-33.763119000000003</v>
      </c>
      <c r="V2184" s="3">
        <v>150.77002400000001</v>
      </c>
    </row>
    <row r="2185" spans="1:22" x14ac:dyDescent="0.35">
      <c r="A2185" s="22" t="s">
        <v>6012</v>
      </c>
      <c r="B2185" s="1" t="s">
        <v>6013</v>
      </c>
      <c r="C2185" s="1" t="s">
        <v>620</v>
      </c>
      <c r="D2185" s="1" t="s">
        <v>176</v>
      </c>
      <c r="E2185" s="1" t="s">
        <v>85</v>
      </c>
      <c r="F2185" s="1" t="s">
        <v>47</v>
      </c>
      <c r="G2185" s="1">
        <f t="shared" si="170"/>
        <v>1</v>
      </c>
      <c r="H2185" s="1" t="s">
        <v>86</v>
      </c>
      <c r="I2185" s="1" t="s">
        <v>4583</v>
      </c>
      <c r="J2185" s="23" t="s">
        <v>50</v>
      </c>
      <c r="K2185" s="2" t="s">
        <v>51</v>
      </c>
      <c r="L2185" s="1">
        <v>978.6</v>
      </c>
      <c r="M2185" s="1">
        <v>4</v>
      </c>
      <c r="N2185" s="1" t="str">
        <f t="shared" si="173"/>
        <v>Published</v>
      </c>
      <c r="O2185" s="1">
        <f t="shared" si="171"/>
        <v>39.143999999999998</v>
      </c>
      <c r="P2185" s="1">
        <v>12</v>
      </c>
      <c r="Q2185" s="1">
        <v>1058</v>
      </c>
      <c r="R2185" s="1" t="str">
        <f t="shared" si="174"/>
        <v>3</v>
      </c>
      <c r="S2185" s="1">
        <v>61</v>
      </c>
      <c r="T2185" s="1" t="str">
        <f t="shared" si="172"/>
        <v>4</v>
      </c>
      <c r="U2185" s="1">
        <v>-34.337246999999998</v>
      </c>
      <c r="V2185" s="3">
        <v>150.921143</v>
      </c>
    </row>
    <row r="2186" spans="1:22" x14ac:dyDescent="0.35">
      <c r="A2186" s="22" t="s">
        <v>6014</v>
      </c>
      <c r="B2186" s="1" t="s">
        <v>6015</v>
      </c>
      <c r="C2186" s="1" t="s">
        <v>1574</v>
      </c>
      <c r="D2186" s="1" t="s">
        <v>74</v>
      </c>
      <c r="E2186" s="1" t="s">
        <v>75</v>
      </c>
      <c r="F2186" s="1" t="s">
        <v>47</v>
      </c>
      <c r="G2186" s="1">
        <f t="shared" si="170"/>
        <v>1</v>
      </c>
      <c r="H2186" s="1" t="s">
        <v>63</v>
      </c>
      <c r="I2186" s="1" t="s">
        <v>4583</v>
      </c>
      <c r="J2186" s="23" t="s">
        <v>50</v>
      </c>
      <c r="K2186" s="2" t="s">
        <v>51</v>
      </c>
      <c r="L2186" s="1">
        <v>646.9</v>
      </c>
      <c r="M2186" s="1">
        <v>12</v>
      </c>
      <c r="N2186" s="1" t="str">
        <f t="shared" si="173"/>
        <v>Published</v>
      </c>
      <c r="O2186" s="1">
        <f t="shared" si="171"/>
        <v>77.628</v>
      </c>
      <c r="P2186" s="1">
        <v>24</v>
      </c>
      <c r="Q2186" s="1">
        <v>980</v>
      </c>
      <c r="R2186" s="1" t="str">
        <f t="shared" si="174"/>
        <v>2</v>
      </c>
      <c r="S2186" s="1">
        <v>111</v>
      </c>
      <c r="T2186" s="1" t="str">
        <f t="shared" si="172"/>
        <v>4</v>
      </c>
      <c r="U2186" s="1">
        <v>-32.900970999999998</v>
      </c>
      <c r="V2186" s="3">
        <v>151.696335</v>
      </c>
    </row>
    <row r="2187" spans="1:22" x14ac:dyDescent="0.35">
      <c r="A2187" s="22" t="s">
        <v>6016</v>
      </c>
      <c r="B2187" s="1" t="s">
        <v>6017</v>
      </c>
      <c r="C2187" s="1" t="s">
        <v>3217</v>
      </c>
      <c r="D2187" s="1" t="s">
        <v>1155</v>
      </c>
      <c r="E2187" s="1" t="s">
        <v>306</v>
      </c>
      <c r="F2187" s="1" t="s">
        <v>47</v>
      </c>
      <c r="G2187" s="1">
        <f t="shared" si="170"/>
        <v>1</v>
      </c>
      <c r="H2187" s="1" t="s">
        <v>148</v>
      </c>
      <c r="I2187" s="1" t="s">
        <v>4583</v>
      </c>
      <c r="J2187" s="23" t="s">
        <v>50</v>
      </c>
      <c r="K2187" s="2" t="s">
        <v>4755</v>
      </c>
      <c r="L2187" s="1">
        <v>1491.4</v>
      </c>
      <c r="M2187" s="1">
        <v>1</v>
      </c>
      <c r="N2187" s="1" t="str">
        <f t="shared" si="173"/>
        <v>Published</v>
      </c>
      <c r="O2187" s="1">
        <f t="shared" si="171"/>
        <v>14.914000000000001</v>
      </c>
      <c r="P2187" s="1">
        <v>77</v>
      </c>
      <c r="Q2187" s="1">
        <v>1117</v>
      </c>
      <c r="R2187" s="1" t="str">
        <f t="shared" si="174"/>
        <v>4</v>
      </c>
      <c r="S2187" s="1">
        <v>17</v>
      </c>
      <c r="T2187" s="1" t="str">
        <f t="shared" si="172"/>
        <v>5</v>
      </c>
      <c r="U2187" s="1">
        <v>-33.769452999999999</v>
      </c>
      <c r="V2187" s="3">
        <v>151.09964500000001</v>
      </c>
    </row>
    <row r="2188" spans="1:22" x14ac:dyDescent="0.35">
      <c r="A2188" s="22" t="s">
        <v>6018</v>
      </c>
      <c r="B2188" s="1" t="s">
        <v>6019</v>
      </c>
      <c r="C2188" s="1" t="s">
        <v>5295</v>
      </c>
      <c r="D2188" s="1" t="s">
        <v>152</v>
      </c>
      <c r="E2188" s="1" t="s">
        <v>229</v>
      </c>
      <c r="F2188" s="1" t="s">
        <v>47</v>
      </c>
      <c r="G2188" s="1">
        <f t="shared" si="170"/>
        <v>1</v>
      </c>
      <c r="H2188" s="1" t="s">
        <v>48</v>
      </c>
      <c r="I2188" s="1" t="s">
        <v>4583</v>
      </c>
      <c r="J2188" s="23" t="s">
        <v>50</v>
      </c>
      <c r="K2188" s="2" t="s">
        <v>5184</v>
      </c>
      <c r="L2188" s="1">
        <v>588</v>
      </c>
      <c r="M2188" s="1"/>
      <c r="N2188" s="1" t="str">
        <f t="shared" si="173"/>
        <v>Suppressed</v>
      </c>
      <c r="O2188" s="1" t="str">
        <f t="shared" si="171"/>
        <v/>
      </c>
      <c r="P2188" s="1">
        <v>96</v>
      </c>
      <c r="Q2188" s="1">
        <v>954</v>
      </c>
      <c r="R2188" s="1" t="str">
        <f t="shared" si="174"/>
        <v>2</v>
      </c>
      <c r="S2188" s="1">
        <v>144</v>
      </c>
      <c r="T2188" s="1" t="str">
        <f t="shared" si="172"/>
        <v>3</v>
      </c>
      <c r="U2188" s="1">
        <v>-33.924357000000001</v>
      </c>
      <c r="V2188" s="3">
        <v>151.06654499999999</v>
      </c>
    </row>
    <row r="2189" spans="1:22" x14ac:dyDescent="0.35">
      <c r="A2189" s="22" t="s">
        <v>6020</v>
      </c>
      <c r="B2189" s="1" t="s">
        <v>6021</v>
      </c>
      <c r="C2189" s="1" t="s">
        <v>2266</v>
      </c>
      <c r="D2189" s="1" t="s">
        <v>642</v>
      </c>
      <c r="E2189" s="1" t="s">
        <v>170</v>
      </c>
      <c r="F2189" s="1" t="s">
        <v>47</v>
      </c>
      <c r="G2189" s="1">
        <f t="shared" si="170"/>
        <v>1</v>
      </c>
      <c r="H2189" s="1" t="s">
        <v>48</v>
      </c>
      <c r="I2189" s="1" t="s">
        <v>4583</v>
      </c>
      <c r="J2189" s="23" t="s">
        <v>50</v>
      </c>
      <c r="K2189" s="2" t="s">
        <v>51</v>
      </c>
      <c r="L2189" s="1">
        <v>1636</v>
      </c>
      <c r="M2189" s="1">
        <v>1</v>
      </c>
      <c r="N2189" s="1" t="str">
        <f t="shared" si="173"/>
        <v>Published</v>
      </c>
      <c r="O2189" s="1">
        <f t="shared" si="171"/>
        <v>16.36</v>
      </c>
      <c r="P2189" s="1">
        <v>91</v>
      </c>
      <c r="Q2189" s="1">
        <v>994</v>
      </c>
      <c r="R2189" s="1" t="str">
        <f t="shared" si="174"/>
        <v>2</v>
      </c>
      <c r="S2189" s="1">
        <v>110</v>
      </c>
      <c r="T2189" s="1" t="str">
        <f t="shared" si="172"/>
        <v>5</v>
      </c>
      <c r="U2189" s="1">
        <v>-33.815714999999997</v>
      </c>
      <c r="V2189" s="3">
        <v>151.007474</v>
      </c>
    </row>
    <row r="2190" spans="1:22" x14ac:dyDescent="0.35">
      <c r="A2190" s="22" t="s">
        <v>6022</v>
      </c>
      <c r="B2190" s="1" t="s">
        <v>6023</v>
      </c>
      <c r="C2190" s="1" t="s">
        <v>726</v>
      </c>
      <c r="D2190" s="1" t="s">
        <v>191</v>
      </c>
      <c r="E2190" s="1" t="s">
        <v>75</v>
      </c>
      <c r="F2190" s="1" t="s">
        <v>47</v>
      </c>
      <c r="G2190" s="1">
        <f t="shared" si="170"/>
        <v>1</v>
      </c>
      <c r="H2190" s="1" t="s">
        <v>63</v>
      </c>
      <c r="I2190" s="1" t="s">
        <v>4583</v>
      </c>
      <c r="J2190" s="23" t="s">
        <v>50</v>
      </c>
      <c r="K2190" s="2" t="s">
        <v>51</v>
      </c>
      <c r="L2190" s="1">
        <v>776.4</v>
      </c>
      <c r="M2190" s="1">
        <v>16</v>
      </c>
      <c r="N2190" s="1" t="str">
        <f t="shared" si="173"/>
        <v>Published</v>
      </c>
      <c r="O2190" s="1">
        <f t="shared" si="171"/>
        <v>124.224</v>
      </c>
      <c r="P2190" s="1">
        <v>9</v>
      </c>
      <c r="Q2190" s="1">
        <v>986</v>
      </c>
      <c r="R2190" s="1" t="str">
        <f t="shared" si="174"/>
        <v>2</v>
      </c>
      <c r="S2190" s="1">
        <v>100</v>
      </c>
      <c r="T2190" s="1" t="str">
        <f t="shared" si="172"/>
        <v>4</v>
      </c>
      <c r="U2190" s="1">
        <v>-32.951363000000001</v>
      </c>
      <c r="V2190" s="3">
        <v>151.670299</v>
      </c>
    </row>
    <row r="2191" spans="1:22" x14ac:dyDescent="0.35">
      <c r="A2191" s="22" t="s">
        <v>6024</v>
      </c>
      <c r="B2191" s="1" t="s">
        <v>6025</v>
      </c>
      <c r="C2191" s="1" t="s">
        <v>3837</v>
      </c>
      <c r="D2191" s="1" t="s">
        <v>642</v>
      </c>
      <c r="E2191" s="1" t="s">
        <v>170</v>
      </c>
      <c r="F2191" s="1" t="s">
        <v>47</v>
      </c>
      <c r="G2191" s="1">
        <f t="shared" si="170"/>
        <v>1</v>
      </c>
      <c r="H2191" s="1" t="s">
        <v>148</v>
      </c>
      <c r="I2191" s="1" t="s">
        <v>4583</v>
      </c>
      <c r="J2191" s="23" t="s">
        <v>50</v>
      </c>
      <c r="K2191" s="2" t="s">
        <v>51</v>
      </c>
      <c r="L2191" s="1">
        <v>1171.9000000000001</v>
      </c>
      <c r="M2191" s="1">
        <v>2</v>
      </c>
      <c r="N2191" s="1" t="str">
        <f t="shared" si="173"/>
        <v>Published</v>
      </c>
      <c r="O2191" s="1">
        <f t="shared" si="171"/>
        <v>23.438000000000002</v>
      </c>
      <c r="P2191" s="1">
        <v>79</v>
      </c>
      <c r="Q2191" s="1">
        <v>1060</v>
      </c>
      <c r="R2191" s="1" t="str">
        <f t="shared" si="174"/>
        <v>3</v>
      </c>
      <c r="S2191" s="1">
        <v>61</v>
      </c>
      <c r="T2191" s="1" t="str">
        <f t="shared" si="172"/>
        <v>5</v>
      </c>
      <c r="U2191" s="1">
        <v>-33.785204999999998</v>
      </c>
      <c r="V2191" s="3">
        <v>151.03689800000001</v>
      </c>
    </row>
    <row r="2192" spans="1:22" x14ac:dyDescent="0.35">
      <c r="A2192" s="22" t="s">
        <v>6026</v>
      </c>
      <c r="B2192" s="1" t="s">
        <v>6027</v>
      </c>
      <c r="C2192" s="1" t="s">
        <v>3214</v>
      </c>
      <c r="D2192" s="1" t="s">
        <v>84</v>
      </c>
      <c r="E2192" s="1" t="s">
        <v>85</v>
      </c>
      <c r="F2192" s="1" t="s">
        <v>47</v>
      </c>
      <c r="G2192" s="1">
        <f t="shared" si="170"/>
        <v>1</v>
      </c>
      <c r="H2192" s="1" t="s">
        <v>86</v>
      </c>
      <c r="I2192" s="1" t="s">
        <v>4583</v>
      </c>
      <c r="J2192" s="23" t="s">
        <v>50</v>
      </c>
      <c r="K2192" s="2" t="s">
        <v>51</v>
      </c>
      <c r="L2192" s="1">
        <v>647.6</v>
      </c>
      <c r="M2192" s="1">
        <v>14</v>
      </c>
      <c r="N2192" s="1" t="str">
        <f t="shared" si="173"/>
        <v>Published</v>
      </c>
      <c r="O2192" s="1">
        <f t="shared" si="171"/>
        <v>90.664000000000016</v>
      </c>
      <c r="P2192" s="1">
        <v>9</v>
      </c>
      <c r="Q2192" s="1">
        <v>932</v>
      </c>
      <c r="R2192" s="1" t="str">
        <f t="shared" si="174"/>
        <v>2</v>
      </c>
      <c r="S2192" s="1">
        <v>137</v>
      </c>
      <c r="T2192" s="1" t="str">
        <f t="shared" si="172"/>
        <v>4</v>
      </c>
      <c r="U2192" s="1">
        <v>-34.559744999999999</v>
      </c>
      <c r="V2192" s="3">
        <v>150.83408</v>
      </c>
    </row>
    <row r="2193" spans="1:22" x14ac:dyDescent="0.35">
      <c r="A2193" s="22" t="s">
        <v>6028</v>
      </c>
      <c r="B2193" s="1" t="s">
        <v>6029</v>
      </c>
      <c r="C2193" s="1" t="s">
        <v>5053</v>
      </c>
      <c r="D2193" s="1" t="s">
        <v>837</v>
      </c>
      <c r="E2193" s="1" t="s">
        <v>838</v>
      </c>
      <c r="F2193" s="1" t="s">
        <v>47</v>
      </c>
      <c r="G2193" s="1">
        <f t="shared" si="170"/>
        <v>1</v>
      </c>
      <c r="H2193" s="1" t="s">
        <v>148</v>
      </c>
      <c r="I2193" s="1" t="s">
        <v>4583</v>
      </c>
      <c r="J2193" s="23" t="s">
        <v>50</v>
      </c>
      <c r="K2193" s="2" t="s">
        <v>51</v>
      </c>
      <c r="L2193" s="1">
        <v>861</v>
      </c>
      <c r="M2193" s="1">
        <v>9</v>
      </c>
      <c r="N2193" s="1" t="str">
        <f t="shared" si="173"/>
        <v>Published</v>
      </c>
      <c r="O2193" s="1">
        <f t="shared" si="171"/>
        <v>77.489999999999995</v>
      </c>
      <c r="P2193" s="1">
        <v>49</v>
      </c>
      <c r="Q2193" s="1">
        <v>979</v>
      </c>
      <c r="R2193" s="1" t="str">
        <f t="shared" si="174"/>
        <v>2</v>
      </c>
      <c r="S2193" s="1">
        <v>104</v>
      </c>
      <c r="T2193" s="1" t="str">
        <f t="shared" si="172"/>
        <v>4</v>
      </c>
      <c r="U2193" s="1">
        <v>-33.678882999999999</v>
      </c>
      <c r="V2193" s="3">
        <v>150.875744</v>
      </c>
    </row>
    <row r="2194" spans="1:22" x14ac:dyDescent="0.35">
      <c r="A2194" s="22" t="s">
        <v>6030</v>
      </c>
      <c r="B2194" s="1" t="s">
        <v>6031</v>
      </c>
      <c r="C2194" s="1" t="s">
        <v>6032</v>
      </c>
      <c r="D2194" s="1" t="s">
        <v>837</v>
      </c>
      <c r="E2194" s="1" t="s">
        <v>838</v>
      </c>
      <c r="F2194" s="1" t="s">
        <v>47</v>
      </c>
      <c r="G2194" s="1">
        <f t="shared" si="170"/>
        <v>1</v>
      </c>
      <c r="H2194" s="1" t="s">
        <v>182</v>
      </c>
      <c r="I2194" s="1" t="s">
        <v>4583</v>
      </c>
      <c r="J2194" s="23" t="s">
        <v>50</v>
      </c>
      <c r="K2194" s="2" t="s">
        <v>51</v>
      </c>
      <c r="L2194" s="1">
        <v>1108.8</v>
      </c>
      <c r="M2194" s="1">
        <v>6</v>
      </c>
      <c r="N2194" s="1" t="str">
        <f t="shared" si="173"/>
        <v>Published</v>
      </c>
      <c r="O2194" s="1">
        <f t="shared" si="171"/>
        <v>66.527999999999992</v>
      </c>
      <c r="P2194" s="1">
        <v>61</v>
      </c>
      <c r="Q2194" s="1">
        <v>958</v>
      </c>
      <c r="R2194" s="1" t="str">
        <f t="shared" si="174"/>
        <v>2</v>
      </c>
      <c r="S2194" s="1">
        <v>121</v>
      </c>
      <c r="T2194" s="1" t="str">
        <f t="shared" si="172"/>
        <v>5</v>
      </c>
      <c r="U2194" s="1">
        <v>-33.770840999999997</v>
      </c>
      <c r="V2194" s="3">
        <v>150.83814799999999</v>
      </c>
    </row>
    <row r="2195" spans="1:22" x14ac:dyDescent="0.35">
      <c r="A2195" s="22" t="s">
        <v>6033</v>
      </c>
      <c r="B2195" s="1" t="s">
        <v>6034</v>
      </c>
      <c r="C2195" s="1" t="s">
        <v>2720</v>
      </c>
      <c r="D2195" s="1" t="s">
        <v>191</v>
      </c>
      <c r="E2195" s="1" t="s">
        <v>75</v>
      </c>
      <c r="F2195" s="1" t="s">
        <v>47</v>
      </c>
      <c r="G2195" s="1">
        <f t="shared" si="170"/>
        <v>1</v>
      </c>
      <c r="H2195" s="1" t="s">
        <v>63</v>
      </c>
      <c r="I2195" s="1" t="s">
        <v>4583</v>
      </c>
      <c r="J2195" s="23" t="s">
        <v>50</v>
      </c>
      <c r="K2195" s="2" t="s">
        <v>51</v>
      </c>
      <c r="L2195" s="1">
        <v>948.6</v>
      </c>
      <c r="M2195" s="1">
        <v>18</v>
      </c>
      <c r="N2195" s="1" t="str">
        <f t="shared" si="173"/>
        <v>Published</v>
      </c>
      <c r="O2195" s="1">
        <f t="shared" si="171"/>
        <v>170.74799999999999</v>
      </c>
      <c r="P2195" s="1">
        <v>6</v>
      </c>
      <c r="Q2195" s="1">
        <v>961</v>
      </c>
      <c r="R2195" s="1" t="str">
        <f t="shared" si="174"/>
        <v>2</v>
      </c>
      <c r="S2195" s="1">
        <v>116</v>
      </c>
      <c r="T2195" s="1" t="str">
        <f t="shared" si="172"/>
        <v>4</v>
      </c>
      <c r="U2195" s="1">
        <v>-33.008794000000002</v>
      </c>
      <c r="V2195" s="3">
        <v>151.58202199999999</v>
      </c>
    </row>
    <row r="2196" spans="1:22" x14ac:dyDescent="0.35">
      <c r="A2196" s="22" t="s">
        <v>6035</v>
      </c>
      <c r="B2196" s="1" t="s">
        <v>6036</v>
      </c>
      <c r="C2196" s="1" t="s">
        <v>5209</v>
      </c>
      <c r="D2196" s="1" t="s">
        <v>685</v>
      </c>
      <c r="E2196" s="1" t="s">
        <v>147</v>
      </c>
      <c r="F2196" s="1" t="s">
        <v>47</v>
      </c>
      <c r="G2196" s="1">
        <f t="shared" si="170"/>
        <v>1</v>
      </c>
      <c r="H2196" s="1" t="s">
        <v>148</v>
      </c>
      <c r="I2196" s="1" t="s">
        <v>4583</v>
      </c>
      <c r="J2196" s="23" t="s">
        <v>50</v>
      </c>
      <c r="K2196" s="2" t="s">
        <v>51</v>
      </c>
      <c r="L2196" s="1">
        <v>905</v>
      </c>
      <c r="M2196" s="1">
        <v>1</v>
      </c>
      <c r="N2196" s="1" t="str">
        <f t="shared" si="173"/>
        <v>Published</v>
      </c>
      <c r="O2196" s="1">
        <f t="shared" si="171"/>
        <v>9.0500000000000007</v>
      </c>
      <c r="P2196" s="1">
        <v>48</v>
      </c>
      <c r="Q2196" s="1">
        <v>1135</v>
      </c>
      <c r="R2196" s="1" t="str">
        <f t="shared" si="174"/>
        <v>4</v>
      </c>
      <c r="S2196" s="1">
        <v>18</v>
      </c>
      <c r="T2196" s="1" t="str">
        <f t="shared" si="172"/>
        <v>4</v>
      </c>
      <c r="U2196" s="1">
        <v>-33.832161999999997</v>
      </c>
      <c r="V2196" s="3">
        <v>151.20303999999999</v>
      </c>
    </row>
    <row r="2197" spans="1:22" x14ac:dyDescent="0.35">
      <c r="A2197" s="22" t="s">
        <v>6037</v>
      </c>
      <c r="B2197" s="1" t="s">
        <v>6038</v>
      </c>
      <c r="C2197" s="1" t="s">
        <v>4551</v>
      </c>
      <c r="D2197" s="1" t="s">
        <v>837</v>
      </c>
      <c r="E2197" s="1" t="s">
        <v>838</v>
      </c>
      <c r="F2197" s="1" t="s">
        <v>47</v>
      </c>
      <c r="G2197" s="1">
        <f t="shared" si="170"/>
        <v>1</v>
      </c>
      <c r="H2197" s="1" t="s">
        <v>148</v>
      </c>
      <c r="I2197" s="1" t="s">
        <v>4583</v>
      </c>
      <c r="J2197" s="23" t="s">
        <v>50</v>
      </c>
      <c r="K2197" s="2" t="s">
        <v>51</v>
      </c>
      <c r="L2197" s="1">
        <v>2318</v>
      </c>
      <c r="M2197" s="1">
        <v>1</v>
      </c>
      <c r="N2197" s="1" t="str">
        <f t="shared" si="173"/>
        <v>Published</v>
      </c>
      <c r="O2197" s="1">
        <f t="shared" si="171"/>
        <v>23.18</v>
      </c>
      <c r="P2197" s="1">
        <v>78</v>
      </c>
      <c r="Q2197" s="1">
        <v>1118</v>
      </c>
      <c r="R2197" s="1" t="str">
        <f t="shared" si="174"/>
        <v>4</v>
      </c>
      <c r="S2197" s="1">
        <v>16</v>
      </c>
      <c r="T2197" s="1" t="str">
        <f t="shared" si="172"/>
        <v>5</v>
      </c>
      <c r="U2197" s="1">
        <v>-33.703299999999999</v>
      </c>
      <c r="V2197" s="3">
        <v>150.89764</v>
      </c>
    </row>
    <row r="2198" spans="1:22" x14ac:dyDescent="0.35">
      <c r="A2198" s="22" t="s">
        <v>6039</v>
      </c>
      <c r="B2198" s="1" t="s">
        <v>6040</v>
      </c>
      <c r="C2198" s="1" t="s">
        <v>1775</v>
      </c>
      <c r="D2198" s="1" t="s">
        <v>1776</v>
      </c>
      <c r="E2198" s="1" t="s">
        <v>147</v>
      </c>
      <c r="F2198" s="1" t="s">
        <v>47</v>
      </c>
      <c r="G2198" s="1">
        <f t="shared" si="170"/>
        <v>1</v>
      </c>
      <c r="H2198" s="1" t="s">
        <v>148</v>
      </c>
      <c r="I2198" s="1" t="s">
        <v>4583</v>
      </c>
      <c r="J2198" s="23" t="s">
        <v>5177</v>
      </c>
      <c r="K2198" s="2" t="s">
        <v>51</v>
      </c>
      <c r="L2198" s="1"/>
      <c r="M2198" s="1"/>
      <c r="N2198" s="1" t="str">
        <f t="shared" si="173"/>
        <v>Suppressed</v>
      </c>
      <c r="O2198" s="1" t="str">
        <f t="shared" si="171"/>
        <v/>
      </c>
      <c r="P2198" s="1"/>
      <c r="Q2198" s="1"/>
      <c r="R2198" s="1" t="str">
        <f t="shared" si="174"/>
        <v>No ICSEA</v>
      </c>
      <c r="S2198" s="1"/>
      <c r="T2198" s="1" t="str">
        <f t="shared" si="172"/>
        <v>No enrolment</v>
      </c>
      <c r="U2198" s="1">
        <v>-33.789700000000003</v>
      </c>
      <c r="V2198" s="3">
        <v>151.16069999999999</v>
      </c>
    </row>
    <row r="2199" spans="1:22" x14ac:dyDescent="0.35">
      <c r="A2199" s="22" t="s">
        <v>6041</v>
      </c>
      <c r="B2199" s="1" t="s">
        <v>6042</v>
      </c>
      <c r="C2199" s="1" t="s">
        <v>3329</v>
      </c>
      <c r="D2199" s="1" t="s">
        <v>1003</v>
      </c>
      <c r="E2199" s="1" t="s">
        <v>225</v>
      </c>
      <c r="F2199" s="1" t="s">
        <v>47</v>
      </c>
      <c r="G2199" s="1">
        <f t="shared" si="170"/>
        <v>1</v>
      </c>
      <c r="H2199" s="1" t="s">
        <v>48</v>
      </c>
      <c r="I2199" s="1" t="s">
        <v>4583</v>
      </c>
      <c r="J2199" s="23" t="s">
        <v>50</v>
      </c>
      <c r="K2199" s="2" t="s">
        <v>51</v>
      </c>
      <c r="L2199" s="1">
        <v>1159.5999999999999</v>
      </c>
      <c r="M2199" s="1">
        <v>4</v>
      </c>
      <c r="N2199" s="1" t="str">
        <f t="shared" si="173"/>
        <v>Published</v>
      </c>
      <c r="O2199" s="1">
        <f t="shared" si="171"/>
        <v>46.384</v>
      </c>
      <c r="P2199" s="1">
        <v>47</v>
      </c>
      <c r="Q2199" s="1">
        <v>1104</v>
      </c>
      <c r="R2199" s="1" t="str">
        <f t="shared" si="174"/>
        <v>4</v>
      </c>
      <c r="S2199" s="1">
        <v>27</v>
      </c>
      <c r="T2199" s="1" t="str">
        <f t="shared" si="172"/>
        <v>5</v>
      </c>
      <c r="U2199" s="1">
        <v>-33.889372000000002</v>
      </c>
      <c r="V2199" s="3">
        <v>151.20603</v>
      </c>
    </row>
    <row r="2200" spans="1:22" x14ac:dyDescent="0.35">
      <c r="A2200" s="22" t="s">
        <v>6043</v>
      </c>
      <c r="B2200" s="1" t="s">
        <v>6044</v>
      </c>
      <c r="C2200" s="1" t="s">
        <v>5288</v>
      </c>
      <c r="D2200" s="1" t="s">
        <v>404</v>
      </c>
      <c r="E2200" s="1" t="s">
        <v>429</v>
      </c>
      <c r="F2200" s="1" t="s">
        <v>47</v>
      </c>
      <c r="G2200" s="1">
        <f t="shared" si="170"/>
        <v>1</v>
      </c>
      <c r="H2200" s="1" t="s">
        <v>63</v>
      </c>
      <c r="I2200" s="1" t="s">
        <v>4583</v>
      </c>
      <c r="J2200" s="23" t="s">
        <v>50</v>
      </c>
      <c r="K2200" s="2" t="s">
        <v>51</v>
      </c>
      <c r="L2200" s="1">
        <v>11</v>
      </c>
      <c r="M2200" s="1">
        <v>0</v>
      </c>
      <c r="N2200" s="1" t="str">
        <f t="shared" si="173"/>
        <v>Published</v>
      </c>
      <c r="O2200" s="1">
        <f t="shared" si="171"/>
        <v>0</v>
      </c>
      <c r="P2200" s="1">
        <v>64</v>
      </c>
      <c r="Q2200" s="1">
        <v>1098</v>
      </c>
      <c r="R2200" s="1" t="str">
        <f t="shared" si="174"/>
        <v>3</v>
      </c>
      <c r="S2200" s="1">
        <v>30</v>
      </c>
      <c r="T2200" s="1" t="str">
        <f t="shared" si="172"/>
        <v>1</v>
      </c>
      <c r="U2200" s="1">
        <v>-33.614026000000003</v>
      </c>
      <c r="V2200" s="3">
        <v>150.753568</v>
      </c>
    </row>
    <row r="2201" spans="1:22" x14ac:dyDescent="0.35">
      <c r="A2201" s="22" t="s">
        <v>6045</v>
      </c>
      <c r="B2201" s="1" t="s">
        <v>6046</v>
      </c>
      <c r="C2201" s="1" t="s">
        <v>139</v>
      </c>
      <c r="D2201" s="1" t="s">
        <v>139</v>
      </c>
      <c r="E2201" s="1" t="s">
        <v>91</v>
      </c>
      <c r="F2201" s="1" t="s">
        <v>57</v>
      </c>
      <c r="G2201" s="1">
        <f t="shared" si="170"/>
        <v>2</v>
      </c>
      <c r="H2201" s="1" t="s">
        <v>92</v>
      </c>
      <c r="I2201" s="1" t="s">
        <v>4583</v>
      </c>
      <c r="J2201" s="23" t="s">
        <v>5177</v>
      </c>
      <c r="K2201" s="2" t="s">
        <v>51</v>
      </c>
      <c r="L2201" s="1">
        <v>1026.4000000000001</v>
      </c>
      <c r="M2201" s="1">
        <v>23</v>
      </c>
      <c r="N2201" s="1" t="str">
        <f t="shared" si="173"/>
        <v>Published</v>
      </c>
      <c r="O2201" s="1">
        <f t="shared" si="171"/>
        <v>236.07200000000003</v>
      </c>
      <c r="P2201" s="1">
        <v>32</v>
      </c>
      <c r="Q2201" s="1">
        <v>928</v>
      </c>
      <c r="R2201" s="1" t="str">
        <f t="shared" si="174"/>
        <v>2</v>
      </c>
      <c r="S2201" s="1">
        <v>123</v>
      </c>
      <c r="T2201" s="1" t="str">
        <f t="shared" si="172"/>
        <v>5</v>
      </c>
      <c r="U2201" s="1">
        <v>-30.519371</v>
      </c>
      <c r="V2201" s="3">
        <v>151.65034800000001</v>
      </c>
    </row>
    <row r="2202" spans="1:22" x14ac:dyDescent="0.35">
      <c r="A2202" s="22" t="s">
        <v>6047</v>
      </c>
      <c r="B2202" s="1" t="s">
        <v>6048</v>
      </c>
      <c r="C2202" s="1" t="s">
        <v>6049</v>
      </c>
      <c r="D2202" s="1" t="s">
        <v>678</v>
      </c>
      <c r="E2202" s="1" t="s">
        <v>181</v>
      </c>
      <c r="F2202" s="1" t="s">
        <v>47</v>
      </c>
      <c r="G2202" s="1">
        <f t="shared" si="170"/>
        <v>1</v>
      </c>
      <c r="H2202" s="1" t="s">
        <v>86</v>
      </c>
      <c r="I2202" s="1" t="s">
        <v>4583</v>
      </c>
      <c r="J2202" s="23" t="s">
        <v>50</v>
      </c>
      <c r="K2202" s="2" t="s">
        <v>51</v>
      </c>
      <c r="L2202" s="1">
        <v>1579</v>
      </c>
      <c r="M2202" s="1">
        <v>6</v>
      </c>
      <c r="N2202" s="1" t="str">
        <f t="shared" si="173"/>
        <v>Published</v>
      </c>
      <c r="O2202" s="1">
        <f t="shared" si="171"/>
        <v>94.74</v>
      </c>
      <c r="P2202" s="1">
        <v>55</v>
      </c>
      <c r="Q2202" s="1">
        <v>1002</v>
      </c>
      <c r="R2202" s="1" t="str">
        <f t="shared" si="174"/>
        <v>3</v>
      </c>
      <c r="S2202" s="1">
        <v>95</v>
      </c>
      <c r="T2202" s="1" t="str">
        <f t="shared" si="172"/>
        <v>5</v>
      </c>
      <c r="U2202" s="1">
        <v>-33.998987999999997</v>
      </c>
      <c r="V2202" s="3">
        <v>150.73630499999999</v>
      </c>
    </row>
    <row r="2203" spans="1:22" x14ac:dyDescent="0.35">
      <c r="A2203" s="22" t="s">
        <v>6050</v>
      </c>
      <c r="B2203" s="1" t="s">
        <v>6051</v>
      </c>
      <c r="C2203" s="1" t="s">
        <v>4590</v>
      </c>
      <c r="D2203" s="1" t="s">
        <v>642</v>
      </c>
      <c r="E2203" s="1" t="s">
        <v>170</v>
      </c>
      <c r="F2203" s="1" t="s">
        <v>47</v>
      </c>
      <c r="G2203" s="1">
        <f t="shared" si="170"/>
        <v>1</v>
      </c>
      <c r="H2203" s="1" t="s">
        <v>48</v>
      </c>
      <c r="I2203" s="1" t="s">
        <v>4583</v>
      </c>
      <c r="J2203" s="23" t="s">
        <v>50</v>
      </c>
      <c r="K2203" s="2" t="s">
        <v>51</v>
      </c>
      <c r="L2203" s="1">
        <v>188</v>
      </c>
      <c r="M2203" s="1"/>
      <c r="N2203" s="1" t="str">
        <f t="shared" si="173"/>
        <v>Suppressed</v>
      </c>
      <c r="O2203" s="1" t="str">
        <f t="shared" si="171"/>
        <v/>
      </c>
      <c r="P2203" s="1">
        <v>88</v>
      </c>
      <c r="Q2203" s="1">
        <v>1062</v>
      </c>
      <c r="R2203" s="1" t="str">
        <f t="shared" si="174"/>
        <v>3</v>
      </c>
      <c r="S2203" s="1">
        <v>49</v>
      </c>
      <c r="T2203" s="1" t="str">
        <f t="shared" si="172"/>
        <v>2</v>
      </c>
      <c r="U2203" s="1">
        <v>-33.823990000000002</v>
      </c>
      <c r="V2203" s="3">
        <v>151.08073999999999</v>
      </c>
    </row>
    <row r="2204" spans="1:22" x14ac:dyDescent="0.35">
      <c r="A2204" s="22" t="s">
        <v>6052</v>
      </c>
      <c r="B2204" s="1" t="s">
        <v>6053</v>
      </c>
      <c r="C2204" s="1" t="s">
        <v>630</v>
      </c>
      <c r="D2204" s="1" t="s">
        <v>558</v>
      </c>
      <c r="E2204" s="1" t="s">
        <v>68</v>
      </c>
      <c r="F2204" s="1" t="s">
        <v>57</v>
      </c>
      <c r="G2204" s="1">
        <f t="shared" si="170"/>
        <v>2</v>
      </c>
      <c r="H2204" s="1" t="s">
        <v>70</v>
      </c>
      <c r="I2204" s="1" t="s">
        <v>4583</v>
      </c>
      <c r="J2204" s="23" t="s">
        <v>50</v>
      </c>
      <c r="K2204" s="2" t="s">
        <v>51</v>
      </c>
      <c r="L2204" s="1">
        <v>197</v>
      </c>
      <c r="M2204" s="1">
        <v>6</v>
      </c>
      <c r="N2204" s="1" t="str">
        <f t="shared" si="173"/>
        <v>Published</v>
      </c>
      <c r="O2204" s="1">
        <f t="shared" si="171"/>
        <v>11.82</v>
      </c>
      <c r="P2204" s="1">
        <v>4</v>
      </c>
      <c r="Q2204" s="1">
        <v>1026</v>
      </c>
      <c r="R2204" s="1" t="str">
        <f t="shared" si="174"/>
        <v>3</v>
      </c>
      <c r="S2204" s="1">
        <v>78</v>
      </c>
      <c r="T2204" s="1" t="str">
        <f t="shared" si="172"/>
        <v>2</v>
      </c>
      <c r="U2204" s="1">
        <v>-35.253602999999998</v>
      </c>
      <c r="V2204" s="3">
        <v>149.445707</v>
      </c>
    </row>
    <row r="2205" spans="1:22" x14ac:dyDescent="0.35">
      <c r="A2205" s="22" t="s">
        <v>6054</v>
      </c>
      <c r="B2205" s="1" t="s">
        <v>6055</v>
      </c>
      <c r="C2205" s="1" t="s">
        <v>4615</v>
      </c>
      <c r="D2205" s="1" t="s">
        <v>837</v>
      </c>
      <c r="E2205" s="1" t="s">
        <v>838</v>
      </c>
      <c r="F2205" s="1" t="s">
        <v>47</v>
      </c>
      <c r="G2205" s="1">
        <f t="shared" si="170"/>
        <v>1</v>
      </c>
      <c r="H2205" s="1" t="s">
        <v>148</v>
      </c>
      <c r="I2205" s="1" t="s">
        <v>4583</v>
      </c>
      <c r="J2205" s="23" t="s">
        <v>50</v>
      </c>
      <c r="K2205" s="2" t="s">
        <v>51</v>
      </c>
      <c r="L2205" s="1">
        <v>704</v>
      </c>
      <c r="M2205" s="1">
        <v>2</v>
      </c>
      <c r="N2205" s="1" t="str">
        <f t="shared" si="173"/>
        <v>Published</v>
      </c>
      <c r="O2205" s="1">
        <f t="shared" si="171"/>
        <v>14.08</v>
      </c>
      <c r="P2205" s="1">
        <v>84</v>
      </c>
      <c r="Q2205" s="1">
        <v>1073</v>
      </c>
      <c r="R2205" s="1" t="str">
        <f t="shared" si="174"/>
        <v>3</v>
      </c>
      <c r="S2205" s="1">
        <v>37</v>
      </c>
      <c r="T2205" s="1" t="str">
        <f t="shared" si="172"/>
        <v>4</v>
      </c>
      <c r="U2205" s="1">
        <v>-33.697398999999997</v>
      </c>
      <c r="V2205" s="3">
        <v>150.80276799999999</v>
      </c>
    </row>
    <row r="2206" spans="1:22" x14ac:dyDescent="0.35">
      <c r="A2206" s="22" t="s">
        <v>6056</v>
      </c>
      <c r="B2206" s="1" t="s">
        <v>6057</v>
      </c>
      <c r="C2206" s="1" t="s">
        <v>4514</v>
      </c>
      <c r="D2206" s="1" t="s">
        <v>558</v>
      </c>
      <c r="E2206" s="1" t="s">
        <v>68</v>
      </c>
      <c r="F2206" s="1" t="s">
        <v>47</v>
      </c>
      <c r="G2206" s="1">
        <f t="shared" si="170"/>
        <v>1</v>
      </c>
      <c r="H2206" s="1" t="s">
        <v>70</v>
      </c>
      <c r="I2206" s="1" t="s">
        <v>4583</v>
      </c>
      <c r="J2206" s="23" t="s">
        <v>50</v>
      </c>
      <c r="K2206" s="2" t="s">
        <v>51</v>
      </c>
      <c r="L2206" s="1">
        <v>333</v>
      </c>
      <c r="M2206" s="1">
        <v>5</v>
      </c>
      <c r="N2206" s="1" t="str">
        <f t="shared" si="173"/>
        <v>Published</v>
      </c>
      <c r="O2206" s="1">
        <f t="shared" si="171"/>
        <v>16.650000000000002</v>
      </c>
      <c r="P2206" s="1">
        <v>18</v>
      </c>
      <c r="Q2206" s="1">
        <v>1068</v>
      </c>
      <c r="R2206" s="1" t="str">
        <f t="shared" si="174"/>
        <v>3</v>
      </c>
      <c r="S2206" s="1">
        <v>58</v>
      </c>
      <c r="T2206" s="1" t="str">
        <f t="shared" si="172"/>
        <v>3</v>
      </c>
      <c r="U2206" s="1">
        <v>-35.388309999999997</v>
      </c>
      <c r="V2206" s="3">
        <v>149.19359399999999</v>
      </c>
    </row>
    <row r="2207" spans="1:22" x14ac:dyDescent="0.35">
      <c r="A2207" s="22" t="s">
        <v>6058</v>
      </c>
      <c r="B2207" s="1" t="s">
        <v>6059</v>
      </c>
      <c r="C2207" s="1" t="s">
        <v>4650</v>
      </c>
      <c r="D2207" s="1" t="s">
        <v>67</v>
      </c>
      <c r="E2207" s="1" t="s">
        <v>68</v>
      </c>
      <c r="F2207" s="1" t="s">
        <v>69</v>
      </c>
      <c r="G2207" s="1">
        <f t="shared" si="170"/>
        <v>3</v>
      </c>
      <c r="H2207" s="1" t="s">
        <v>70</v>
      </c>
      <c r="I2207" s="1" t="s">
        <v>4583</v>
      </c>
      <c r="J2207" s="23" t="s">
        <v>50</v>
      </c>
      <c r="K2207" s="2" t="s">
        <v>51</v>
      </c>
      <c r="L2207" s="1">
        <v>277</v>
      </c>
      <c r="M2207" s="1">
        <v>5</v>
      </c>
      <c r="N2207" s="1" t="str">
        <f t="shared" si="173"/>
        <v>Published</v>
      </c>
      <c r="O2207" s="1">
        <f t="shared" si="171"/>
        <v>13.850000000000001</v>
      </c>
      <c r="P2207" s="1">
        <v>8</v>
      </c>
      <c r="Q2207" s="1">
        <v>1009</v>
      </c>
      <c r="R2207" s="1" t="str">
        <f t="shared" si="174"/>
        <v>3</v>
      </c>
      <c r="S2207" s="1">
        <v>80</v>
      </c>
      <c r="T2207" s="1" t="str">
        <f t="shared" si="172"/>
        <v>2</v>
      </c>
      <c r="U2207" s="1">
        <v>-36.416671000000001</v>
      </c>
      <c r="V2207" s="3">
        <v>148.61931799999999</v>
      </c>
    </row>
    <row r="2208" spans="1:22" x14ac:dyDescent="0.35">
      <c r="A2208" s="22" t="s">
        <v>6060</v>
      </c>
      <c r="B2208" s="1" t="s">
        <v>6061</v>
      </c>
      <c r="C2208" s="1" t="s">
        <v>876</v>
      </c>
      <c r="D2208" s="1" t="s">
        <v>876</v>
      </c>
      <c r="E2208" s="1" t="s">
        <v>330</v>
      </c>
      <c r="F2208" s="1" t="s">
        <v>47</v>
      </c>
      <c r="G2208" s="1">
        <f t="shared" si="170"/>
        <v>1</v>
      </c>
      <c r="H2208" s="1" t="s">
        <v>48</v>
      </c>
      <c r="I2208" s="1" t="s">
        <v>4583</v>
      </c>
      <c r="J2208" s="23" t="s">
        <v>50</v>
      </c>
      <c r="K2208" s="2" t="s">
        <v>51</v>
      </c>
      <c r="L2208" s="1">
        <v>1460</v>
      </c>
      <c r="M2208" s="1">
        <v>2</v>
      </c>
      <c r="N2208" s="1" t="str">
        <f t="shared" si="173"/>
        <v>Published</v>
      </c>
      <c r="O2208" s="1">
        <f t="shared" si="171"/>
        <v>29.2</v>
      </c>
      <c r="P2208" s="1">
        <v>54</v>
      </c>
      <c r="Q2208" s="1">
        <v>1071</v>
      </c>
      <c r="R2208" s="1" t="str">
        <f t="shared" si="174"/>
        <v>3</v>
      </c>
      <c r="S2208" s="1">
        <v>50</v>
      </c>
      <c r="T2208" s="1" t="str">
        <f t="shared" si="172"/>
        <v>5</v>
      </c>
      <c r="U2208" s="1">
        <v>-33.921832000000002</v>
      </c>
      <c r="V2208" s="3">
        <v>151.23944</v>
      </c>
    </row>
    <row r="2209" spans="1:22" x14ac:dyDescent="0.35">
      <c r="A2209" s="22" t="s">
        <v>6062</v>
      </c>
      <c r="B2209" s="1" t="s">
        <v>6063</v>
      </c>
      <c r="C2209" s="1" t="s">
        <v>4599</v>
      </c>
      <c r="D2209" s="1" t="s">
        <v>678</v>
      </c>
      <c r="E2209" s="1" t="s">
        <v>181</v>
      </c>
      <c r="F2209" s="1" t="s">
        <v>47</v>
      </c>
      <c r="G2209" s="1">
        <f t="shared" si="170"/>
        <v>1</v>
      </c>
      <c r="H2209" s="1" t="s">
        <v>86</v>
      </c>
      <c r="I2209" s="1" t="s">
        <v>4583</v>
      </c>
      <c r="J2209" s="23" t="s">
        <v>50</v>
      </c>
      <c r="K2209" s="2" t="s">
        <v>51</v>
      </c>
      <c r="L2209" s="1">
        <v>87</v>
      </c>
      <c r="M2209" s="1"/>
      <c r="N2209" s="1" t="str">
        <f t="shared" si="173"/>
        <v>Suppressed</v>
      </c>
      <c r="O2209" s="1" t="str">
        <f t="shared" si="171"/>
        <v/>
      </c>
      <c r="P2209" s="1">
        <v>60</v>
      </c>
      <c r="Q2209" s="1">
        <v>1013</v>
      </c>
      <c r="R2209" s="1" t="str">
        <f t="shared" si="174"/>
        <v>3</v>
      </c>
      <c r="S2209" s="1">
        <v>84</v>
      </c>
      <c r="T2209" s="1" t="str">
        <f t="shared" si="172"/>
        <v>1</v>
      </c>
      <c r="U2209" s="1">
        <v>-34.022494000000002</v>
      </c>
      <c r="V2209" s="3">
        <v>150.769597</v>
      </c>
    </row>
    <row r="2210" spans="1:22" x14ac:dyDescent="0.35">
      <c r="A2210" s="22" t="s">
        <v>6064</v>
      </c>
      <c r="B2210" s="1" t="s">
        <v>6065</v>
      </c>
      <c r="C2210" s="1" t="s">
        <v>1676</v>
      </c>
      <c r="D2210" s="1" t="s">
        <v>224</v>
      </c>
      <c r="E2210" s="1" t="s">
        <v>229</v>
      </c>
      <c r="F2210" s="1" t="s">
        <v>47</v>
      </c>
      <c r="G2210" s="1">
        <f t="shared" si="170"/>
        <v>1</v>
      </c>
      <c r="H2210" s="1" t="s">
        <v>48</v>
      </c>
      <c r="I2210" s="1" t="s">
        <v>4583</v>
      </c>
      <c r="J2210" s="23" t="s">
        <v>50</v>
      </c>
      <c r="K2210" s="2" t="s">
        <v>51</v>
      </c>
      <c r="L2210" s="1"/>
      <c r="M2210" s="1"/>
      <c r="N2210" s="1" t="str">
        <f t="shared" si="173"/>
        <v>Suppressed</v>
      </c>
      <c r="O2210" s="1" t="str">
        <f t="shared" si="171"/>
        <v/>
      </c>
      <c r="P2210" s="1"/>
      <c r="Q2210" s="1"/>
      <c r="R2210" s="1" t="str">
        <f t="shared" si="174"/>
        <v>No ICSEA</v>
      </c>
      <c r="S2210" s="1">
        <v>82</v>
      </c>
      <c r="T2210" s="1" t="str">
        <f t="shared" si="172"/>
        <v>No enrolment</v>
      </c>
      <c r="U2210" s="1">
        <v>-33.967395499999995</v>
      </c>
      <c r="V2210" s="3">
        <v>151.13741450000001</v>
      </c>
    </row>
    <row r="2211" spans="1:22" ht="15" thickBot="1" x14ac:dyDescent="0.4">
      <c r="A2211" s="24" t="s">
        <v>6066</v>
      </c>
      <c r="B2211" s="16" t="s">
        <v>6067</v>
      </c>
      <c r="C2211" s="16" t="s">
        <v>4656</v>
      </c>
      <c r="D2211" s="16" t="s">
        <v>761</v>
      </c>
      <c r="E2211" s="16" t="s">
        <v>127</v>
      </c>
      <c r="F2211" s="16" t="s">
        <v>47</v>
      </c>
      <c r="G2211" s="16">
        <f t="shared" si="170"/>
        <v>1</v>
      </c>
      <c r="H2211" s="16" t="s">
        <v>148</v>
      </c>
      <c r="I2211" s="16" t="s">
        <v>4583</v>
      </c>
      <c r="J2211" s="25" t="s">
        <v>50</v>
      </c>
      <c r="K2211" s="4" t="s">
        <v>51</v>
      </c>
      <c r="L2211" s="5"/>
      <c r="M2211" s="5"/>
      <c r="N2211" s="5" t="str">
        <f t="shared" si="173"/>
        <v>Suppressed</v>
      </c>
      <c r="O2211" s="5" t="str">
        <f t="shared" si="171"/>
        <v/>
      </c>
      <c r="P2211" s="5"/>
      <c r="Q2211" s="5"/>
      <c r="R2211" s="5" t="str">
        <f t="shared" si="174"/>
        <v>No ICSEA</v>
      </c>
      <c r="S2211" s="5">
        <v>33</v>
      </c>
      <c r="T2211" s="5" t="str">
        <f t="shared" si="172"/>
        <v>No enrolment</v>
      </c>
      <c r="U2211" s="5">
        <v>-33.645699999999998</v>
      </c>
      <c r="V2211" s="6">
        <v>150.898968</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5588-7E28-4D8C-BD47-C0E65C235BAD}">
  <dimension ref="A1:D13"/>
  <sheetViews>
    <sheetView workbookViewId="0">
      <selection activeCell="B8" sqref="B8"/>
    </sheetView>
  </sheetViews>
  <sheetFormatPr defaultRowHeight="14.5" x14ac:dyDescent="0.35"/>
  <cols>
    <col min="1" max="1" width="21.26953125" bestFit="1" customWidth="1"/>
    <col min="2" max="2" width="8.453125" bestFit="1" customWidth="1"/>
    <col min="3" max="3" width="13.453125" bestFit="1" customWidth="1"/>
    <col min="4" max="4" width="23.6328125" bestFit="1" customWidth="1"/>
  </cols>
  <sheetData>
    <row r="1" spans="1:4" ht="15" thickBot="1" x14ac:dyDescent="0.4">
      <c r="A1" s="32" t="s">
        <v>35</v>
      </c>
      <c r="B1" s="31" t="s">
        <v>6083</v>
      </c>
    </row>
    <row r="2" spans="1:4" ht="15" thickBot="1" x14ac:dyDescent="0.4"/>
    <row r="3" spans="1:4" ht="15" thickBot="1" x14ac:dyDescent="0.4">
      <c r="A3" s="43" t="s">
        <v>6068</v>
      </c>
      <c r="B3" s="44" t="s">
        <v>6069</v>
      </c>
      <c r="C3" s="45" t="s">
        <v>6084</v>
      </c>
      <c r="D3" s="46" t="s">
        <v>6085</v>
      </c>
    </row>
    <row r="4" spans="1:4" x14ac:dyDescent="0.35">
      <c r="A4" s="34" t="s">
        <v>47</v>
      </c>
      <c r="B4" s="38">
        <v>590542.70000000007</v>
      </c>
      <c r="C4" s="41">
        <v>36296.185000000005</v>
      </c>
      <c r="D4" s="33">
        <v>6.1462422615671995E-2</v>
      </c>
    </row>
    <row r="5" spans="1:4" x14ac:dyDescent="0.35">
      <c r="A5" s="35" t="s">
        <v>57</v>
      </c>
      <c r="B5" s="39">
        <v>143534.00000000003</v>
      </c>
      <c r="C5" s="65">
        <v>29106.542000000016</v>
      </c>
      <c r="D5" s="29">
        <v>0.20278499867627189</v>
      </c>
    </row>
    <row r="6" spans="1:4" x14ac:dyDescent="0.35">
      <c r="A6" s="35" t="s">
        <v>69</v>
      </c>
      <c r="B6" s="39">
        <v>35058.800000000003</v>
      </c>
      <c r="C6" s="65">
        <v>9756.8479999999963</v>
      </c>
      <c r="D6" s="29">
        <v>0.27829954248291427</v>
      </c>
    </row>
    <row r="7" spans="1:4" x14ac:dyDescent="0.35">
      <c r="A7" s="35" t="s">
        <v>241</v>
      </c>
      <c r="B7" s="39">
        <v>2615.2000000000003</v>
      </c>
      <c r="C7" s="65">
        <v>1336.0239999999999</v>
      </c>
      <c r="D7" s="29">
        <v>0.51086876720709684</v>
      </c>
    </row>
    <row r="8" spans="1:4" ht="15" thickBot="1" x14ac:dyDescent="0.4">
      <c r="A8" s="36" t="s">
        <v>544</v>
      </c>
      <c r="B8" s="40">
        <v>731</v>
      </c>
      <c r="C8" s="37">
        <v>526.91000000000008</v>
      </c>
      <c r="D8" s="30">
        <v>0.72080711354309179</v>
      </c>
    </row>
    <row r="10" spans="1:4" ht="15" thickBot="1" x14ac:dyDescent="0.4"/>
    <row r="11" spans="1:4" ht="15" thickBot="1" x14ac:dyDescent="0.4"/>
    <row r="12" spans="1:4" ht="15" thickBot="1" x14ac:dyDescent="0.4"/>
    <row r="13" spans="1:4" ht="15" thickBot="1" x14ac:dyDescent="0.4"/>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31E0-3BF8-4EBE-81F9-6C2145E6E3E4}">
  <dimension ref="A1:E8"/>
  <sheetViews>
    <sheetView workbookViewId="0">
      <selection activeCell="M14" sqref="M14"/>
    </sheetView>
  </sheetViews>
  <sheetFormatPr defaultRowHeight="14.5" x14ac:dyDescent="0.35"/>
  <cols>
    <col min="1" max="1" width="21.26953125" bestFit="1" customWidth="1"/>
    <col min="2" max="2" width="8.453125" bestFit="1" customWidth="1"/>
    <col min="3" max="3" width="14.7265625" bestFit="1" customWidth="1"/>
    <col min="4" max="4" width="13.453125" bestFit="1" customWidth="1"/>
    <col min="5" max="5" width="24.54296875" bestFit="1" customWidth="1"/>
  </cols>
  <sheetData>
    <row r="1" spans="1:5" ht="15" thickBot="1" x14ac:dyDescent="0.4">
      <c r="A1" s="32" t="s">
        <v>35</v>
      </c>
      <c r="B1" s="31" t="s">
        <v>6083</v>
      </c>
    </row>
    <row r="2" spans="1:5" ht="15" thickBot="1" x14ac:dyDescent="0.4"/>
    <row r="3" spans="1:5" ht="15" thickBot="1" x14ac:dyDescent="0.4">
      <c r="A3" s="43" t="s">
        <v>6086</v>
      </c>
      <c r="B3" s="44" t="s">
        <v>6069</v>
      </c>
      <c r="C3" s="45" t="s">
        <v>6071</v>
      </c>
      <c r="D3" s="45" t="s">
        <v>6084</v>
      </c>
      <c r="E3" s="46" t="s">
        <v>6072</v>
      </c>
    </row>
    <row r="4" spans="1:5" x14ac:dyDescent="0.35">
      <c r="A4" s="34" t="s">
        <v>47</v>
      </c>
      <c r="B4" s="38">
        <v>590542.70000000007</v>
      </c>
      <c r="C4" s="54">
        <v>0.76447467946489833</v>
      </c>
      <c r="D4" s="41">
        <v>36296.185000000005</v>
      </c>
      <c r="E4" s="33">
        <v>0.56561085972850678</v>
      </c>
    </row>
    <row r="5" spans="1:5" x14ac:dyDescent="0.35">
      <c r="A5" s="35" t="s">
        <v>57</v>
      </c>
      <c r="B5" s="39">
        <v>143534.00000000003</v>
      </c>
      <c r="C5" s="66">
        <v>0.18580893243166791</v>
      </c>
      <c r="D5" s="65">
        <v>29106.542000000016</v>
      </c>
      <c r="E5" s="29">
        <v>0.27511312217194572</v>
      </c>
    </row>
    <row r="6" spans="1:5" x14ac:dyDescent="0.35">
      <c r="A6" s="35" t="s">
        <v>69</v>
      </c>
      <c r="B6" s="39">
        <v>35058.800000000003</v>
      </c>
      <c r="C6" s="66">
        <v>4.5384635001709403E-2</v>
      </c>
      <c r="D6" s="65">
        <v>9756.8479999999963</v>
      </c>
      <c r="E6" s="29">
        <v>0.13665158371040723</v>
      </c>
    </row>
    <row r="7" spans="1:5" x14ac:dyDescent="0.35">
      <c r="A7" s="35" t="s">
        <v>241</v>
      </c>
      <c r="B7" s="39">
        <v>2615.2000000000003</v>
      </c>
      <c r="C7" s="66">
        <v>3.3854523673505776E-3</v>
      </c>
      <c r="D7" s="65">
        <v>1336.0239999999999</v>
      </c>
      <c r="E7" s="29">
        <v>1.5837104072398189E-2</v>
      </c>
    </row>
    <row r="8" spans="1:5" ht="15" thickBot="1" x14ac:dyDescent="0.4">
      <c r="A8" s="36" t="s">
        <v>544</v>
      </c>
      <c r="B8" s="40">
        <v>731</v>
      </c>
      <c r="C8" s="53">
        <v>9.4630073437338336E-4</v>
      </c>
      <c r="D8" s="37">
        <v>526.91000000000008</v>
      </c>
      <c r="E8" s="30">
        <v>6.7873303167420816E-3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EBAC-96BE-418E-BA18-5BCDA2491864}">
  <dimension ref="A2:C8"/>
  <sheetViews>
    <sheetView workbookViewId="0">
      <selection activeCell="C5" sqref="C5"/>
    </sheetView>
  </sheetViews>
  <sheetFormatPr defaultRowHeight="14.5" x14ac:dyDescent="0.35"/>
  <cols>
    <col min="1" max="1" width="15.36328125" bestFit="1" customWidth="1"/>
    <col min="2" max="2" width="11.81640625" bestFit="1" customWidth="1"/>
    <col min="3" max="3" width="15.453125" bestFit="1" customWidth="1"/>
  </cols>
  <sheetData>
    <row r="2" spans="1:3" ht="15" thickBot="1" x14ac:dyDescent="0.4"/>
    <row r="3" spans="1:3" ht="15" thickBot="1" x14ac:dyDescent="0.4">
      <c r="A3" s="43" t="s">
        <v>6093</v>
      </c>
      <c r="B3" s="44" t="s">
        <v>6092</v>
      </c>
      <c r="C3" s="42" t="s">
        <v>6070</v>
      </c>
    </row>
    <row r="4" spans="1:3" x14ac:dyDescent="0.35">
      <c r="A4" s="34" t="s">
        <v>6087</v>
      </c>
      <c r="B4" s="62">
        <v>361</v>
      </c>
      <c r="C4" s="52">
        <v>42.566265060240966</v>
      </c>
    </row>
    <row r="5" spans="1:3" x14ac:dyDescent="0.35">
      <c r="A5" s="35" t="s">
        <v>6088</v>
      </c>
      <c r="B5" s="63">
        <v>936</v>
      </c>
      <c r="C5" s="50">
        <v>15.571062740076824</v>
      </c>
    </row>
    <row r="6" spans="1:3" x14ac:dyDescent="0.35">
      <c r="A6" s="35" t="s">
        <v>6089</v>
      </c>
      <c r="B6" s="63">
        <v>603</v>
      </c>
      <c r="C6" s="50">
        <v>5.5543478260869561</v>
      </c>
    </row>
    <row r="7" spans="1:3" x14ac:dyDescent="0.35">
      <c r="A7" s="35" t="s">
        <v>6090</v>
      </c>
      <c r="B7" s="63">
        <v>259</v>
      </c>
      <c r="C7" s="50">
        <v>1.5813953488372092</v>
      </c>
    </row>
    <row r="8" spans="1:3" ht="15" thickBot="1" x14ac:dyDescent="0.4">
      <c r="A8" s="36" t="s">
        <v>6091</v>
      </c>
      <c r="B8" s="64">
        <v>51</v>
      </c>
      <c r="C8" s="51">
        <v>14.285714285714286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CE02-49C3-4EEB-9BD6-ABE0FDEB5126}">
  <dimension ref="A1:C10"/>
  <sheetViews>
    <sheetView workbookViewId="0">
      <selection activeCell="D8" sqref="D8"/>
    </sheetView>
  </sheetViews>
  <sheetFormatPr defaultRowHeight="14.5" x14ac:dyDescent="0.35"/>
  <cols>
    <col min="1" max="1" width="28.08984375" bestFit="1" customWidth="1"/>
    <col min="2" max="2" width="11.81640625" bestFit="1" customWidth="1"/>
    <col min="3" max="3" width="15.36328125" bestFit="1" customWidth="1"/>
    <col min="4" max="4" width="33.90625" bestFit="1" customWidth="1"/>
  </cols>
  <sheetData>
    <row r="1" spans="1:3" ht="15" thickBot="1" x14ac:dyDescent="0.4">
      <c r="A1" s="32" t="s">
        <v>6095</v>
      </c>
      <c r="B1" s="31" t="s">
        <v>6083</v>
      </c>
    </row>
    <row r="2" spans="1:3" ht="15" thickBot="1" x14ac:dyDescent="0.4"/>
    <row r="3" spans="1:3" ht="15" thickBot="1" x14ac:dyDescent="0.4">
      <c r="A3" s="43" t="s">
        <v>6082</v>
      </c>
      <c r="B3" s="44" t="s">
        <v>6092</v>
      </c>
      <c r="C3" s="46" t="s">
        <v>6094</v>
      </c>
    </row>
    <row r="4" spans="1:3" x14ac:dyDescent="0.35">
      <c r="A4" s="34" t="s">
        <v>132</v>
      </c>
      <c r="B4" s="62">
        <v>65</v>
      </c>
      <c r="C4" s="52">
        <v>35.048387096774192</v>
      </c>
    </row>
    <row r="5" spans="1:3" x14ac:dyDescent="0.35">
      <c r="A5" s="35" t="s">
        <v>3192</v>
      </c>
      <c r="B5" s="63">
        <v>117</v>
      </c>
      <c r="C5" s="50">
        <v>30.846153846153847</v>
      </c>
    </row>
    <row r="6" spans="1:3" x14ac:dyDescent="0.35">
      <c r="A6" s="35" t="s">
        <v>49</v>
      </c>
      <c r="B6" s="63">
        <v>1582</v>
      </c>
      <c r="C6" s="50">
        <v>16.206030150753769</v>
      </c>
    </row>
    <row r="7" spans="1:3" x14ac:dyDescent="0.35">
      <c r="A7" s="35" t="s">
        <v>4583</v>
      </c>
      <c r="B7" s="63">
        <v>408</v>
      </c>
      <c r="C7" s="50">
        <v>13.953804347826088</v>
      </c>
    </row>
    <row r="8" spans="1:3" x14ac:dyDescent="0.35">
      <c r="A8" s="35" t="s">
        <v>3731</v>
      </c>
      <c r="B8" s="63">
        <v>14</v>
      </c>
      <c r="C8" s="50">
        <v>12.571428571428571</v>
      </c>
    </row>
    <row r="9" spans="1:3" x14ac:dyDescent="0.35">
      <c r="A9" s="35" t="s">
        <v>4743</v>
      </c>
      <c r="B9" s="63">
        <v>22</v>
      </c>
      <c r="C9" s="50"/>
    </row>
    <row r="10" spans="1:3" ht="15" thickBot="1" x14ac:dyDescent="0.4">
      <c r="A10" s="36" t="s">
        <v>4739</v>
      </c>
      <c r="B10" s="64">
        <v>2</v>
      </c>
      <c r="C10" s="51"/>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Dashboard</vt:lpstr>
      <vt:lpstr>Data</vt:lpstr>
      <vt:lpstr>PT_Remoteness</vt:lpstr>
      <vt:lpstr>PT_Paradox</vt:lpstr>
      <vt:lpstr>PT_ICSEA</vt:lpstr>
      <vt:lpstr>PT_Level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2026-07-06T12:29:01Z</dcterms:created>
  <dcterms:modified xsi:type="dcterms:W3CDTF">2026-07-07T12:41:41Z</dcterms:modified>
  <dc:language>en-US</dc:language>
</cp:coreProperties>
</file>